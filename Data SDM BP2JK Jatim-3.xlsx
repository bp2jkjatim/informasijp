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21"/>
  <workbookPr defaultThemeVersion="166925"/>
  <xr:revisionPtr revIDLastSave="0" documentId="8_{EBD1FA9C-BE8B-47BB-ACE8-2C4FA1BD9FA7}" xr6:coauthVersionLast="47" xr6:coauthVersionMax="47" xr10:uidLastSave="{00000000-0000-0000-0000-000000000000}"/>
  <bookViews>
    <workbookView xWindow="240" yWindow="105" windowWidth="14805" windowHeight="8010" firstSheet="4" activeTab="4" xr2:uid="{00000000-000D-0000-FFFF-FFFF00000000}"/>
  </bookViews>
  <sheets>
    <sheet name="AK PBJ" sheetId="1" state="hidden" r:id="rId1"/>
    <sheet name="Diklat 2024" sheetId="37" r:id="rId2"/>
    <sheet name="Diklat 2025 dan evaluasi" sheetId="15" r:id="rId3"/>
    <sheet name="Matrik Kompetensi &amp; Hasil" sheetId="10" r:id="rId4"/>
    <sheet name="Gap Kompetensi" sheetId="11" r:id="rId5"/>
    <sheet name="DIklat 2026" sheetId="2" r:id="rId6"/>
    <sheet name="Pengem Komp Mandiri" sheetId="17" r:id="rId7"/>
    <sheet name="Sheet2" sheetId="19" r:id="rId8"/>
    <sheet name="usulan diklat 2026" sheetId="4" r:id="rId9"/>
    <sheet name="III BK Hub Afiliasi Pendidikan" sheetId="8" r:id="rId10"/>
    <sheet name="I BK Hub Keluarga Internal" sheetId="6" r:id="rId11"/>
    <sheet name="Sheet1" sheetId="16" r:id="rId12"/>
    <sheet name="II BK Hub Keluarga Eksternal" sheetId="7" r:id="rId13"/>
    <sheet name="mutasi pegawai" sheetId="18" r:id="rId14"/>
    <sheet name="Penempatan Pegawai TW I 2025" sheetId="22" r:id="rId15"/>
    <sheet name="Penempatan Pegawai TW II 2025" sheetId="23" r:id="rId16"/>
    <sheet name="Penempatan Pegawai TW III 2025" sheetId="20" r:id="rId17"/>
    <sheet name="Penempatan Pegawai TW IV 2025" sheetId="21" r:id="rId18"/>
    <sheet name="Kebutuhan Pegawai Januari 2025" sheetId="28" r:id="rId19"/>
    <sheet name="Kebutuhan Pegawai Juli 2025" sheetId="24" r:id="rId20"/>
    <sheet name="Kebutuhan CPNS" sheetId="26" r:id="rId21"/>
    <sheet name="Kebutuhan Kompetensi 2026" sheetId="27" r:id="rId22"/>
    <sheet name="PRESENSI 2025" sheetId="30" r:id="rId23"/>
    <sheet name="TIM PENELITI 2023" sheetId="32" r:id="rId24"/>
    <sheet name="TIM PENELITI 2024" sheetId="33" r:id="rId25"/>
    <sheet name="TIM PENELITI 2025" sheetId="34" r:id="rId26"/>
    <sheet name="TIM PENELITI 2026" sheetId="35" r:id="rId27"/>
    <sheet name="buat analisa kinerja" sheetId="38" r:id="rId28"/>
  </sheets>
  <externalReferences>
    <externalReference r:id="rId29"/>
  </externalReferences>
  <definedNames>
    <definedName name="_xlnm._FilterDatabase" localSheetId="2" hidden="1">'Diklat 2025 dan evaluasi'!$A$4:$N$55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93" i="38" l="1"/>
  <c r="AO107" i="38"/>
  <c r="Y107" i="38"/>
  <c r="X107" i="38"/>
  <c r="S107" i="38"/>
  <c r="AD107" i="38" s="1"/>
  <c r="Q107" i="38"/>
  <c r="P107" i="38"/>
  <c r="AO106" i="38"/>
  <c r="Y106" i="38"/>
  <c r="X106" i="38"/>
  <c r="S106" i="38"/>
  <c r="AD106" i="38" s="1"/>
  <c r="Q106" i="38"/>
  <c r="P106" i="38"/>
  <c r="AO105" i="38"/>
  <c r="Y105" i="38"/>
  <c r="X105" i="38"/>
  <c r="S105" i="38"/>
  <c r="AD105" i="38" s="1"/>
  <c r="Q105" i="38"/>
  <c r="P105" i="38"/>
  <c r="AO104" i="38"/>
  <c r="Y104" i="38"/>
  <c r="X104" i="38"/>
  <c r="S104" i="38"/>
  <c r="AD104" i="38" s="1"/>
  <c r="Q104" i="38"/>
  <c r="P104" i="38"/>
  <c r="AU103" i="38"/>
  <c r="AO103" i="38"/>
  <c r="Y103" i="38"/>
  <c r="X103" i="38"/>
  <c r="S103" i="38"/>
  <c r="AD103" i="38" s="1"/>
  <c r="Q103" i="38"/>
  <c r="P103" i="38"/>
  <c r="AQ102" i="38"/>
  <c r="AO102" i="38"/>
  <c r="Y102" i="38"/>
  <c r="X102" i="38"/>
  <c r="S102" i="38"/>
  <c r="AD102" i="38" s="1"/>
  <c r="Q102" i="38"/>
  <c r="P102" i="38"/>
  <c r="AQ101" i="38"/>
  <c r="AO101" i="38"/>
  <c r="Y101" i="38"/>
  <c r="X101" i="38"/>
  <c r="S101" i="38"/>
  <c r="AD101" i="38" s="1"/>
  <c r="Q101" i="38"/>
  <c r="P101" i="38"/>
  <c r="AQ100" i="38"/>
  <c r="AO100" i="38"/>
  <c r="Y100" i="38"/>
  <c r="X100" i="38"/>
  <c r="S100" i="38"/>
  <c r="AD100" i="38" s="1"/>
  <c r="Q100" i="38"/>
  <c r="P100" i="38"/>
  <c r="AS99" i="38"/>
  <c r="AQ99" i="38"/>
  <c r="AO99" i="38"/>
  <c r="Y99" i="38"/>
  <c r="X99" i="38"/>
  <c r="S99" i="38"/>
  <c r="AD99" i="38" s="1"/>
  <c r="Q99" i="38"/>
  <c r="P99" i="38"/>
  <c r="AS98" i="38"/>
  <c r="AQ98" i="38"/>
  <c r="AO98" i="38"/>
  <c r="Y98" i="38"/>
  <c r="X98" i="38"/>
  <c r="S98" i="38"/>
  <c r="AD98" i="38" s="1"/>
  <c r="Q98" i="38"/>
  <c r="P98" i="38"/>
  <c r="AS97" i="38"/>
  <c r="AQ97" i="38"/>
  <c r="AO97" i="38"/>
  <c r="Y97" i="38"/>
  <c r="X97" i="38"/>
  <c r="S97" i="38"/>
  <c r="AD97" i="38" s="1"/>
  <c r="Q97" i="38"/>
  <c r="P97" i="38"/>
  <c r="AS96" i="38"/>
  <c r="AQ96" i="38"/>
  <c r="AO96" i="38"/>
  <c r="Y96" i="38"/>
  <c r="X96" i="38"/>
  <c r="R96" i="38"/>
  <c r="S96" i="38" s="1"/>
  <c r="AD96" i="38" s="1"/>
  <c r="Q96" i="38"/>
  <c r="P96" i="38"/>
  <c r="AS95" i="38"/>
  <c r="AQ95" i="38"/>
  <c r="AO95" i="38"/>
  <c r="Y95" i="38"/>
  <c r="X95" i="38"/>
  <c r="S95" i="38"/>
  <c r="AD95" i="38" s="1"/>
  <c r="Q95" i="38"/>
  <c r="P95" i="38"/>
  <c r="AT94" i="38"/>
  <c r="AS94" i="38"/>
  <c r="AQ94" i="38"/>
  <c r="AO94" i="38"/>
  <c r="Y94" i="38"/>
  <c r="X94" i="38"/>
  <c r="S94" i="38"/>
  <c r="AD94" i="38" s="1"/>
  <c r="Q94" i="38"/>
  <c r="P94" i="38"/>
  <c r="AT93" i="38"/>
  <c r="AQ93" i="38"/>
  <c r="AO93" i="38"/>
  <c r="Y93" i="38"/>
  <c r="X93" i="38"/>
  <c r="S93" i="38"/>
  <c r="Q93" i="38"/>
  <c r="P93" i="38"/>
  <c r="AS92" i="38"/>
  <c r="AQ92" i="38"/>
  <c r="AO92" i="38"/>
  <c r="Y92" i="38"/>
  <c r="X92" i="38"/>
  <c r="S92" i="38"/>
  <c r="AD92" i="38" s="1"/>
  <c r="Q92" i="38"/>
  <c r="P92" i="38"/>
  <c r="AQ91" i="38"/>
  <c r="AO91" i="38"/>
  <c r="Y91" i="38"/>
  <c r="X91" i="38"/>
  <c r="R91" i="38"/>
  <c r="S91" i="38" s="1"/>
  <c r="AD91" i="38" s="1"/>
  <c r="Q91" i="38"/>
  <c r="P91" i="38"/>
  <c r="AQ90" i="38"/>
  <c r="AO90" i="38"/>
  <c r="Y90" i="38"/>
  <c r="X90" i="38"/>
  <c r="S90" i="38"/>
  <c r="AD90" i="38" s="1"/>
  <c r="Q90" i="38"/>
  <c r="P90" i="38"/>
  <c r="AQ89" i="38"/>
  <c r="AO89" i="38"/>
  <c r="Y89" i="38"/>
  <c r="X89" i="38"/>
  <c r="S89" i="38"/>
  <c r="Q89" i="38"/>
  <c r="U89" i="38" s="1"/>
  <c r="P89" i="38"/>
  <c r="AQ88" i="38"/>
  <c r="AO88" i="38"/>
  <c r="Y88" i="38"/>
  <c r="X88" i="38"/>
  <c r="S88" i="38"/>
  <c r="Q88" i="38"/>
  <c r="U88" i="38" s="1"/>
  <c r="P88" i="38"/>
  <c r="AQ87" i="38"/>
  <c r="AO87" i="38"/>
  <c r="Y87" i="38"/>
  <c r="X87" i="38"/>
  <c r="S87" i="38"/>
  <c r="Q87" i="38"/>
  <c r="U87" i="38" s="1"/>
  <c r="P87" i="38"/>
  <c r="AQ86" i="38"/>
  <c r="AO86" i="38"/>
  <c r="Y86" i="38"/>
  <c r="X86" i="38"/>
  <c r="S86" i="38"/>
  <c r="Q86" i="38"/>
  <c r="U86" i="38" s="1"/>
  <c r="P86" i="38"/>
  <c r="AQ85" i="38"/>
  <c r="AO85" i="38"/>
  <c r="Y85" i="38"/>
  <c r="X85" i="38"/>
  <c r="S85" i="38"/>
  <c r="AD85" i="38" s="1"/>
  <c r="Q85" i="38"/>
  <c r="P85" i="38"/>
  <c r="AQ84" i="38"/>
  <c r="AO84" i="38"/>
  <c r="Y84" i="38"/>
  <c r="X84" i="38"/>
  <c r="S84" i="38"/>
  <c r="AD84" i="38" s="1"/>
  <c r="Q84" i="38"/>
  <c r="P84" i="38"/>
  <c r="AQ83" i="38"/>
  <c r="AO83" i="38"/>
  <c r="Y83" i="38"/>
  <c r="X83" i="38"/>
  <c r="S83" i="38"/>
  <c r="AD83" i="38" s="1"/>
  <c r="Q83" i="38"/>
  <c r="P83" i="38"/>
  <c r="AQ82" i="38"/>
  <c r="AO82" i="38"/>
  <c r="Y82" i="38"/>
  <c r="X82" i="38"/>
  <c r="S82" i="38"/>
  <c r="Q82" i="38"/>
  <c r="U82" i="38" s="1"/>
  <c r="P82" i="38"/>
  <c r="AQ81" i="38"/>
  <c r="AO81" i="38"/>
  <c r="Y81" i="38"/>
  <c r="S81" i="38"/>
  <c r="Q81" i="38"/>
  <c r="U81" i="38" s="1"/>
  <c r="P81" i="38"/>
  <c r="AQ80" i="38"/>
  <c r="AO80" i="38"/>
  <c r="Y80" i="38"/>
  <c r="S80" i="38"/>
  <c r="Q80" i="38"/>
  <c r="P80" i="38"/>
  <c r="AQ79" i="38"/>
  <c r="AO79" i="38"/>
  <c r="Y79" i="38"/>
  <c r="S79" i="38"/>
  <c r="Q79" i="38"/>
  <c r="U79" i="38" s="1"/>
  <c r="P79" i="38"/>
  <c r="AQ78" i="38"/>
  <c r="AO78" i="38"/>
  <c r="Y78" i="38"/>
  <c r="S78" i="38"/>
  <c r="Q78" i="38"/>
  <c r="AQ77" i="38"/>
  <c r="AO77" i="38"/>
  <c r="Y77" i="38"/>
  <c r="S77" i="38"/>
  <c r="Q77" i="38"/>
  <c r="P77" i="38"/>
  <c r="AQ76" i="38"/>
  <c r="AO76" i="38"/>
  <c r="Y76" i="38"/>
  <c r="S76" i="38"/>
  <c r="Q76" i="38"/>
  <c r="U76" i="38" s="1"/>
  <c r="P76" i="38"/>
  <c r="AQ75" i="38"/>
  <c r="AO75" i="38"/>
  <c r="Y75" i="38"/>
  <c r="S75" i="38"/>
  <c r="Q75" i="38"/>
  <c r="U75" i="38" s="1"/>
  <c r="P75" i="38"/>
  <c r="AQ74" i="38"/>
  <c r="Y73" i="38"/>
  <c r="X73" i="38"/>
  <c r="S73" i="38"/>
  <c r="Q73" i="38"/>
  <c r="U73" i="38" s="1"/>
  <c r="P73" i="38"/>
  <c r="Y72" i="38"/>
  <c r="X72" i="38"/>
  <c r="S72" i="38"/>
  <c r="Q72" i="38"/>
  <c r="U72" i="38" s="1"/>
  <c r="P72" i="38"/>
  <c r="AQ71" i="38"/>
  <c r="AO71" i="38"/>
  <c r="Y71" i="38"/>
  <c r="S71" i="38"/>
  <c r="AQ70" i="38"/>
  <c r="AO70" i="38"/>
  <c r="Y70" i="38"/>
  <c r="S70" i="38"/>
  <c r="P70" i="38"/>
  <c r="AQ69" i="38"/>
  <c r="AO69" i="38"/>
  <c r="Y69" i="38"/>
  <c r="S69" i="38"/>
  <c r="P69" i="38"/>
  <c r="AO68" i="38"/>
  <c r="Y68" i="38"/>
  <c r="X68" i="38"/>
  <c r="S68" i="38"/>
  <c r="Q68" i="38"/>
  <c r="U68" i="38" s="1"/>
  <c r="P68" i="38"/>
  <c r="AO67" i="38"/>
  <c r="Y67" i="38"/>
  <c r="X67" i="38"/>
  <c r="S67" i="38"/>
  <c r="Q67" i="38"/>
  <c r="U67" i="38" s="1"/>
  <c r="P67" i="38"/>
  <c r="AO66" i="38"/>
  <c r="Y66" i="38"/>
  <c r="X66" i="38"/>
  <c r="S66" i="38"/>
  <c r="Q66" i="38"/>
  <c r="U66" i="38" s="1"/>
  <c r="P66" i="38"/>
  <c r="AO65" i="38"/>
  <c r="Y65" i="38"/>
  <c r="X65" i="38"/>
  <c r="S65" i="38"/>
  <c r="Q65" i="38"/>
  <c r="U65" i="38" s="1"/>
  <c r="P65" i="38"/>
  <c r="AO64" i="38"/>
  <c r="Y64" i="38"/>
  <c r="X64" i="38"/>
  <c r="S64" i="38"/>
  <c r="Q64" i="38"/>
  <c r="U64" i="38" s="1"/>
  <c r="P64" i="38"/>
  <c r="AO63" i="38"/>
  <c r="Y63" i="38"/>
  <c r="X63" i="38"/>
  <c r="S63" i="38"/>
  <c r="Q63" i="38"/>
  <c r="U63" i="38" s="1"/>
  <c r="P63" i="38"/>
  <c r="AQ62" i="38"/>
  <c r="AO62" i="38"/>
  <c r="Y62" i="38"/>
  <c r="X62" i="38"/>
  <c r="S62" i="38"/>
  <c r="Q62" i="38"/>
  <c r="U62" i="38" s="1"/>
  <c r="P62" i="38"/>
  <c r="AQ61" i="38"/>
  <c r="AO61" i="38"/>
  <c r="Y61" i="38"/>
  <c r="X61" i="38"/>
  <c r="S61" i="38"/>
  <c r="Q61" i="38"/>
  <c r="U61" i="38" s="1"/>
  <c r="P61" i="38"/>
  <c r="AQ60" i="38"/>
  <c r="AO60" i="38"/>
  <c r="Y60" i="38"/>
  <c r="X60" i="38"/>
  <c r="S60" i="38"/>
  <c r="Q60" i="38"/>
  <c r="U60" i="38" s="1"/>
  <c r="P60" i="38"/>
  <c r="AQ59" i="38"/>
  <c r="AO59" i="38"/>
  <c r="Y59" i="38"/>
  <c r="X59" i="38"/>
  <c r="S59" i="38"/>
  <c r="Q59" i="38"/>
  <c r="U59" i="38" s="1"/>
  <c r="P59" i="38"/>
  <c r="AQ58" i="38"/>
  <c r="AO58" i="38"/>
  <c r="Y58" i="38"/>
  <c r="X58" i="38"/>
  <c r="S58" i="38"/>
  <c r="Q58" i="38"/>
  <c r="U58" i="38" s="1"/>
  <c r="P58" i="38"/>
  <c r="AQ57" i="38"/>
  <c r="AO57" i="38"/>
  <c r="Y57" i="38"/>
  <c r="X57" i="38"/>
  <c r="S57" i="38"/>
  <c r="Q57" i="38"/>
  <c r="U57" i="38" s="1"/>
  <c r="P57" i="38"/>
  <c r="AQ56" i="38"/>
  <c r="AO56" i="38"/>
  <c r="Y56" i="38"/>
  <c r="X56" i="38"/>
  <c r="S56" i="38"/>
  <c r="Q56" i="38"/>
  <c r="U56" i="38" s="1"/>
  <c r="P56" i="38"/>
  <c r="AQ55" i="38"/>
  <c r="AO55" i="38"/>
  <c r="Y55" i="38"/>
  <c r="X55" i="38"/>
  <c r="S55" i="38"/>
  <c r="Q55" i="38"/>
  <c r="U55" i="38" s="1"/>
  <c r="P55" i="38"/>
  <c r="AQ54" i="38"/>
  <c r="AO54" i="38"/>
  <c r="Y54" i="38"/>
  <c r="X54" i="38"/>
  <c r="S54" i="38"/>
  <c r="Q54" i="38"/>
  <c r="U54" i="38" s="1"/>
  <c r="P54" i="38"/>
  <c r="AQ53" i="38"/>
  <c r="AO53" i="38"/>
  <c r="Y53" i="38"/>
  <c r="X53" i="38"/>
  <c r="S53" i="38"/>
  <c r="Q53" i="38"/>
  <c r="U53" i="38" s="1"/>
  <c r="P53" i="38"/>
  <c r="AQ52" i="38"/>
  <c r="AO52" i="38"/>
  <c r="Y52" i="38"/>
  <c r="X52" i="38"/>
  <c r="S52" i="38"/>
  <c r="Q52" i="38"/>
  <c r="U52" i="38" s="1"/>
  <c r="P52" i="38"/>
  <c r="AQ51" i="38"/>
  <c r="AO51" i="38"/>
  <c r="Y51" i="38"/>
  <c r="X51" i="38"/>
  <c r="S51" i="38"/>
  <c r="Q51" i="38"/>
  <c r="U51" i="38" s="1"/>
  <c r="P51" i="38"/>
  <c r="AQ50" i="38"/>
  <c r="AO50" i="38"/>
  <c r="Y50" i="38"/>
  <c r="X50" i="38"/>
  <c r="S50" i="38"/>
  <c r="Q50" i="38"/>
  <c r="U50" i="38" s="1"/>
  <c r="P50" i="38"/>
  <c r="AQ49" i="38"/>
  <c r="AO49" i="38"/>
  <c r="Y49" i="38"/>
  <c r="X49" i="38"/>
  <c r="S49" i="38"/>
  <c r="Q49" i="38"/>
  <c r="U49" i="38" s="1"/>
  <c r="P49" i="38"/>
  <c r="AQ48" i="38"/>
  <c r="AO48" i="38"/>
  <c r="Y48" i="38"/>
  <c r="X48" i="38"/>
  <c r="S48" i="38"/>
  <c r="Q48" i="38"/>
  <c r="U48" i="38" s="1"/>
  <c r="P48" i="38"/>
  <c r="AQ47" i="38"/>
  <c r="AO47" i="38"/>
  <c r="Y47" i="38"/>
  <c r="X47" i="38"/>
  <c r="S47" i="38"/>
  <c r="Q47" i="38"/>
  <c r="U47" i="38" s="1"/>
  <c r="P47" i="38"/>
  <c r="AQ46" i="38"/>
  <c r="AO46" i="38"/>
  <c r="Y46" i="38"/>
  <c r="X46" i="38"/>
  <c r="S46" i="38"/>
  <c r="Q46" i="38"/>
  <c r="U46" i="38" s="1"/>
  <c r="P46" i="38"/>
  <c r="AQ45" i="38"/>
  <c r="AO45" i="38"/>
  <c r="Y45" i="38"/>
  <c r="X45" i="38"/>
  <c r="S45" i="38"/>
  <c r="Q45" i="38"/>
  <c r="U45" i="38" s="1"/>
  <c r="P45" i="38"/>
  <c r="AQ44" i="38"/>
  <c r="AO44" i="38"/>
  <c r="Y44" i="38"/>
  <c r="X44" i="38"/>
  <c r="S44" i="38"/>
  <c r="Q44" i="38"/>
  <c r="U44" i="38" s="1"/>
  <c r="P44" i="38"/>
  <c r="AQ43" i="38"/>
  <c r="AO43" i="38"/>
  <c r="Y43" i="38"/>
  <c r="X43" i="38"/>
  <c r="S43" i="38"/>
  <c r="Q43" i="38"/>
  <c r="U43" i="38" s="1"/>
  <c r="P43" i="38"/>
  <c r="AQ42" i="38"/>
  <c r="AO42" i="38"/>
  <c r="Y42" i="38"/>
  <c r="X42" i="38"/>
  <c r="S42" i="38"/>
  <c r="Q42" i="38"/>
  <c r="U42" i="38" s="1"/>
  <c r="P42" i="38"/>
  <c r="AQ41" i="38"/>
  <c r="AO41" i="38"/>
  <c r="Y41" i="38"/>
  <c r="X41" i="38"/>
  <c r="S41" i="38"/>
  <c r="Q41" i="38"/>
  <c r="U41" i="38" s="1"/>
  <c r="P41" i="38"/>
  <c r="AQ40" i="38"/>
  <c r="AO40" i="38"/>
  <c r="Y40" i="38"/>
  <c r="X40" i="38"/>
  <c r="S40" i="38"/>
  <c r="Q40" i="38"/>
  <c r="U40" i="38" s="1"/>
  <c r="P40" i="38"/>
  <c r="AQ39" i="38"/>
  <c r="AO39" i="38"/>
  <c r="Y39" i="38"/>
  <c r="X39" i="38"/>
  <c r="S39" i="38"/>
  <c r="Q39" i="38"/>
  <c r="U39" i="38" s="1"/>
  <c r="P39" i="38"/>
  <c r="AQ38" i="38"/>
  <c r="AO38" i="38"/>
  <c r="Y38" i="38"/>
  <c r="X38" i="38"/>
  <c r="S38" i="38"/>
  <c r="Q38" i="38"/>
  <c r="U38" i="38" s="1"/>
  <c r="P38" i="38"/>
  <c r="AQ37" i="38"/>
  <c r="AO37" i="38"/>
  <c r="Y37" i="38"/>
  <c r="X37" i="38"/>
  <c r="S37" i="38"/>
  <c r="Q37" i="38"/>
  <c r="U37" i="38" s="1"/>
  <c r="P37" i="38"/>
  <c r="AQ36" i="38"/>
  <c r="AO36" i="38"/>
  <c r="Y36" i="38"/>
  <c r="X36" i="38"/>
  <c r="S36" i="38"/>
  <c r="Q36" i="38"/>
  <c r="U36" i="38" s="1"/>
  <c r="AQ35" i="38"/>
  <c r="AO35" i="38"/>
  <c r="Y35" i="38"/>
  <c r="S35" i="38"/>
  <c r="Q35" i="38"/>
  <c r="U35" i="38" s="1"/>
  <c r="AQ34" i="38"/>
  <c r="AO34" i="38"/>
  <c r="Y34" i="38"/>
  <c r="S34" i="38"/>
  <c r="Q34" i="38"/>
  <c r="P34" i="38"/>
  <c r="AQ33" i="38"/>
  <c r="AO33" i="38"/>
  <c r="Y33" i="38"/>
  <c r="S33" i="38"/>
  <c r="Q33" i="38"/>
  <c r="P33" i="38"/>
  <c r="AQ32" i="38"/>
  <c r="AO32" i="38"/>
  <c r="Y32" i="38"/>
  <c r="S32" i="38"/>
  <c r="Q32" i="38"/>
  <c r="U32" i="38" s="1"/>
  <c r="AQ31" i="38"/>
  <c r="AO31" i="38"/>
  <c r="Y31" i="38"/>
  <c r="S31" i="38"/>
  <c r="Q31" i="38"/>
  <c r="U31" i="38" s="1"/>
  <c r="AQ30" i="38"/>
  <c r="AO30" i="38"/>
  <c r="Y30" i="38"/>
  <c r="S30" i="38"/>
  <c r="Q30" i="38"/>
  <c r="U30" i="38" s="1"/>
  <c r="P30" i="38"/>
  <c r="AQ29" i="38"/>
  <c r="AO29" i="38"/>
  <c r="Y29" i="38"/>
  <c r="X29" i="38"/>
  <c r="S29" i="38"/>
  <c r="Q29" i="38"/>
  <c r="U29" i="38" s="1"/>
  <c r="P29" i="38"/>
  <c r="AQ28" i="38"/>
  <c r="AO28" i="38"/>
  <c r="Y28" i="38"/>
  <c r="X28" i="38"/>
  <c r="S28" i="38"/>
  <c r="Q28" i="38"/>
  <c r="U28" i="38" s="1"/>
  <c r="P28" i="38"/>
  <c r="AQ27" i="38"/>
  <c r="AO27" i="38"/>
  <c r="Y27" i="38"/>
  <c r="X27" i="38"/>
  <c r="S27" i="38"/>
  <c r="Q27" i="38"/>
  <c r="U27" i="38" s="1"/>
  <c r="P27" i="38"/>
  <c r="AQ26" i="38"/>
  <c r="AO26" i="38"/>
  <c r="Y26" i="38"/>
  <c r="X26" i="38"/>
  <c r="S26" i="38"/>
  <c r="Q26" i="38"/>
  <c r="U26" i="38" s="1"/>
  <c r="P26" i="38"/>
  <c r="AQ25" i="38"/>
  <c r="AO25" i="38"/>
  <c r="Y25" i="38"/>
  <c r="X25" i="38"/>
  <c r="S25" i="38"/>
  <c r="Q25" i="38"/>
  <c r="U25" i="38" s="1"/>
  <c r="P25" i="38"/>
  <c r="AQ24" i="38"/>
  <c r="AO24" i="38"/>
  <c r="Y24" i="38"/>
  <c r="X24" i="38"/>
  <c r="S24" i="38"/>
  <c r="Q24" i="38"/>
  <c r="U24" i="38" s="1"/>
  <c r="P24" i="38"/>
  <c r="AQ23" i="38"/>
  <c r="AO23" i="38"/>
  <c r="Y23" i="38"/>
  <c r="X23" i="38"/>
  <c r="S23" i="38"/>
  <c r="Q23" i="38"/>
  <c r="U23" i="38" s="1"/>
  <c r="P23" i="38"/>
  <c r="AQ22" i="38"/>
  <c r="AO22" i="38"/>
  <c r="Y22" i="38"/>
  <c r="X22" i="38"/>
  <c r="S22" i="38"/>
  <c r="Q22" i="38"/>
  <c r="U22" i="38" s="1"/>
  <c r="P22" i="38"/>
  <c r="AQ21" i="38"/>
  <c r="AO21" i="38"/>
  <c r="Y21" i="38"/>
  <c r="X21" i="38"/>
  <c r="T21" i="38"/>
  <c r="S21" i="38"/>
  <c r="AD21" i="38" s="1"/>
  <c r="Q21" i="38"/>
  <c r="U21" i="38" s="1"/>
  <c r="P21" i="38"/>
  <c r="AQ20" i="38"/>
  <c r="AO20" i="38"/>
  <c r="Y20" i="38"/>
  <c r="X20" i="38"/>
  <c r="S20" i="38"/>
  <c r="Q20" i="38"/>
  <c r="U20" i="38" s="1"/>
  <c r="P20" i="38"/>
  <c r="AQ19" i="38"/>
  <c r="AO19" i="38"/>
  <c r="Y19" i="38"/>
  <c r="X19" i="38"/>
  <c r="S19" i="38"/>
  <c r="Q19" i="38"/>
  <c r="U19" i="38" s="1"/>
  <c r="P19" i="38"/>
  <c r="AQ18" i="38"/>
  <c r="AO18" i="38"/>
  <c r="Y18" i="38"/>
  <c r="X18" i="38"/>
  <c r="S18" i="38"/>
  <c r="Q18" i="38"/>
  <c r="U18" i="38" s="1"/>
  <c r="P18" i="38"/>
  <c r="AQ17" i="38"/>
  <c r="AO17" i="38"/>
  <c r="Y17" i="38"/>
  <c r="X17" i="38"/>
  <c r="S17" i="38"/>
  <c r="Q17" i="38"/>
  <c r="U17" i="38" s="1"/>
  <c r="P17" i="38"/>
  <c r="AQ16" i="38"/>
  <c r="AO16" i="38"/>
  <c r="Y16" i="38"/>
  <c r="X16" i="38"/>
  <c r="S16" i="38"/>
  <c r="Q16" i="38"/>
  <c r="U16" i="38" s="1"/>
  <c r="P16" i="38"/>
  <c r="AQ15" i="38"/>
  <c r="AO15" i="38"/>
  <c r="Y15" i="38"/>
  <c r="X15" i="38"/>
  <c r="S15" i="38"/>
  <c r="Q15" i="38"/>
  <c r="U15" i="38" s="1"/>
  <c r="P15" i="38"/>
  <c r="AQ14" i="38"/>
  <c r="AO14" i="38"/>
  <c r="Y14" i="38"/>
  <c r="X14" i="38"/>
  <c r="S14" i="38"/>
  <c r="Q14" i="38"/>
  <c r="U14" i="38" s="1"/>
  <c r="P14" i="38"/>
  <c r="AQ13" i="38"/>
  <c r="AO13" i="38"/>
  <c r="Y13" i="38"/>
  <c r="X13" i="38"/>
  <c r="S13" i="38"/>
  <c r="Q13" i="38"/>
  <c r="U13" i="38" s="1"/>
  <c r="P13" i="38"/>
  <c r="AQ12" i="38"/>
  <c r="AO12" i="38"/>
  <c r="Y12" i="38"/>
  <c r="X12" i="38"/>
  <c r="S12" i="38"/>
  <c r="Q12" i="38"/>
  <c r="U12" i="38" s="1"/>
  <c r="P12" i="38"/>
  <c r="AQ11" i="38"/>
  <c r="AO11" i="38"/>
  <c r="Y11" i="38"/>
  <c r="X11" i="38"/>
  <c r="S11" i="38"/>
  <c r="Q11" i="38"/>
  <c r="U11" i="38" s="1"/>
  <c r="P11" i="38"/>
  <c r="AQ10" i="38"/>
  <c r="AO10" i="38"/>
  <c r="Y10" i="38"/>
  <c r="X10" i="38"/>
  <c r="S10" i="38"/>
  <c r="Q10" i="38"/>
  <c r="P10" i="38"/>
  <c r="AQ9" i="38"/>
  <c r="AO9" i="38"/>
  <c r="Y9" i="38"/>
  <c r="X9" i="38"/>
  <c r="S9" i="38"/>
  <c r="Q9" i="38"/>
  <c r="U9" i="38" s="1"/>
  <c r="AQ8" i="38"/>
  <c r="AO8" i="38"/>
  <c r="Y8" i="38"/>
  <c r="X8" i="38"/>
  <c r="S8" i="38"/>
  <c r="T8" i="38" s="1"/>
  <c r="Q8" i="38"/>
  <c r="U8" i="38" s="1"/>
  <c r="P8" i="38"/>
  <c r="AD8" i="38" s="1"/>
  <c r="AQ7" i="38"/>
  <c r="AO7" i="38"/>
  <c r="Y7" i="38"/>
  <c r="X7" i="38"/>
  <c r="S7" i="38"/>
  <c r="Q7" i="38"/>
  <c r="U7" i="38" s="1"/>
  <c r="P7" i="38"/>
  <c r="AQ6" i="38"/>
  <c r="AO6" i="38"/>
  <c r="Y6" i="38"/>
  <c r="X6" i="38"/>
  <c r="S6" i="38"/>
  <c r="Q6" i="38"/>
  <c r="U6" i="38" s="1"/>
  <c r="P6" i="38"/>
  <c r="AQ5" i="38"/>
  <c r="AO5" i="38"/>
  <c r="Y5" i="38"/>
  <c r="X5" i="38"/>
  <c r="S5" i="38"/>
  <c r="Q5" i="38"/>
  <c r="U5" i="38" s="1"/>
  <c r="P5" i="38"/>
  <c r="BC4" i="38"/>
  <c r="BB4" i="38"/>
  <c r="BA4" i="38"/>
  <c r="AZ4" i="38"/>
  <c r="BD4" i="38" s="1"/>
  <c r="AY4" i="38"/>
  <c r="AW4" i="38"/>
  <c r="AV4" i="38"/>
  <c r="AX4" i="38" s="1"/>
  <c r="AT4" i="38"/>
  <c r="AS4" i="38"/>
  <c r="AU4" i="38" s="1"/>
  <c r="AQ4" i="38"/>
  <c r="AO4" i="38"/>
  <c r="Y4" i="38"/>
  <c r="X4" i="38"/>
  <c r="S4" i="38"/>
  <c r="Q4" i="38"/>
  <c r="U4" i="38" s="1"/>
  <c r="P4" i="38"/>
  <c r="L102" i="37"/>
  <c r="M102" i="37" s="1"/>
  <c r="L90" i="37"/>
  <c r="M90" i="37" s="1"/>
  <c r="L85" i="37"/>
  <c r="M85" i="37" s="1"/>
  <c r="L80" i="37"/>
  <c r="M80" i="37" s="1"/>
  <c r="L76" i="37"/>
  <c r="M76" i="37" s="1"/>
  <c r="L73" i="37"/>
  <c r="M73" i="37" s="1"/>
  <c r="L71" i="37"/>
  <c r="M71" i="37" s="1"/>
  <c r="L69" i="37"/>
  <c r="M69" i="37" s="1"/>
  <c r="L68" i="37"/>
  <c r="M68" i="37" s="1"/>
  <c r="L67" i="37"/>
  <c r="M67" i="37" s="1"/>
  <c r="L66" i="37"/>
  <c r="M66" i="37" s="1"/>
  <c r="L63" i="37"/>
  <c r="M63" i="37" s="1"/>
  <c r="L62" i="37"/>
  <c r="M62" i="37" s="1"/>
  <c r="L60" i="37"/>
  <c r="M60" i="37" s="1"/>
  <c r="L59" i="37"/>
  <c r="M59" i="37" s="1"/>
  <c r="L57" i="37"/>
  <c r="M57" i="37" s="1"/>
  <c r="L55" i="37"/>
  <c r="M55" i="37" s="1"/>
  <c r="L52" i="37"/>
  <c r="M52" i="37" s="1"/>
  <c r="L51" i="37"/>
  <c r="M51" i="37" s="1"/>
  <c r="L48" i="37"/>
  <c r="M48" i="37" s="1"/>
  <c r="L45" i="37"/>
  <c r="M45" i="37" s="1"/>
  <c r="L42" i="37"/>
  <c r="M42" i="37" s="1"/>
  <c r="L39" i="37"/>
  <c r="M39" i="37" s="1"/>
  <c r="L37" i="37"/>
  <c r="M37" i="37" s="1"/>
  <c r="L36" i="37"/>
  <c r="M36" i="37" s="1"/>
  <c r="L34" i="37"/>
  <c r="M34" i="37" s="1"/>
  <c r="L30" i="37"/>
  <c r="M30" i="37" s="1"/>
  <c r="L28" i="37"/>
  <c r="M28" i="37" s="1"/>
  <c r="L26" i="37"/>
  <c r="M26" i="37" s="1"/>
  <c r="L25" i="37"/>
  <c r="M25" i="37" s="1"/>
  <c r="L23" i="37"/>
  <c r="M23" i="37" s="1"/>
  <c r="L22" i="37"/>
  <c r="M22" i="37" s="1"/>
  <c r="L20" i="37"/>
  <c r="M20" i="37" s="1"/>
  <c r="L18" i="37"/>
  <c r="M18" i="37" s="1"/>
  <c r="L17" i="37"/>
  <c r="M17" i="37" s="1"/>
  <c r="L16" i="37"/>
  <c r="M16" i="37" s="1"/>
  <c r="L14" i="37"/>
  <c r="M14" i="37" s="1"/>
  <c r="L12" i="37"/>
  <c r="M12" i="37" s="1"/>
  <c r="L10" i="37"/>
  <c r="M10" i="37" s="1"/>
  <c r="Q10" i="37" s="1"/>
  <c r="BC47" i="30"/>
  <c r="BB47" i="30"/>
  <c r="BA47" i="30"/>
  <c r="BC46" i="30"/>
  <c r="BB46" i="30"/>
  <c r="AZ46" i="30"/>
  <c r="BA46" i="30" s="1"/>
  <c r="BC42" i="30"/>
  <c r="BB42" i="30"/>
  <c r="BA42" i="30"/>
  <c r="AZ42" i="30"/>
  <c r="BC41" i="30"/>
  <c r="BB41" i="30"/>
  <c r="BC40" i="30"/>
  <c r="BB40" i="30"/>
  <c r="BA40" i="30"/>
  <c r="AZ40" i="30"/>
  <c r="BA39" i="30"/>
  <c r="BC39" i="30" s="1"/>
  <c r="BC37" i="30"/>
  <c r="BB37" i="30"/>
  <c r="BA37" i="30"/>
  <c r="AZ37" i="30"/>
  <c r="BC36" i="30"/>
  <c r="BB36" i="30"/>
  <c r="BA36" i="30"/>
  <c r="BC33" i="30"/>
  <c r="BB33" i="30"/>
  <c r="BA33" i="30"/>
  <c r="AZ33" i="30"/>
  <c r="BB31" i="30"/>
  <c r="BC29" i="30"/>
  <c r="BB29" i="30"/>
  <c r="BA29" i="30"/>
  <c r="BC26" i="30"/>
  <c r="BB26" i="30"/>
  <c r="BC25" i="30"/>
  <c r="BB25" i="30"/>
  <c r="BA25" i="30"/>
  <c r="BC23" i="30"/>
  <c r="BB23" i="30"/>
  <c r="BA23" i="30"/>
  <c r="AZ23" i="30"/>
  <c r="BC22" i="30"/>
  <c r="BB22" i="30"/>
  <c r="BA22" i="30"/>
  <c r="BC20" i="30"/>
  <c r="BB20" i="30"/>
  <c r="BC19" i="30"/>
  <c r="BB19" i="30"/>
  <c r="BA19" i="30"/>
  <c r="BC18" i="30"/>
  <c r="BB18" i="30"/>
  <c r="BA18" i="30"/>
  <c r="BA16" i="30"/>
  <c r="BC16" i="30" s="1"/>
  <c r="BC13" i="30"/>
  <c r="BB13" i="30"/>
  <c r="BA13" i="30"/>
  <c r="BB10" i="30"/>
  <c r="BA10" i="30"/>
  <c r="BC10" i="30" s="1"/>
  <c r="AZ10" i="30"/>
  <c r="AZ4" i="30"/>
  <c r="BC3" i="30"/>
  <c r="BB3" i="30"/>
  <c r="AZ3" i="30"/>
  <c r="I110" i="15"/>
  <c r="I204" i="15"/>
  <c r="I347" i="15"/>
  <c r="I81" i="15"/>
  <c r="J81" i="15"/>
  <c r="I86" i="15"/>
  <c r="J86" i="15"/>
  <c r="I89" i="15"/>
  <c r="J89" i="15"/>
  <c r="I100" i="15"/>
  <c r="J100" i="15"/>
  <c r="I103" i="15"/>
  <c r="J103" i="15"/>
  <c r="J110" i="15"/>
  <c r="I115" i="15"/>
  <c r="J115" i="15"/>
  <c r="I124" i="15"/>
  <c r="J124" i="15"/>
  <c r="I131" i="15"/>
  <c r="J131" i="15"/>
  <c r="J138" i="15"/>
  <c r="I141" i="15"/>
  <c r="J141" i="15"/>
  <c r="I150" i="15"/>
  <c r="J150" i="15"/>
  <c r="I151" i="15"/>
  <c r="J151" i="15"/>
  <c r="I161" i="15"/>
  <c r="J161" i="15"/>
  <c r="I163" i="15"/>
  <c r="J163" i="15"/>
  <c r="I175" i="15"/>
  <c r="J175" i="15"/>
  <c r="I191" i="15"/>
  <c r="J191" i="15"/>
  <c r="I193" i="15"/>
  <c r="J193" i="15"/>
  <c r="J201" i="15"/>
  <c r="I79" i="15"/>
  <c r="J79" i="15"/>
  <c r="I223" i="15"/>
  <c r="J223" i="15"/>
  <c r="J240" i="15"/>
  <c r="I247" i="15"/>
  <c r="J247" i="15"/>
  <c r="I255" i="15"/>
  <c r="J255" i="15"/>
  <c r="I263" i="15"/>
  <c r="J263" i="15"/>
  <c r="I265" i="15"/>
  <c r="J265" i="15"/>
  <c r="I181" i="15"/>
  <c r="J181" i="15"/>
  <c r="I272" i="15"/>
  <c r="J272" i="15"/>
  <c r="J278" i="15"/>
  <c r="J283" i="15"/>
  <c r="I287" i="15"/>
  <c r="J287" i="15"/>
  <c r="J294" i="15"/>
  <c r="J296" i="15"/>
  <c r="I300" i="15"/>
  <c r="J300" i="15"/>
  <c r="I305" i="15"/>
  <c r="J305" i="15"/>
  <c r="I322" i="15"/>
  <c r="J322" i="15"/>
  <c r="I330" i="15"/>
  <c r="J330" i="15"/>
  <c r="I334" i="15"/>
  <c r="J334" i="15"/>
  <c r="I336" i="15"/>
  <c r="J336" i="15" s="1"/>
  <c r="I341" i="15"/>
  <c r="J341" i="15"/>
  <c r="J347" i="15"/>
  <c r="J204" i="15"/>
  <c r="I207" i="15"/>
  <c r="J207" i="15" s="1"/>
  <c r="I216" i="15"/>
  <c r="J216" i="15"/>
  <c r="I5" i="15"/>
  <c r="J5" i="15"/>
  <c r="I15" i="15"/>
  <c r="J15" i="15"/>
  <c r="I29" i="15"/>
  <c r="J29" i="15"/>
  <c r="J57" i="15"/>
  <c r="I61" i="15"/>
  <c r="J61" i="15"/>
  <c r="I64" i="15"/>
  <c r="J64" i="15"/>
  <c r="I72" i="15"/>
  <c r="J72" i="15"/>
  <c r="J74" i="15"/>
  <c r="I77" i="15"/>
  <c r="J77" i="15"/>
  <c r="H444" i="2"/>
  <c r="I444" i="2" s="1"/>
  <c r="H436" i="2"/>
  <c r="I436" i="2" s="1"/>
  <c r="H428" i="2"/>
  <c r="I428" i="2" s="1"/>
  <c r="H420" i="2"/>
  <c r="I420" i="2" s="1"/>
  <c r="H412" i="2"/>
  <c r="I412" i="2" s="1"/>
  <c r="H404" i="2"/>
  <c r="I404" i="2" s="1"/>
  <c r="H396" i="2"/>
  <c r="I396" i="2" s="1"/>
  <c r="H388" i="2"/>
  <c r="I388" i="2" s="1"/>
  <c r="H380" i="2"/>
  <c r="I380" i="2" s="1"/>
  <c r="H372" i="2"/>
  <c r="I372" i="2" s="1"/>
  <c r="H364" i="2"/>
  <c r="I364" i="2" s="1"/>
  <c r="H356" i="2"/>
  <c r="I356" i="2" s="1"/>
  <c r="H348" i="2"/>
  <c r="I348" i="2" s="1"/>
  <c r="H340" i="2"/>
  <c r="I340" i="2" s="1"/>
  <c r="H332" i="2"/>
  <c r="I332" i="2" s="1"/>
  <c r="H324" i="2"/>
  <c r="I324" i="2" s="1"/>
  <c r="H316" i="2"/>
  <c r="I316" i="2" s="1"/>
  <c r="H308" i="2"/>
  <c r="I308" i="2" s="1"/>
  <c r="H300" i="2"/>
  <c r="I300" i="2" s="1"/>
  <c r="H292" i="2"/>
  <c r="I292" i="2" s="1"/>
  <c r="H284" i="2"/>
  <c r="I284" i="2" s="1"/>
  <c r="H276" i="2"/>
  <c r="I276" i="2" s="1"/>
  <c r="H268" i="2"/>
  <c r="I268" i="2" s="1"/>
  <c r="H260" i="2"/>
  <c r="I260" i="2" s="1"/>
  <c r="H252" i="2"/>
  <c r="I252" i="2" s="1"/>
  <c r="H244" i="2"/>
  <c r="I244" i="2" s="1"/>
  <c r="H236" i="2"/>
  <c r="I236" i="2" s="1"/>
  <c r="H228" i="2"/>
  <c r="I228" i="2" s="1"/>
  <c r="H220" i="2"/>
  <c r="I220" i="2" s="1"/>
  <c r="H212" i="2"/>
  <c r="I212" i="2" s="1"/>
  <c r="H204" i="2"/>
  <c r="I204" i="2" s="1"/>
  <c r="H196" i="2"/>
  <c r="I196" i="2" s="1"/>
  <c r="H188" i="2"/>
  <c r="I188" i="2" s="1"/>
  <c r="H180" i="2"/>
  <c r="I180" i="2" s="1"/>
  <c r="H172" i="2"/>
  <c r="I172" i="2" s="1"/>
  <c r="H164" i="2"/>
  <c r="I164" i="2" s="1"/>
  <c r="H156" i="2"/>
  <c r="I156" i="2" s="1"/>
  <c r="H148" i="2"/>
  <c r="I148" i="2" s="1"/>
  <c r="H140" i="2"/>
  <c r="I140" i="2" s="1"/>
  <c r="H132" i="2"/>
  <c r="I132" i="2" s="1"/>
  <c r="H124" i="2"/>
  <c r="I124" i="2" s="1"/>
  <c r="H116" i="2"/>
  <c r="I116" i="2" s="1"/>
  <c r="H108" i="2"/>
  <c r="I108" i="2" s="1"/>
  <c r="H100" i="2"/>
  <c r="I100" i="2" s="1"/>
  <c r="H92" i="2"/>
  <c r="I92" i="2" s="1"/>
  <c r="H84" i="2"/>
  <c r="I84" i="2" s="1"/>
  <c r="H76" i="2"/>
  <c r="I76" i="2" s="1"/>
  <c r="H68" i="2"/>
  <c r="I68" i="2" s="1"/>
  <c r="H60" i="2"/>
  <c r="I60" i="2" s="1"/>
  <c r="H52" i="2"/>
  <c r="I52" i="2" s="1"/>
  <c r="H44" i="2"/>
  <c r="I44" i="2" s="1"/>
  <c r="H36" i="2"/>
  <c r="I36" i="2" s="1"/>
  <c r="H28" i="2"/>
  <c r="I28" i="2" s="1"/>
  <c r="H20" i="2"/>
  <c r="I20" i="2" s="1"/>
  <c r="H4" i="2"/>
  <c r="I4" i="2" s="1"/>
  <c r="H12" i="2"/>
  <c r="I12" i="2"/>
  <c r="AD4" i="38" l="1"/>
  <c r="T4" i="38"/>
  <c r="AD5" i="38"/>
  <c r="T5" i="38"/>
  <c r="AD6" i="38"/>
  <c r="T6" i="38"/>
  <c r="AD7" i="38"/>
  <c r="T7" i="38"/>
  <c r="AE8" i="38"/>
  <c r="AC8" i="38"/>
  <c r="AD9" i="38"/>
  <c r="T9" i="38"/>
  <c r="AD10" i="38"/>
  <c r="T10" i="38"/>
  <c r="AD11" i="38"/>
  <c r="T11" i="38"/>
  <c r="AD12" i="38"/>
  <c r="T12" i="38"/>
  <c r="AD13" i="38"/>
  <c r="T13" i="38"/>
  <c r="AD14" i="38"/>
  <c r="T14" i="38"/>
  <c r="AD15" i="38"/>
  <c r="T15" i="38"/>
  <c r="AD16" i="38"/>
  <c r="T16" i="38"/>
  <c r="AD17" i="38"/>
  <c r="T17" i="38"/>
  <c r="AD18" i="38"/>
  <c r="T18" i="38"/>
  <c r="AD19" i="38"/>
  <c r="T19" i="38"/>
  <c r="AD20" i="38"/>
  <c r="T20" i="38"/>
  <c r="AE21" i="38"/>
  <c r="AC21" i="38"/>
  <c r="AD22" i="38"/>
  <c r="T22" i="38"/>
  <c r="AD23" i="38"/>
  <c r="T23" i="38"/>
  <c r="AD24" i="38"/>
  <c r="T24" i="38"/>
  <c r="AD25" i="38"/>
  <c r="T25" i="38"/>
  <c r="AD26" i="38"/>
  <c r="T26" i="38"/>
  <c r="AD27" i="38"/>
  <c r="T27" i="38"/>
  <c r="AD28" i="38"/>
  <c r="T28" i="38"/>
  <c r="AD29" i="38"/>
  <c r="T29" i="38"/>
  <c r="AD30" i="38"/>
  <c r="T30" i="38"/>
  <c r="AD31" i="38"/>
  <c r="T31" i="38"/>
  <c r="AD32" i="38"/>
  <c r="T32" i="38"/>
  <c r="AD33" i="38"/>
  <c r="T33" i="38"/>
  <c r="AD34" i="38"/>
  <c r="T34" i="38"/>
  <c r="AD35" i="38"/>
  <c r="T35" i="38"/>
  <c r="AD36" i="38"/>
  <c r="T36" i="38"/>
  <c r="AD37" i="38"/>
  <c r="T37" i="38"/>
  <c r="AD38" i="38"/>
  <c r="T38" i="38"/>
  <c r="AD39" i="38"/>
  <c r="T39" i="38"/>
  <c r="AD40" i="38"/>
  <c r="T40" i="38"/>
  <c r="AD41" i="38"/>
  <c r="T41" i="38"/>
  <c r="AD42" i="38"/>
  <c r="T42" i="38"/>
  <c r="AD43" i="38"/>
  <c r="T43" i="38"/>
  <c r="AD44" i="38"/>
  <c r="T44" i="38"/>
  <c r="AD45" i="38"/>
  <c r="T45" i="38"/>
  <c r="AD46" i="38"/>
  <c r="T46" i="38"/>
  <c r="AD47" i="38"/>
  <c r="T47" i="38"/>
  <c r="AD48" i="38"/>
  <c r="T48" i="38"/>
  <c r="AD49" i="38"/>
  <c r="T49" i="38"/>
  <c r="AD50" i="38"/>
  <c r="T50" i="38"/>
  <c r="AD51" i="38"/>
  <c r="T51" i="38"/>
  <c r="AD52" i="38"/>
  <c r="T52" i="38"/>
  <c r="AD53" i="38"/>
  <c r="T53" i="38"/>
  <c r="AD54" i="38"/>
  <c r="T54" i="38"/>
  <c r="AD55" i="38"/>
  <c r="T55" i="38"/>
  <c r="AD56" i="38"/>
  <c r="T56" i="38"/>
  <c r="AD57" i="38"/>
  <c r="T57" i="38"/>
  <c r="AD58" i="38"/>
  <c r="T58" i="38"/>
  <c r="AD59" i="38"/>
  <c r="T59" i="38"/>
  <c r="AD60" i="38"/>
  <c r="T60" i="38"/>
  <c r="AD61" i="38"/>
  <c r="T61" i="38"/>
  <c r="AD62" i="38"/>
  <c r="T62" i="38"/>
  <c r="AD63" i="38"/>
  <c r="T63" i="38"/>
  <c r="AD64" i="38"/>
  <c r="T64" i="38"/>
  <c r="AD65" i="38"/>
  <c r="T65" i="38"/>
  <c r="AD66" i="38"/>
  <c r="T66" i="38"/>
  <c r="AD67" i="38"/>
  <c r="T67" i="38"/>
  <c r="AD68" i="38"/>
  <c r="T68" i="38"/>
  <c r="AD69" i="38"/>
  <c r="AC69" i="38" s="1"/>
  <c r="T69" i="38"/>
  <c r="AD70" i="38"/>
  <c r="AC70" i="38" s="1"/>
  <c r="T70" i="38"/>
  <c r="AD71" i="38"/>
  <c r="T71" i="38"/>
  <c r="AD72" i="38"/>
  <c r="T72" i="38"/>
  <c r="AD73" i="38"/>
  <c r="T73" i="38"/>
  <c r="AD75" i="38"/>
  <c r="T75" i="38"/>
  <c r="AD76" i="38"/>
  <c r="T76" i="38"/>
  <c r="AD77" i="38"/>
  <c r="T77" i="38"/>
  <c r="AD78" i="38"/>
  <c r="T78" i="38"/>
  <c r="AD79" i="38"/>
  <c r="T79" i="38"/>
  <c r="AD80" i="38"/>
  <c r="T80" i="38"/>
  <c r="AD81" i="38"/>
  <c r="T81" i="38"/>
  <c r="AD82" i="38"/>
  <c r="T82" i="38"/>
  <c r="U83" i="38"/>
  <c r="T83" i="38"/>
  <c r="AE83" i="38"/>
  <c r="AC83" i="38"/>
  <c r="U84" i="38"/>
  <c r="T84" i="38"/>
  <c r="AE84" i="38"/>
  <c r="AC84" i="38"/>
  <c r="U85" i="38"/>
  <c r="T85" i="38"/>
  <c r="AE85" i="38"/>
  <c r="AC85" i="38"/>
  <c r="AD86" i="38"/>
  <c r="T86" i="38"/>
  <c r="AD87" i="38"/>
  <c r="T87" i="38"/>
  <c r="AD88" i="38"/>
  <c r="T88" i="38"/>
  <c r="AD89" i="38"/>
  <c r="T89" i="38"/>
  <c r="U90" i="38"/>
  <c r="T90" i="38"/>
  <c r="AE90" i="38"/>
  <c r="AC90" i="38"/>
  <c r="U91" i="38"/>
  <c r="T91" i="38"/>
  <c r="AE91" i="38"/>
  <c r="AC91" i="38"/>
  <c r="U92" i="38"/>
  <c r="T92" i="38"/>
  <c r="AE92" i="38"/>
  <c r="AC92" i="38"/>
  <c r="U93" i="38"/>
  <c r="T93" i="38"/>
  <c r="AE93" i="38"/>
  <c r="U94" i="38"/>
  <c r="T94" i="38"/>
  <c r="AE94" i="38"/>
  <c r="AC94" i="38"/>
  <c r="U95" i="38"/>
  <c r="T95" i="38"/>
  <c r="AE95" i="38"/>
  <c r="AC95" i="38"/>
  <c r="U96" i="38"/>
  <c r="T96" i="38"/>
  <c r="AE96" i="38"/>
  <c r="AC96" i="38"/>
  <c r="U97" i="38"/>
  <c r="T97" i="38"/>
  <c r="AE97" i="38"/>
  <c r="AC97" i="38"/>
  <c r="U98" i="38"/>
  <c r="T98" i="38"/>
  <c r="AE98" i="38"/>
  <c r="AC98" i="38"/>
  <c r="U99" i="38"/>
  <c r="T99" i="38"/>
  <c r="AE99" i="38"/>
  <c r="AC99" i="38"/>
  <c r="U100" i="38"/>
  <c r="T100" i="38"/>
  <c r="AE100" i="38"/>
  <c r="AC100" i="38"/>
  <c r="U101" i="38"/>
  <c r="T101" i="38"/>
  <c r="AE101" i="38"/>
  <c r="AC101" i="38"/>
  <c r="U102" i="38"/>
  <c r="T102" i="38"/>
  <c r="AE102" i="38"/>
  <c r="AC102" i="38"/>
  <c r="U103" i="38"/>
  <c r="T103" i="38"/>
  <c r="AE103" i="38"/>
  <c r="AC103" i="38"/>
  <c r="U104" i="38"/>
  <c r="T104" i="38"/>
  <c r="AE104" i="38"/>
  <c r="AC104" i="38"/>
  <c r="U105" i="38"/>
  <c r="T105" i="38"/>
  <c r="AE105" i="38"/>
  <c r="AC105" i="38"/>
  <c r="U106" i="38"/>
  <c r="T106" i="38"/>
  <c r="AE106" i="38"/>
  <c r="AC106" i="38"/>
  <c r="U107" i="38"/>
  <c r="T107" i="38"/>
  <c r="AE107" i="38"/>
  <c r="AC107" i="38"/>
  <c r="P18" i="15"/>
  <c r="M5" i="2"/>
  <c r="M4" i="2"/>
  <c r="AE89" i="38" l="1"/>
  <c r="AC89" i="38"/>
  <c r="AE88" i="38"/>
  <c r="AC88" i="38"/>
  <c r="AE87" i="38"/>
  <c r="AC87" i="38"/>
  <c r="AE86" i="38"/>
  <c r="AC86" i="38"/>
  <c r="AE82" i="38"/>
  <c r="AC82" i="38"/>
  <c r="AE81" i="38"/>
  <c r="AC81" i="38"/>
  <c r="AE80" i="38"/>
  <c r="AC80" i="38"/>
  <c r="AE79" i="38"/>
  <c r="AC79" i="38"/>
  <c r="AE78" i="38"/>
  <c r="AC78" i="38"/>
  <c r="AE77" i="38"/>
  <c r="AC77" i="38"/>
  <c r="AE76" i="38"/>
  <c r="AC76" i="38"/>
  <c r="AE75" i="38"/>
  <c r="AC75" i="38"/>
  <c r="AE73" i="38"/>
  <c r="AC73" i="38"/>
  <c r="AE72" i="38"/>
  <c r="AC72" i="38"/>
  <c r="AE71" i="38"/>
  <c r="AC71" i="38"/>
  <c r="AE68" i="38"/>
  <c r="AC68" i="38"/>
  <c r="AE67" i="38"/>
  <c r="AC67" i="38"/>
  <c r="AE66" i="38"/>
  <c r="AC66" i="38"/>
  <c r="AE65" i="38"/>
  <c r="AC65" i="38"/>
  <c r="AE64" i="38"/>
  <c r="AC64" i="38"/>
  <c r="AE63" i="38"/>
  <c r="AC63" i="38"/>
  <c r="AE62" i="38"/>
  <c r="AC62" i="38"/>
  <c r="AE61" i="38"/>
  <c r="AC61" i="38"/>
  <c r="AE60" i="38"/>
  <c r="AC60" i="38"/>
  <c r="AE59" i="38"/>
  <c r="AC59" i="38"/>
  <c r="AE58" i="38"/>
  <c r="AC58" i="38"/>
  <c r="AE57" i="38"/>
  <c r="AC57" i="38"/>
  <c r="AE56" i="38"/>
  <c r="AC56" i="38"/>
  <c r="AE55" i="38"/>
  <c r="AC55" i="38"/>
  <c r="AE54" i="38"/>
  <c r="AC54" i="38"/>
  <c r="AE53" i="38"/>
  <c r="AC53" i="38"/>
  <c r="AE52" i="38"/>
  <c r="AC52" i="38"/>
  <c r="AE51" i="38"/>
  <c r="AC51" i="38"/>
  <c r="AE50" i="38"/>
  <c r="AC50" i="38"/>
  <c r="AE49" i="38"/>
  <c r="AC49" i="38"/>
  <c r="AE48" i="38"/>
  <c r="AC48" i="38"/>
  <c r="AE47" i="38"/>
  <c r="AC47" i="38"/>
  <c r="AE46" i="38"/>
  <c r="AC46" i="38"/>
  <c r="AE45" i="38"/>
  <c r="AC45" i="38"/>
  <c r="AE44" i="38"/>
  <c r="AC44" i="38"/>
  <c r="AE43" i="38"/>
  <c r="AC43" i="38"/>
  <c r="AE42" i="38"/>
  <c r="AC42" i="38"/>
  <c r="AE41" i="38"/>
  <c r="AC41" i="38"/>
  <c r="AE40" i="38"/>
  <c r="AC40" i="38"/>
  <c r="AE39" i="38"/>
  <c r="AC39" i="38"/>
  <c r="AE38" i="38"/>
  <c r="AC38" i="38"/>
  <c r="AE37" i="38"/>
  <c r="AC37" i="38"/>
  <c r="AE36" i="38"/>
  <c r="AC36" i="38"/>
  <c r="AE35" i="38"/>
  <c r="AC35" i="38"/>
  <c r="AE34" i="38"/>
  <c r="AC34" i="38"/>
  <c r="AE33" i="38"/>
  <c r="AC33" i="38"/>
  <c r="AE32" i="38"/>
  <c r="AC32" i="38"/>
  <c r="AE31" i="38"/>
  <c r="AC31" i="38"/>
  <c r="AE30" i="38"/>
  <c r="AC30" i="38"/>
  <c r="AE29" i="38"/>
  <c r="AC29" i="38"/>
  <c r="AE28" i="38"/>
  <c r="AC28" i="38"/>
  <c r="AE27" i="38"/>
  <c r="AC27" i="38"/>
  <c r="AE26" i="38"/>
  <c r="AC26" i="38"/>
  <c r="AE25" i="38"/>
  <c r="AC25" i="38"/>
  <c r="AE24" i="38"/>
  <c r="AC24" i="38"/>
  <c r="AE23" i="38"/>
  <c r="AC23" i="38"/>
  <c r="AE22" i="38"/>
  <c r="AC22" i="38"/>
  <c r="AE20" i="38"/>
  <c r="AC20" i="38"/>
  <c r="AE19" i="38"/>
  <c r="AC19" i="38"/>
  <c r="AE18" i="38"/>
  <c r="AC18" i="38"/>
  <c r="AE17" i="38"/>
  <c r="AC17" i="38"/>
  <c r="AE16" i="38"/>
  <c r="AC16" i="38"/>
  <c r="AE15" i="38"/>
  <c r="AC15" i="38"/>
  <c r="AE14" i="38"/>
  <c r="AC14" i="38"/>
  <c r="AE13" i="38"/>
  <c r="AC13" i="38"/>
  <c r="AE12" i="38"/>
  <c r="AC12" i="38"/>
  <c r="AE11" i="38"/>
  <c r="AC11" i="38"/>
  <c r="AE10" i="38"/>
  <c r="AC10" i="38"/>
  <c r="AE9" i="38"/>
  <c r="AC9" i="38"/>
  <c r="AE7" i="38"/>
  <c r="AC7" i="38"/>
  <c r="AE6" i="38"/>
  <c r="AC6" i="38"/>
  <c r="AE5" i="38"/>
  <c r="AC5" i="38"/>
  <c r="AE4" i="38"/>
  <c r="AC4" i="38"/>
</calcChain>
</file>

<file path=xl/sharedStrings.xml><?xml version="1.0" encoding="utf-8"?>
<sst xmlns="http://schemas.openxmlformats.org/spreadsheetml/2006/main" count="14239" uniqueCount="3494">
  <si>
    <t>No</t>
  </si>
  <si>
    <t>Nama Lengkap</t>
  </si>
  <si>
    <t>NIP</t>
  </si>
  <si>
    <t>Nomor HP/ WA</t>
  </si>
  <si>
    <t>Jenjang</t>
  </si>
  <si>
    <t>Pangkat/ Gol</t>
  </si>
  <si>
    <t>TMT Pangkat/ Gol</t>
  </si>
  <si>
    <t>TMT Jenjang</t>
  </si>
  <si>
    <t>Hasil Akumulasi AK S.d. 2025</t>
  </si>
  <si>
    <t>Keterangan</t>
  </si>
  <si>
    <t>Deinald Yuferson Damaledo, S.T</t>
  </si>
  <si>
    <t>198006112007011000</t>
  </si>
  <si>
    <t>085237196244</t>
  </si>
  <si>
    <t>Pengelola Pengadaan Barang/Jasa Ahli Pertama</t>
  </si>
  <si>
    <t>Penata Muda Tingkat I/ IIIb</t>
  </si>
  <si>
    <t>Rendra Proysa, ST</t>
  </si>
  <si>
    <t>197711252014101000</t>
  </si>
  <si>
    <t>085752077178</t>
  </si>
  <si>
    <t>Sudah mengikuti ujikom pada Februari 2025 untuk Ahli Muda</t>
  </si>
  <si>
    <t>Masruro Tufani Ahmad, S.Kom.,MT</t>
  </si>
  <si>
    <t>198808272010122000</t>
  </si>
  <si>
    <t>082131340602</t>
  </si>
  <si>
    <t>Pengelola Pengadaan Barang/Jasa Ahli Muda</t>
  </si>
  <si>
    <t>Penata Tingkat I/ IIId</t>
  </si>
  <si>
    <t>Agus Hakim, SE</t>
  </si>
  <si>
    <t>083857805178</t>
  </si>
  <si>
    <t>Penata Muda/ IIIa</t>
  </si>
  <si>
    <t>Daffah Ulfi Rahmatillah,SH</t>
  </si>
  <si>
    <t>081296659610</t>
  </si>
  <si>
    <t>Dyah Kusumaning Putri, S.E</t>
  </si>
  <si>
    <t>081333359411</t>
  </si>
  <si>
    <t>Wan Achmad Reza Rinatha, ST, MT</t>
  </si>
  <si>
    <t>085260688822</t>
  </si>
  <si>
    <t>Teddy Marza Kurniawan, S.H</t>
  </si>
  <si>
    <t>08113290511</t>
  </si>
  <si>
    <t>Febrian Sandhi Festanto, SH</t>
  </si>
  <si>
    <t>081290060729</t>
  </si>
  <si>
    <t>Penata Muda Tingkat I</t>
  </si>
  <si>
    <t>Sasetyo Gilang Kusumo, SH</t>
  </si>
  <si>
    <t>0811954777</t>
  </si>
  <si>
    <t>Agnesia Margaretha Gunawan, S.IAN</t>
  </si>
  <si>
    <t>082235297005</t>
  </si>
  <si>
    <t>Khairu Annisa Hariadi, S.T.,M.T</t>
  </si>
  <si>
    <t>081330618848</t>
  </si>
  <si>
    <t>Rifqathin Ulya, S.H.,M.H</t>
  </si>
  <si>
    <t>081231290493</t>
  </si>
  <si>
    <t>Bima Sakti Prayitno, ST</t>
  </si>
  <si>
    <t>081364483201</t>
  </si>
  <si>
    <t>Maya Puspita Maharani, S.H.,LL.M</t>
  </si>
  <si>
    <t>0895352994800</t>
  </si>
  <si>
    <t>Rani Fajar Nestiti, S.T</t>
  </si>
  <si>
    <t>081280966865</t>
  </si>
  <si>
    <t>Fauzianggi Rahmi Fitri, S.E.,M.T.</t>
  </si>
  <si>
    <t>0818233399</t>
  </si>
  <si>
    <t>Dwi Ananta Irwinsyah Putra, S.E.</t>
  </si>
  <si>
    <t>085333804283</t>
  </si>
  <si>
    <t>Dimas Al Hakim, S.H.</t>
  </si>
  <si>
    <t>081235124488</t>
  </si>
  <si>
    <t>Pungki Ario Pamungkas, S.E</t>
  </si>
  <si>
    <t>081336984265</t>
  </si>
  <si>
    <t>DAFTAR PEGAWAI BP2JK WILAYAH JAWA TIMUR</t>
  </si>
  <si>
    <t>NO</t>
  </si>
  <si>
    <t>NAMA</t>
  </si>
  <si>
    <t>JABATAN</t>
  </si>
  <si>
    <t>GOL</t>
  </si>
  <si>
    <t>ES</t>
  </si>
  <si>
    <t>PANGKAT</t>
  </si>
  <si>
    <t>Nama Diklat</t>
  </si>
  <si>
    <t>Pelaksana/ No Sertifikat</t>
  </si>
  <si>
    <t>Tanggal Pelaksanaan</t>
  </si>
  <si>
    <t>Jumlah JP</t>
  </si>
  <si>
    <t>Total JP</t>
  </si>
  <si>
    <t>Pemenuhan</t>
  </si>
  <si>
    <t>Dr. Samsul Bakeri, S.IP., M.Si</t>
  </si>
  <si>
    <t>196405071985031004</t>
  </si>
  <si>
    <t>Kepala Balai Pelatihan Konstruksi Wil. III Surabaya</t>
  </si>
  <si>
    <t>IV/a</t>
  </si>
  <si>
    <t>-</t>
  </si>
  <si>
    <t>Pembina</t>
  </si>
  <si>
    <t>IV/e</t>
  </si>
  <si>
    <t>Pembina Utama</t>
  </si>
  <si>
    <t>Mukhtar Rosyid Harjono, S.Si., M.T.</t>
  </si>
  <si>
    <t>196809051998031004</t>
  </si>
  <si>
    <t>Kasubbag TU Program &amp; Evaluasi</t>
  </si>
  <si>
    <t>III/d</t>
  </si>
  <si>
    <t>Penata Tingkat I</t>
  </si>
  <si>
    <t>IV/d</t>
  </si>
  <si>
    <t>Pembina Utama Madya</t>
  </si>
  <si>
    <t>Eka Prasetyawati, S.T.</t>
  </si>
  <si>
    <t>198306142008012004</t>
  </si>
  <si>
    <t xml:space="preserve">Kasie Penyelenggara Pelatihan </t>
  </si>
  <si>
    <t>III/b</t>
  </si>
  <si>
    <t>IV/c</t>
  </si>
  <si>
    <t>Pembina Utama Muda</t>
  </si>
  <si>
    <t>Hambali, ST, MT</t>
  </si>
  <si>
    <t>197612152000031003</t>
  </si>
  <si>
    <t>Kepala Balai Pelatihan Konstruksi Wilayah II Surabaya</t>
  </si>
  <si>
    <t>Tambang, ST</t>
  </si>
  <si>
    <t>Staf Tata Usaha</t>
  </si>
  <si>
    <t>Fariha Sulistyo Effendi, SE</t>
  </si>
  <si>
    <t>198712142014022002</t>
  </si>
  <si>
    <t>III/a</t>
  </si>
  <si>
    <t>Penata Muda</t>
  </si>
  <si>
    <t>Ir. Agus Kurniawan</t>
  </si>
  <si>
    <t>196708181992031011</t>
  </si>
  <si>
    <t>Kepala BP2JK Wilayah Jawa Timur</t>
  </si>
  <si>
    <t>III</t>
  </si>
  <si>
    <t>Workshop Pembinaan Manajemen Resiko di Kementerian Pekerjaan Umum</t>
  </si>
  <si>
    <t>Direktorat Pengadaan Jasa Konstruksi
No Sert. 3326/STF/Kj/XII/2024</t>
  </si>
  <si>
    <t>24 Desember 2024</t>
  </si>
  <si>
    <t>JUMLAH PERSONIL BELUM MEMENUHI JP =</t>
  </si>
  <si>
    <t>Penerapan manajemen Risiko yang Mendukung Pembangunan ZI dan penilaian Efektifitas Penerapan Manajemen Risiko T-1 DJBK</t>
  </si>
  <si>
    <t>Direktorat pengadaan Jasa Konstruksi
No Sert. -</t>
  </si>
  <si>
    <t>7 Mei 2024</t>
  </si>
  <si>
    <t>JP menggunakan jadwal pada undangan (6,25 JP)</t>
  </si>
  <si>
    <t>Esthy Dwinda Purwaningjati, SH</t>
  </si>
  <si>
    <t>197811212005022001</t>
  </si>
  <si>
    <t>Pejabat Penandatangan SPM</t>
  </si>
  <si>
    <t>Direktorat Pengadaan Jasa Konstruksi
No Sert. 3296/STF/Kj/XII/2024</t>
  </si>
  <si>
    <t>Sosialisasi SE Menteri PUPR No. 12/SE/M/2024 tentang Pedoman Penerapan Manajemen Risiko di Kementerian PUPR</t>
  </si>
  <si>
    <t>Direktorat pengadaan Jasa Konstruksi
No Sert. 1551/STF/Kj/2024</t>
  </si>
  <si>
    <t>10 Oktober 2024</t>
  </si>
  <si>
    <t>JP menggunakan jadwal pada undangan</t>
  </si>
  <si>
    <t>Isti Puji Rahayu, ST</t>
  </si>
  <si>
    <t>198601132008122001</t>
  </si>
  <si>
    <t xml:space="preserve">Bendahara </t>
  </si>
  <si>
    <t>Direktorat Pengadaan Jasa Konstruksi
No Sert. 3333/STF/Kj/XII/2024</t>
  </si>
  <si>
    <t>Direktorat pengadaan Jasa Konstruksi
No Sert. 1553/STF/Kj/2024</t>
  </si>
  <si>
    <t>Edi Pramono, ST</t>
  </si>
  <si>
    <t>197202092014121003</t>
  </si>
  <si>
    <t>Pengelola Keuangan</t>
  </si>
  <si>
    <t>Direktorat Pengadaan Jasa Konstruksi
No Sert. 3319/STF/Kj/XII/2024</t>
  </si>
  <si>
    <t>Ir. Achmad Darmawijaya, MM</t>
  </si>
  <si>
    <t>196806031997031004</t>
  </si>
  <si>
    <t>Pembina Jasa Konstruksi Ahli Madya</t>
  </si>
  <si>
    <t>Direktorat pengadaan Jasa Konstruksi
No Sert. 1545/STF/Kj/2024</t>
  </si>
  <si>
    <t>Ratri Ayu Rahmayanti, S.I.P, MT</t>
  </si>
  <si>
    <t>198606102010122004</t>
  </si>
  <si>
    <t xml:space="preserve">Penelaah Kebijakan Pengadaan Barang/Jasa </t>
  </si>
  <si>
    <t>Bimbingan Teknis Evaluasi Pengelolaan Kinerja Wilayah Jawa Kementerian PUPR Tahun 2024</t>
  </si>
  <si>
    <t>Pusat Pengembangan Talenta Kementerian PUPR
No. Sert. SM.05-KM/39742</t>
  </si>
  <si>
    <t>25 - 26 November 2024</t>
  </si>
  <si>
    <t>Direktorat pengadaan Jasa Konstruksi
No Sert. 1559/STF/Kj/2024</t>
  </si>
  <si>
    <t>Budiasih Dyah Saraswati, S.Kom</t>
  </si>
  <si>
    <t>198809092010122002</t>
  </si>
  <si>
    <t>Coaching Clinic Pelaksana Kementerian Pekerjaan Umum</t>
  </si>
  <si>
    <t>Pusat Pengembangan Talenta Kementerian PUPR
No. Sert. SM.05-KM/43835</t>
  </si>
  <si>
    <t>16 - 17 Desember 2024</t>
  </si>
  <si>
    <t>Direktorat Pengadaan Jasa Konstruksi
No Sert. 3318/STF/Kj/XII/2024</t>
  </si>
  <si>
    <t>Putri Oktaviana A.P.Kb.N</t>
  </si>
  <si>
    <t>200010302019122001</t>
  </si>
  <si>
    <t>II/b</t>
  </si>
  <si>
    <t>Pengatur Muda Tingkat I</t>
  </si>
  <si>
    <t>Direktorat Pengadaan Jasa Konstruksi
No Sert. 3308/STF/Kj/XII/2024</t>
  </si>
  <si>
    <t>Fadlila Rohmadani, S.ST</t>
  </si>
  <si>
    <t>198806012010121004</t>
  </si>
  <si>
    <t>Direktorat Pengadaan Jasa Konstruksi
No Sert. 3331/STF/Kj/XII/2024</t>
  </si>
  <si>
    <t>Direktorat pengadaan Jasa Konstruksi
No Sert. 1555/STF/Kj/2024</t>
  </si>
  <si>
    <t>197711252014101002</t>
  </si>
  <si>
    <t>Direktorat pengadaan Jasa Konstruksi
No Sert. 1550/STF/Kj/2024</t>
  </si>
  <si>
    <t>Feby Lorentika, ST</t>
  </si>
  <si>
    <t>199102142018022001</t>
  </si>
  <si>
    <t>Pembina Jasa Konstruksi Ahli Muda</t>
  </si>
  <si>
    <t>Direktorat Pengadaan Jasa Konstruksi
No Sert. 3300/STF/Kj/XII/2024</t>
  </si>
  <si>
    <t>Direktorat pengadaan Jasa Konstruksi
No Sert. 1558/STF/Kj/2024</t>
  </si>
  <si>
    <t>198808272010122003</t>
  </si>
  <si>
    <t>Pusat Pengembangan Talenta Kementerian PUPR
No. Sert. SM.05-KM/43847</t>
  </si>
  <si>
    <t>Direktorat Pengadaan Jasa Konstruksi
No Sert. 3336/STF/Kj/XII/2024</t>
  </si>
  <si>
    <t>Ode Siti Andini Ladamay, ST.,MT</t>
  </si>
  <si>
    <t>198501222010122002</t>
  </si>
  <si>
    <t>Teknik Jalan dan Jembatan Ahli Muda</t>
  </si>
  <si>
    <t>Coaching Clinic JFT Ahli Muda Gelombang III Tahun 2024</t>
  </si>
  <si>
    <t>Pusat Pengembangan Talenta Kementerian PUPR
No. Sert. SM.05-KM/39666</t>
  </si>
  <si>
    <t>Webinar Menuju Indonesia Emas 2045: Tantangan, Inovasi, dan Transformasi Penyelenggaraan Infrastruktur Jalan di Indonesia</t>
  </si>
  <si>
    <t>Direktorat Bina Teknik Jalan dan Jembatan
No. Sert. 34958/STF/Be/2024</t>
  </si>
  <si>
    <t>Direktorat Pengadaan Jasa Konstruksi
No Sert. 3316/STF/Kj/XII/2024</t>
  </si>
  <si>
    <t>Direktorat pengadaan Jasa Konstruksi
No Sert. 1539/STF/Kj/2024</t>
  </si>
  <si>
    <t>Agus Hakim</t>
  </si>
  <si>
    <t>197103072007011001</t>
  </si>
  <si>
    <t>Direktorat Pengadaan Jasa Konstruksi
No Sert. 3341/STF/Kj/XII/2024</t>
  </si>
  <si>
    <t>Direktorat pengadaan Jasa Konstruksi
No Sert. 1548/STF/Kj/2024</t>
  </si>
  <si>
    <t>Vivien Maulidiyah, ST</t>
  </si>
  <si>
    <t>198810282010122002</t>
  </si>
  <si>
    <t>Direktorat Pengadaan Jasa Konstruksi
No Sert. 3306/STF/Kj/XII/2024</t>
  </si>
  <si>
    <t>199609182019032008</t>
  </si>
  <si>
    <t>Direktorat Pengadaan Jasa Konstruksi
No Sert. 3302/STF/Kj/XII/2024</t>
  </si>
  <si>
    <t>Direktorat pengadaan Jasa Konstruksi
No Sert. 1557/STF/Kj/2024</t>
  </si>
  <si>
    <t>Arie Ardiansyah, SH</t>
  </si>
  <si>
    <t>199407312019031006</t>
  </si>
  <si>
    <t>Pelatihan Kompetensi Manajerial bagi Pokja PBJP Kementerian PUPR</t>
  </si>
  <si>
    <t>Pusat Pengembangan Kompetensi Manajemen
No. Sertf. SM.05-KM/27710</t>
  </si>
  <si>
    <t>22 Juli - 20 September 2024</t>
  </si>
  <si>
    <t>Feedback Hasil Asesmen Pokja Pengadaan Barang dan Jasa di Lingkungan Kementerian PUPR melalui Coaching Clinic</t>
  </si>
  <si>
    <t>Pusat Pengembangan Talenta Kementerian PUPR
No. Sert. SM-05-KM/27805</t>
  </si>
  <si>
    <t>20 - 21 Juni 2024</t>
  </si>
  <si>
    <t>Direktorat Pengadaan Jasa Konstruksi
No Sert. 3337/STF/Kj/XII/2024</t>
  </si>
  <si>
    <t>198405012010122005</t>
  </si>
  <si>
    <t>SMAP SNI ISO 37001:2016 (Anti-Bribery Management System)</t>
  </si>
  <si>
    <t>Mutu Institute
No. MI.I.19.0524.DPJK010-B</t>
  </si>
  <si>
    <t>20 - 22 Mei 2024</t>
  </si>
  <si>
    <t>Direktorat Pengadaan Jasa Konstruksi
No Sert. 3297/STF/Kj/XII/2024</t>
  </si>
  <si>
    <t>198901072020121015</t>
  </si>
  <si>
    <t>Pelatihan Estimasi Biaya Konstruksi Angkatan II Tahun 2024</t>
  </si>
  <si>
    <t>Balai Pengembangan Kompetensi PUPR Wilayah I Medan
No. Sert. 00001317/70/3021/227/LAN-KEMENPUPR/2024</t>
  </si>
  <si>
    <t>3 - 16 Oktober 2024</t>
  </si>
  <si>
    <t>Direktorat Pengadaan Jasa Konstruksi
No Sert. 3303/STF/Kj/XII/2024</t>
  </si>
  <si>
    <t>Disket BM "Penjaminan Lembaga Keuangan sebagai Upaya Mitigasi Risiko dalam Penyelenggaraan Kontrak Konstruksi di Kementerian PUPR"</t>
  </si>
  <si>
    <t>Direktorat Kepatuhan Intern DJBM
No Sert. 10/KET/Bi/2024</t>
  </si>
  <si>
    <t>Tidak ada keterangan jumlah JP dan tidak ada undangan</t>
  </si>
  <si>
    <t>199103092019031009</t>
  </si>
  <si>
    <r>
      <t>Pengembangan Kompetensi Generani Muda PU: "</t>
    </r>
    <r>
      <rPr>
        <i/>
        <sz val="10"/>
        <rFont val="Arial Narrow"/>
        <family val="2"/>
      </rPr>
      <t>Rhythm of Empowerment for Young Generation"</t>
    </r>
  </si>
  <si>
    <t>Balai Pengembangan Kompetensi PUPR Wilayah IV Bandung
No Sert. SM.05-KM/39609</t>
  </si>
  <si>
    <t>21 - 22 November 2024</t>
  </si>
  <si>
    <t>Pusat Pengembangan Talenta
No Sert. SM.05-KM/27826</t>
  </si>
  <si>
    <t>20-21 Juni 2024</t>
  </si>
  <si>
    <t>Direktorat Pengadaan Jasa Konstruksi
No Sert. 3332/STF/Kj/XII/2024</t>
  </si>
  <si>
    <t>198902192019031006</t>
  </si>
  <si>
    <t>Direktorat Pengadaan Jasa Konstruksi
No Sert. 3339/STF/Kj/XII/2024</t>
  </si>
  <si>
    <t>199104052019031011</t>
  </si>
  <si>
    <t>Pusat Pengembangan Talenta
No Sert. SM.05-KM/27825</t>
  </si>
  <si>
    <t>Pusat Pengembangan Kompetensi Manajemen
No. Sertf. SM.05-KM/27730</t>
  </si>
  <si>
    <t>Direktorat Pengadaan Jasa Konstruksi
No Sert. 3324/STF/Kj/XII/2024</t>
  </si>
  <si>
    <t>Gunawan Arif Wibowo, S.AP., M.T</t>
  </si>
  <si>
    <t>198711072010121001</t>
  </si>
  <si>
    <t>Direktorat Pengadaan Jasa Konstruksi
No Sert. 3327/STF/Kj/XII/2024</t>
  </si>
  <si>
    <t>Direktorat pengadaan Jasa Konstruksi
No Sert. 1544/STF/Kj/2024</t>
  </si>
  <si>
    <t>Diah Putri Rahmawati, S.Tr.T</t>
  </si>
  <si>
    <t>199703062020122005</t>
  </si>
  <si>
    <t>Direktorat Pengadaan Jasa Konstruksi
No Sert. 3328/STF/Kj/XII/2024</t>
  </si>
  <si>
    <t>Direktorat pengadaan Jasa Konstruksi
No Sert. 1549/STF/Kj/2024</t>
  </si>
  <si>
    <t>199403092020122005</t>
  </si>
  <si>
    <t>Direktorat Pengadaan Jasa Konstruksi
No Sert. 3325/STF/Kj/XII/2024</t>
  </si>
  <si>
    <t>199211052020122005</t>
  </si>
  <si>
    <t>Direktorat Pengadaan Jasa Konstruksi
No Sert. 3321/STF/Kj/XII/2024</t>
  </si>
  <si>
    <t>Direktorat pengadaan Jasa Konstruksi
No Sert. 15456/STF/Kj/2024</t>
  </si>
  <si>
    <t>199505132020122004</t>
  </si>
  <si>
    <t>Direktorat Pengadaan Jasa Konstruksi
No Sert. 3315/STF/Kj/XII/2024</t>
  </si>
  <si>
    <t>Hardiansyah, S.T.,M.T.</t>
  </si>
  <si>
    <t>198807292020121005</t>
  </si>
  <si>
    <t>Balai Pengembangan Kompetensi PUPR Wilayah I Medan
No. Sert. 00001298/70/3021/227/LAN-KEMENPUPR/2024</t>
  </si>
  <si>
    <t>Optimasi Pemanfaatan Kecerdasan Buatan (AI) dalam Pembangunan Infrastruktur Pekerjaan Umum</t>
  </si>
  <si>
    <t>Pusat Pengembangan Kompetensi Jalan, perumahan dan PIW bekerjasama dengan Fakultas Teknik Sipil dan Lingkungan ITB
No Sert. SM.05-KM/46338</t>
  </si>
  <si>
    <t>21 Desember 2024</t>
  </si>
  <si>
    <t>Direktorat Pengadaan Jasa Konstruksi
No Sert. 3322/STF/Kj/XII/2024</t>
  </si>
  <si>
    <t>199209262020122006</t>
  </si>
  <si>
    <t>Direktorat Pengadaan Jasa Konstruksi
No Sert. 3312/STF/Kj/XII/2024</t>
  </si>
  <si>
    <t>Dhian Martha Fitriyanti, S.T.,M.MT</t>
  </si>
  <si>
    <t>199103162020122010</t>
  </si>
  <si>
    <t>Direktorat Pengadaan Jasa Konstruksi
No Sert. 3299/STF/Kj/XII/2024</t>
  </si>
  <si>
    <t>199503292020122006</t>
  </si>
  <si>
    <t>Direktorat Pengadaan Jasa Konstruksi
No Sert. 3320/STF/Kj/XII/2024</t>
  </si>
  <si>
    <t>Victor Frederick, ST., MT</t>
  </si>
  <si>
    <t>196703092008121002</t>
  </si>
  <si>
    <t>Direktorat Pengadaan Jasa Konstruksi
No Sert. 3335/STF/Kj/XII/2024</t>
  </si>
  <si>
    <t>Direktorat pengadaan Jasa Konstruksi
No Sert. 1547/STF/Kj/2024</t>
  </si>
  <si>
    <t>Deinald Yuferson Damaledo, ST</t>
  </si>
  <si>
    <t>198006112007011008</t>
  </si>
  <si>
    <t>Direktorat Pengadaan Jasa Konstruksi
No Sert. 3338/STF/Kj/XII/2024</t>
  </si>
  <si>
    <t>Direktorat pengadaan Jasa Konstruksi
No Sert. 1552/STF/Kj/2024</t>
  </si>
  <si>
    <t>Risa Monika, S.IP</t>
  </si>
  <si>
    <t>198804212023212057</t>
  </si>
  <si>
    <t>Pengetahuan Antikorupsi Dasar dan Integritas</t>
  </si>
  <si>
    <t>Komisi Pemberantasan Korupsi
No Sertf. xB3Db3A8uy</t>
  </si>
  <si>
    <t>20 Maret 2024</t>
  </si>
  <si>
    <t>Pelatihan Orientasi PPPK Kurikulum Pengenalan Nilai dan Etika pada Instansi Pemerintah Angkatan II Tahun 2024</t>
  </si>
  <si>
    <t>Balai Pengembangan nKompetensi PUPR Wilayah VI Surabaya
No Sertf. 00000221/99/3021/295/LAN-KEMENPUPR/2024</t>
  </si>
  <si>
    <t>23 April - 31 Mei 2024</t>
  </si>
  <si>
    <t>Direktorat pengadaan Jasa Konstruksi
No Sert. 1546/STF/Kj/2024</t>
  </si>
  <si>
    <t>Maryam Amin, SE</t>
  </si>
  <si>
    <t>197402022023212011</t>
  </si>
  <si>
    <t>Komisi Pemberantasan Korupsi
No Sert. Bf8WIHNYmj</t>
  </si>
  <si>
    <t>19 Maret 2024</t>
  </si>
  <si>
    <t>Pelatihan Orientasi PPPK Kurikulum Pengenalan Nilai dan Etika pada Instansi Pemerintah Angkatan I Tahun 2024</t>
  </si>
  <si>
    <t>Balai Pengembangan nKompetensi PUPR Wilayah VI Surabaya
No Sertf. 00000173/18/3021/295/LAN-KEMENPUPR/2024</t>
  </si>
  <si>
    <t>22 April - 17 Mei 2024</t>
  </si>
  <si>
    <t>Orientasi Pegawai Pemerintah dengan Perjanjian Kerja Tahun 2024</t>
  </si>
  <si>
    <t>Pusat Pembinaan Program dan kebijakan Pengembangan Kompetensi ASN
No Sert. 00066849/PPPK/4012/246/LAN-LAN/2024</t>
  </si>
  <si>
    <t>19 Maret - 2 April 2024</t>
  </si>
  <si>
    <t>Direktorat pengadaan Jasa Konstruksi
No Sert. 1542/STF/Kj/2024</t>
  </si>
  <si>
    <t>Elly Sulistyowati, SE</t>
  </si>
  <si>
    <t>198405252023212045</t>
  </si>
  <si>
    <t>Komisi Pemberantasan Korupsi
No Sert. xf5nqLAcnw</t>
  </si>
  <si>
    <t>Balai Pengembangan nKompetensi PUPR Wilayah VI Surabaya
No Sertf. 00000161/18/3021/295/LAN-KEMENPUPR/2024</t>
  </si>
  <si>
    <t>Pusat Pembinaan Program dan kebijakan Pengembangan Kompetensi ASN
No Sert. 00066813/PPPK/4012/246/LAN-LAN/2024</t>
  </si>
  <si>
    <t>Direktorat Pengadaan Jasa Konstruksi
No Sert. 3317/STF/Kj/XII/2024</t>
  </si>
  <si>
    <t>Direktorat pengadaan Jasa Konstruksi
No Sert. 1541/STF/Kj/2024</t>
  </si>
  <si>
    <t>Siti Jauharoh Kartika Sari, S.I.Kom.</t>
  </si>
  <si>
    <t>199404022023212032</t>
  </si>
  <si>
    <t>Ahli Pertama - Pranata Hubungan Masyarakat</t>
  </si>
  <si>
    <t>Komisi Pemberantasan Korupsi
No Sert. omLrF6udHU</t>
  </si>
  <si>
    <t>22 Maret 2024</t>
  </si>
  <si>
    <t>Direktorat Pengadaan Jasa Konstruksi
No Sert. 3298/STF/Kj/XII/2024</t>
  </si>
  <si>
    <t>Direktorat pengadaan Jasa Konstruksi
No Sert. 1554/STF/Kj/2024</t>
  </si>
  <si>
    <t>Pelatihan Jurnalistik Terpadu dan konten Kreatif</t>
  </si>
  <si>
    <t>Direktorat Jenderal Bina Konstruksi
No Sert. 7897/1.02/TR/DEPT16/ANT/IX/2024</t>
  </si>
  <si>
    <t>25 - 27 September 2024</t>
  </si>
  <si>
    <t>Juara 2 Karya Foto Terbaik</t>
  </si>
  <si>
    <t>Direktorat Jenderal Bina Konstruksi</t>
  </si>
  <si>
    <t>Sertifikat penghargaan, bukan pelatihan</t>
  </si>
  <si>
    <t>Reski Aditya Desyawan, S.ST.</t>
  </si>
  <si>
    <t>199512172024211008</t>
  </si>
  <si>
    <t>Ahli Pertama - Pranata Komputer</t>
  </si>
  <si>
    <t>Pelatihan Kompetensi PBJP Level-1 Model MOOC Batch 5 Tahun 2024</t>
  </si>
  <si>
    <t>Pusat Pelatihan Sumber Daya Manusia Pengadaan Barang/Jasa LKPP
No Sert. 028434/LVL-1.MOOC/PPSDMPBJ/2024</t>
  </si>
  <si>
    <t>5 Juli - 31 Agustus 2024</t>
  </si>
  <si>
    <t>Balai Pengembangan Kompetensi Pekerjaan Umum dan Perumahan Rakyat Wilayah VI Surabaya
No Sert. 00002943/99/3021/295/LAN-KEMENPUPR/2024</t>
  </si>
  <si>
    <t>7 - 11 Oktober 2024</t>
  </si>
  <si>
    <t>Webinar Teknologi Pembangunan IPAL</t>
  </si>
  <si>
    <t>Balai Pengembangan Kompetensi Pekerjaan Umum dan
Perumahan Rakyat Wilayah III Jakarta
No Sert. SM.05-KM/39277</t>
  </si>
  <si>
    <t>Optimasi Pemanfaatan Kecerdasan Buatan (AI) dalam
Pembangunan Infrastruktur Pekerjaan Umum</t>
  </si>
  <si>
    <t>Pusat Pengembangan Kompetensi Jalan, Perumahan dan
PIW bekerjasama dengan Fakultas Teknik Sipil dan Lingkungan Institut Teknologi Bandung
No Sert. SM.05-KM/46612</t>
  </si>
  <si>
    <t>Webinar ASN Belajar Seri 36 "Jawa Timur Gerbang Nusantara Baru"</t>
  </si>
  <si>
    <t>Badang Pengembangan SDM Provinsi Jawa Timur
No Sert. SERT-7372/WEBINAR/ASNB-36/205.2/2024</t>
  </si>
  <si>
    <t>Webinar ASN Belajar Seri 36 "ASN Cerdas Berbahasa, Pelayanan Juara"</t>
  </si>
  <si>
    <t>Badang Pengembangan SDM Provinsi Jawa Timur
No Sert. 18105/WEBINAR/ ASNB-35 / 205.6 / 2024</t>
  </si>
  <si>
    <t>Bimbingan Teknis Sains #4 “Optimasi Akustik dalam Ruang sebagai Aspek Kenyamanan pada Bangunan Gedung”</t>
  </si>
  <si>
    <t>Balai Sains Bangunan
No Sert. 052/SKET/Ct/2024</t>
  </si>
  <si>
    <t>Pelatihan Tenaga Ahli Konstruksi Seri 16 TA 2024 "Mempersiapkan Desa Cerdas Dalam Mendukung Pembangunan Desa”</t>
  </si>
  <si>
    <t>Dinas Bina Marga dan Penataan Ruang Prov. Jabar
No Sert.   570/PSM.16.01-Seri.XVI/Jakon/2024</t>
  </si>
  <si>
    <t>Pembekalan Karyasiswa Program Magister Super
Spesialis Tahun 2024 dan Kolokium “Pendidikan
Menyongsong Indonesia Emas”</t>
  </si>
  <si>
    <t>Sekretariat Badan Pengembangan Sumber Daya Manusia
No Sert. SM.05-KM/50630</t>
  </si>
  <si>
    <t>27 Agustus 2024</t>
  </si>
  <si>
    <t>Direktorat Pengadaan Jasa Konstruksi
No Sert. 3334/STF/Kj/XII/2024</t>
  </si>
  <si>
    <t>Seri Webinar #77 Tema: ASN Lawan Bulliying</t>
  </si>
  <si>
    <t>Dewan Pengurus Nasional Korpri
No Sert. 77/WS-KMASN/IX/2024</t>
  </si>
  <si>
    <t>Bimtek SNI Beton Pracetak (SNI 9163:2023; SNI 8977:2021; SNI 8976:2021)</t>
  </si>
  <si>
    <t>Direktorat Bina Teknik Permukiman dan Perumahan
No Sert. 050.1/SKET/CT/2024</t>
  </si>
  <si>
    <t>23 - 24 September 2024</t>
  </si>
  <si>
    <t>Dhina Tri Hendriani, SE</t>
  </si>
  <si>
    <t>197809102024212004</t>
  </si>
  <si>
    <t>Pusat Pembinaan Program dan Kebijakan Pengembangan Kompetensi ASN
No Sert. 00197594/PPPK/4012/246/LAN-LAN/2024</t>
  </si>
  <si>
    <t>8 - 22 Agustus 2024</t>
  </si>
  <si>
    <t>Direktorat Pengadaan Jasa Konstruksi
No Sert. 3310/STF/Kj/XII/2024</t>
  </si>
  <si>
    <t>Direktorat pengadaan Jasa Konstruksi
No Sert. 1560/STF/Kj/2024</t>
  </si>
  <si>
    <t>Disket BM "Manajemen Risiko pada Proyek Strategis Nasional di Kementerian PUPR"</t>
  </si>
  <si>
    <t>Direktorat Kepatuhan Intern DJBM
No Sert. 07/KET/Bi/2024</t>
  </si>
  <si>
    <t>16 Juli 2024</t>
  </si>
  <si>
    <t>Dea Septiani, S.ST</t>
  </si>
  <si>
    <t>C22091992092018002</t>
  </si>
  <si>
    <t>Rudi Arifin</t>
  </si>
  <si>
    <t>G10061984092018001</t>
  </si>
  <si>
    <t>Pengemudi</t>
  </si>
  <si>
    <t>Muklis Sugeng Hariadi</t>
  </si>
  <si>
    <t>A25071982092018001</t>
  </si>
  <si>
    <t>Sapto Daryanto</t>
  </si>
  <si>
    <t>G28031976092018001</t>
  </si>
  <si>
    <t>Petugas Keamanan</t>
  </si>
  <si>
    <t>Budi Prayitno Utomo</t>
  </si>
  <si>
    <t>G28031991092018001</t>
  </si>
  <si>
    <t>Pramubakti</t>
  </si>
  <si>
    <t>Wiji Putra Imaskadiyawanto</t>
  </si>
  <si>
    <t>G17011993092018001</t>
  </si>
  <si>
    <t>Ery Eriyanto</t>
  </si>
  <si>
    <t>Outsourcing</t>
  </si>
  <si>
    <t>Gandhi Adirasa</t>
  </si>
  <si>
    <t xml:space="preserve">Regi Putra </t>
  </si>
  <si>
    <t>Surabaya , 3 Desember 2024</t>
  </si>
  <si>
    <t xml:space="preserve">Kepala Balai Pelaksana Pemilihan                                                                                    Jasa Konstruksi Wilayah Jawa Timur
</t>
  </si>
  <si>
    <t>NIP. 196708181992031011</t>
  </si>
  <si>
    <t>Hasto Agoeng Sapoetro, SST, MT</t>
  </si>
  <si>
    <t>19630721.199203.1.003</t>
  </si>
  <si>
    <t>Antin Juliati, ST., MM</t>
  </si>
  <si>
    <t>19730701.200112.2.001</t>
  </si>
  <si>
    <t>Penata Tk.I</t>
  </si>
  <si>
    <t>DAFTAR USULAN DAN EVALUASI PELAKSANAAN PELATIHAN TAHUN 2025 BP2JK WILAYAH JAWA TIMUR</t>
  </si>
  <si>
    <t>Update: Januari 2026</t>
  </si>
  <si>
    <t>Nama</t>
  </si>
  <si>
    <t>Rencana/ Usulan Diklat Berdasarkan Hasil Evaluasi Tahun 2025</t>
  </si>
  <si>
    <t>Realisasi Pelaksanaan Pelatihan/ Diklat/ Bimtek/ Sosialisasi/ Webinar/ Internalisasi</t>
  </si>
  <si>
    <t>Evaluasi terhadap Rencana/ Usulan Pengembangan Kompetensi</t>
  </si>
  <si>
    <t>Evaluasi terhadap Kinerja akibat Pengembangan Kompetensi</t>
  </si>
  <si>
    <t>Link Bukti Dukung Sertifikat</t>
  </si>
  <si>
    <t>Pelaksana Diklat</t>
  </si>
  <si>
    <t>Nomor Sertifikat</t>
  </si>
  <si>
    <t>Pemenuhan JP</t>
  </si>
  <si>
    <t>Pemenuhan Diklat</t>
  </si>
  <si>
    <t>Husnan Tajrie, S.T., M.T</t>
  </si>
  <si>
    <t>Bimtek MR/ Kepatuhan Intern/ Gratifikasi/ Benturan Kepentingan/ SMAP/ WBS</t>
  </si>
  <si>
    <t>Tadaa!:Tanya Pengadaan - Persyaratan Peralatan Utama pada Tender Pekerjaan Konstruksi</t>
  </si>
  <si>
    <t>Direktorat Pengadaan Jasa Konstruksi</t>
  </si>
  <si>
    <t>1833/STF/Kj/2025</t>
  </si>
  <si>
    <t>Memenuhi</t>
  </si>
  <si>
    <t>1. Seluruh usulan pengembangan kompetensi telah dilaksanakan.
2. Terdapat pengembangan kompetensi lainnya oleh personil</t>
  </si>
  <si>
    <t>1. Peningkatan kinerja bidang PBJ dimana pengaduan turun menjadi 1 pengaduan dan dinyatakan tidak benar.
2. Capaian kinerja layanan pemilihan jasa konstruksi 97,71% dari target 80,50%
3. Capaian kinerja IKPA 93,64% melebihi target 89%
4. Capaian kinerja manajemen risiko meningkat dari 59,97 menjadi 79 dan lebih dari target 59,50
5. Tidak ada temuan yang perlu di tindaklanjuti berdasarkan hasil surveilance SMAP
6. Tidak ada LHP yang belum ditindaklanjuti
7. Capaian Kinerja untuk pengelolaan kepegawaian memperoleh nilai penuh 100%
8. Target kepegawaian tercapai untuk pengembangan kompetensi kepegawaian sebanyak minimal 20JP
9. Penugasan Balai terkait PE Terintegrasi, Pelaksanaan ITKP terpenuhi</t>
  </si>
  <si>
    <t>Sasirangan (Semangat Berbagi Solusi dan Informasi Pengadaan) #5</t>
  </si>
  <si>
    <t>BP2JK Wilayah Kalimantan Selatan</t>
  </si>
  <si>
    <t>1140/STF/KJ/2025</t>
  </si>
  <si>
    <t>Tadaa! - Sosialisasi Perpres No 46 Tahun 2025 tentang Perubahan Kedua atas Perpres No 16 Tahun 2018 tentang PB/J</t>
  </si>
  <si>
    <t>2885/STF/Kj/2025</t>
  </si>
  <si>
    <t>E-Learning Manajemen Risiko</t>
  </si>
  <si>
    <t>17-20 Maret 2025</t>
  </si>
  <si>
    <t>Bapekom PU Wilayah III Jakarta</t>
  </si>
  <si>
    <t>00000253/0/3021/419/LAN-KEMENPUPR/2025</t>
  </si>
  <si>
    <t>Sasirangan (Semangat Berbagi Solusi dan Informasi Pengadaan) #4</t>
  </si>
  <si>
    <t>1016/STF/KJ/2025</t>
  </si>
  <si>
    <t>Tadaa!: Episode 5 - Pengembangan Kapasitas untuk Pokja Pemilihan pada Paket Pekerjaan dengan Sumber Dana Bank Dunia di Kementerian PU</t>
  </si>
  <si>
    <t>21 Agustus 2025
s/d
21 Agustus 2025</t>
  </si>
  <si>
    <t>7175/STF/Kj/2025</t>
  </si>
  <si>
    <t>Governance Beyond Compliance: Penguatan Integritas dan Peran Aparatur dalam Pencegahan Korupsi</t>
  </si>
  <si>
    <t>18 Desember 2025
s/d
18 Desember 2025</t>
  </si>
  <si>
    <t>Direktorat Kepatuhan Intern Direktorat Jenderal Bina Konstruksi</t>
  </si>
  <si>
    <t>14227/STF/Ki/2025</t>
  </si>
  <si>
    <t>Pelatihan terkait penyegaran PISK</t>
  </si>
  <si>
    <t>Pejabat Inti Satuan Kerja (PISK) Bidang Manajemen</t>
  </si>
  <si>
    <t>28 April - 26 Mei 2025</t>
  </si>
  <si>
    <t>Balai Pengembangan Kompetensi Pekerjaan Umum Wilayah I Medan</t>
  </si>
  <si>
    <t>00001309/99/3021/227/LAN-KEMENPUPR/2025</t>
  </si>
  <si>
    <t>Tidak diusulkan sebelumnya</t>
  </si>
  <si>
    <t>Webinar Sharing Knowledge Pengelolaan Sumber Daya Air di Belanda</t>
  </si>
  <si>
    <t>Sekretariat Badan Pengembangan Sumber Daya Manusia</t>
  </si>
  <si>
    <t>325/STF/Ms/2025</t>
  </si>
  <si>
    <t>JUMLAH PERSONIL BELUM MEMENUHI JUMLAH JP =</t>
  </si>
  <si>
    <t>Workshop Identifikasi Kebutuhan Pengembangan Kompetensi di Direktorat Jenderal Bina Konstruksi</t>
  </si>
  <si>
    <t>Sekretariat Direktorat Jenderal Bina Konstruksi</t>
  </si>
  <si>
    <t>271/STF/Ks/2025</t>
  </si>
  <si>
    <t>JUMLAH PERSONIL SUDAH MEMENUHI JUMLAH JP =</t>
  </si>
  <si>
    <t>Ode Siti Andini Ladamay, ST. MT.</t>
  </si>
  <si>
    <t>E-Learning Pengetahuan Antikorupsi Dasar dan Integritas (PADI) Untuk Umum</t>
  </si>
  <si>
    <t>Komisi Pemberantasan Korupsi</t>
  </si>
  <si>
    <t>001/IDN/II/2025</t>
  </si>
  <si>
    <t>1. Peningkatan kinerja bidang PBJ dimana pengaduan turun menjadi 1 pengaduan dan dinyatakan tidak benar.
2. Capaian kinerja layanan pemilihan jasa konstruksi 97,71% dari target 80,50%
3. Capaian kinerja IKPA 93,64% melebihi target 89%
4. Capaian kinerja manajemen risiko meningkat dari 59,97 menjadi 79 dan lebih dari target 59,50
5. Tidak ada temuan yang perlu di tindaklanjuti berdasarkan hasil surveilance SMAP
6. Tidak ada LHP yang belum ditindaklanjuti
7. Capaian Kinerja untuk pengelolaan kepegawaian memperoleh nilai penuh 100%
8. Capaian kinerja untuk transformasi digital 88,13% lebih dari target 67,09% dan meningkat dari tahun sebelumnya dinilai 30an.
9. Target kepegawaian tercapai untuk pengembangan kompetensi kepegawaian sebanyak minimal 20JP
10. Penugasan Balai terkait PE Terintegrasi, Pelaksanaan ITKP terpenuhi</t>
  </si>
  <si>
    <t>https://drive.google.com/drive/folders/1jiXm9rrXSDCswVlZBDiSwIisce2JBM-z</t>
  </si>
  <si>
    <t>E-Learning Peningkatan Pemahaman Gratifikasi 2025</t>
  </si>
  <si>
    <t>001/IDN/X/2025</t>
  </si>
  <si>
    <t>Sosialisasi dan Koordinasi Kepatuhan Intern dan Manajemen Risiko Regional II</t>
  </si>
  <si>
    <t>29- 30 September 2025</t>
  </si>
  <si>
    <t>Direktorat Kepatuhan Intern DJBK</t>
  </si>
  <si>
    <t>813/STF/Ki/2025</t>
  </si>
  <si>
    <t>PJJ PPK karena diusulkan sebagai PPK</t>
  </si>
  <si>
    <t>Pelatihan Jarak Jauh Pejabat Pembuat Komitmen</t>
  </si>
  <si>
    <t>25 Februari - 3 Maret 2025</t>
  </si>
  <si>
    <t>BDK Yogyakarta Angkatan I, Kementerian Keuangan</t>
  </si>
  <si>
    <t>00004355/121/3005/114/2025</t>
  </si>
  <si>
    <t>Peningkatan Kompetensi Kepatuhan Internal (Bapekom PUPR Wilayah VI Surabaya, Surat Usulan SM0304-Kb25/076)</t>
  </si>
  <si>
    <t>Pelatihan Kepatuhan Intern Angkatan II</t>
  </si>
  <si>
    <t>17 - 21 Maret 2025</t>
  </si>
  <si>
    <t>Balai Pengembangan Kompetensi Pekerjaan Umum Wilayah VI Sby</t>
  </si>
  <si>
    <t>00000126/0/3021/295/LAN-KEMENPUPR/2025</t>
  </si>
  <si>
    <t>559/STF/Ms/2025</t>
  </si>
  <si>
    <t>Bimtek/ Sosialisasi terkait kepegawaian sebagai PLT Kasubbag Umum dan TU</t>
  </si>
  <si>
    <t>301/STF/Ks/2025</t>
  </si>
  <si>
    <t>PISK Manajemen karena diusulkan sebagai PPK</t>
  </si>
  <si>
    <t>24 Maret 2025 s.d 28 April 2025</t>
  </si>
  <si>
    <t>Bapekom Wilayah VI Sby</t>
  </si>
  <si>
    <t>00000368/99/3021/295/LAN-KEMENPUPR/2025</t>
  </si>
  <si>
    <t>Bimtek/ Sosialisasi/ Webinar terkait PBJ</t>
  </si>
  <si>
    <t>Tadaa!: Persyaratan Peralatan  Utama pada Tender Pekerjaan Konstruksi</t>
  </si>
  <si>
    <t xml:space="preserve"> 28 April 2025</t>
  </si>
  <si>
    <t xml:space="preserve">Direktorat Pengadaan Jasa Konstruksi </t>
  </si>
  <si>
    <t xml:space="preserve"> 2023/STF/Kj/2025</t>
  </si>
  <si>
    <t>Tadaa! Sosialisasi Perpres No 46/ 2025 tentang Perubahan Ke2 atas Perpres  No 16/2018 tentang PB/J</t>
  </si>
  <si>
    <t>3173/STF/Kj/2025</t>
  </si>
  <si>
    <t>Tadaa! - Penjelasan Proses Validasi Peralatan pada SIMPK dalam Proses Pengadaan Jasa Konstruksi di Kementerian PU</t>
  </si>
  <si>
    <t>10 Juli 2025</t>
  </si>
  <si>
    <t>5923/STF/Kj/2025</t>
  </si>
  <si>
    <t>Webinar &amp;quot;Metode Pemilihan E-Purchasing Katalog Melalui Metode Mini-Kompetisi untuk Pekerjaan Konstruksi</t>
  </si>
  <si>
    <t>7 Agustus 2025</t>
  </si>
  <si>
    <t xml:space="preserve">Balai Pelaksana Pemilihan Jasa Konstruksi Wilayah Sumatera Utara	</t>
  </si>
  <si>
    <t>11843/STF/Kj/2025</t>
  </si>
  <si>
    <t xml:space="preserve">Webinar Teknologi AI Untuk Deteksi Kerusakan Jalan
dan Penerapan Digital Twin dalam Road Management
System di Indonesia
</t>
  </si>
  <si>
    <t>21 Oktober 2025</t>
  </si>
  <si>
    <t>Direktorat Bina Teknik Jalan dan Jembatan</t>
  </si>
  <si>
    <t>7769/STF/Be/2025</t>
  </si>
  <si>
    <t>Tadaa!:Tanya Pengadaan Episode 5 - Pengembangan Kapasitas untuk Pokja Pemilihan pada Paket Pekerjaan dengan Sumber Dana Bank Dunia (World Bank) di Kementerian PU</t>
  </si>
  <si>
    <t>21 Agustus 2025</t>
  </si>
  <si>
    <t>7312/STF/Kj/2025</t>
  </si>
  <si>
    <t>Bimtek MR/ Kepatuhan Intern/ Gratifikasi/ Benturan Kepentingan/ SMAP/ WBS/ PBJ</t>
  </si>
  <si>
    <t>1. Semua usulan telah dilaksanakan
2. Terdapat banyak pengembangan kompetensi yang dilakukan selain yang diusulkan untuk dilaksanakan</t>
  </si>
  <si>
    <t>1. Capaian kinerja manajemen risiko meningkat dari 59,97 menjadi 79 dan lebih dari target 59,50
2. Tidak ada temuan yang perlu di tindaklanjuti berdasarkan hasil surveilance SMAP
3. Tidak ada LHP yang belum ditindaklanjuti
4. Penataan arsip terkait keuangan sudah berupa digitalisasi disimpan dipenyimpanan digital BP2JK
5. Capaian kinerja IKPA 93,64% melebihi target 89%
6. Target kepegawaian tercapai untuk pengembangan kompetensi kepegawaian sebanyak minimal 20JP</t>
  </si>
  <si>
    <t>https://drive.google.com/drive/folders/13DbrcpndLbNFpjMUd_-5jYdRPveog8vA</t>
  </si>
  <si>
    <t>Workshop Identifikasi Kebutuhan Pengembangan Kompetensi di DJBK</t>
  </si>
  <si>
    <t>27 Februari 2025</t>
  </si>
  <si>
    <t>243/STF/Ks/2025</t>
  </si>
  <si>
    <t>Bimbingan Teknis Pemahaman dan Implementasi Sistem Manajemen Mutu ISO SNI 9001:2015</t>
  </si>
  <si>
    <t>16 Mei 2025</t>
  </si>
  <si>
    <t>Direktorat Jenderal Cipta Karya</t>
  </si>
  <si>
    <t>029/S.KET/Cg/2025</t>
  </si>
  <si>
    <t>Webinar Dampak Bencana dan Perubahan Iklim terhadap Keberlanjutan Infrastruktur Jalan dan Jembatan</t>
  </si>
  <si>
    <t>26 Juni 2025</t>
  </si>
  <si>
    <t>Pusat Pengembangan Kompetensi Jalan, Perumahan dan PIW</t>
  </si>
  <si>
    <t>E-Learning Manajemen Pengembangan SDM</t>
  </si>
  <si>
    <t>23 Juni s/d 3 Juli 2025</t>
  </si>
  <si>
    <t>Bapekom PU Wilayah VII Banjarmasin</t>
  </si>
  <si>
    <t>00001612/99/3021/496/LAN-KEMENPUPR/2025</t>
  </si>
  <si>
    <t>Kajian Kebencanaan Geologi untuk Infrastruktur yang Tangguh (Resilience Infrastructures)</t>
  </si>
  <si>
    <t>BPSDM</t>
  </si>
  <si>
    <t>Sertifikat ada tapi tidak ada nomor</t>
  </si>
  <si>
    <t>Klinik BIM PU #36 - Pemanfaatan Orthomosaic untuk Pemodelan Terrain dan Dimensi</t>
  </si>
  <si>
    <t>Pusat Data dan Teknologi Informasi</t>
  </si>
  <si>
    <t xml:space="preserve">NOMOR : 4380/STF/Sd/2025
</t>
  </si>
  <si>
    <t>Workshop Kolaborasi Pengabdian Masyarakat Hukum Konstruksi dan Manajemen Kontrak Konstruksi</t>
  </si>
  <si>
    <t>UNIKAL</t>
  </si>
  <si>
    <t>625/C.06.01/VII/2025</t>
  </si>
  <si>
    <t>Webinar Menjawab Tantangan Baru Pembangunan Perkotaan Berkelanjutan Dalam RPJMN 2025-2029 (Pemenuhan Indikator Kontribusi PDRB dan Indeks Kota Berkelanjutan)</t>
  </si>
  <si>
    <t>Webinar: Metode Pemilihan E-Purchasing Katalog Melalui Metode Mini-Kompetisi untuk Pekerjaan Konstruksi</t>
  </si>
  <si>
    <t>Balai Pelaksana Pemilihan Jasa Konstruksi Wilayah Sumatera Utara</t>
  </si>
  <si>
    <t xml:space="preserve">NOMOR : 11551/STF/Kj/2025
</t>
  </si>
  <si>
    <t>Scan to BIM: Solusi Mengubah Data Lapangan menjadi Model 3 Dimensi</t>
  </si>
  <si>
    <t>NOMOR : 6657/STF/Sd/2025</t>
  </si>
  <si>
    <t>Bimbingan Teknis Seri 4: Retrofitting Bangunan Gedung Cagar &amp; Budaya Aspek Bahan &amp; Struktur</t>
  </si>
  <si>
    <t>Balai Teknik Bahan dan Struktur Bangunan &amp; Gedung</t>
  </si>
  <si>
    <t>UK Road Preservation Technology : Lesson for Indonesia's Future Infrastructure</t>
  </si>
  <si>
    <t>Pusat Pengembangan Kompetensi Bina Marga, Pembiayaan Infrastruktur, dan Pengembangan Infrastruktur Wilayah</t>
  </si>
  <si>
    <t>NOMOR : SM.05-KM/6456</t>
  </si>
  <si>
    <t>Sharing Session - Less is More: Lean Construction
towards Sustainable Public Infrastructure</t>
  </si>
  <si>
    <t>29 Agustus 2025</t>
  </si>
  <si>
    <t>NOMOR : 7618/STF/Kk/2025</t>
  </si>
  <si>
    <t>8 Sept 2025</t>
  </si>
  <si>
    <t>No. 001/IDN/IX/2025</t>
  </si>
  <si>
    <t>TADAA!:Tanya Pengadaan - Penerapan Sistem Informasi Pengalaman (SIMPAN) pada Pengadaan Jasa Konstruksi di Kementerian Pekerjaan Umum</t>
  </si>
  <si>
    <t>NOMOR : 9883/STF/Kj/2025</t>
  </si>
  <si>
    <t>Sustainable lowland in Indonesia to support food sovereignty</t>
  </si>
  <si>
    <t>Pusbangkom ACP</t>
  </si>
  <si>
    <t>Sertifikat ada tp tdk ada nomor</t>
  </si>
  <si>
    <t>Bedah Buku Standar Pelaksanaan Pemasangan Gelagar Jembatan Pratekan Pracetak Tipe I (PCI Girder) Komite Keselamatan Konstruksi</t>
  </si>
  <si>
    <t>31 Oktober 2025</t>
  </si>
  <si>
    <t>Politeknik PU</t>
  </si>
  <si>
    <t>NOMOR 2/STF/KKK/2025</t>
  </si>
  <si>
    <t>Workshop Tata Cara Penyusunan Standar Operasional Prosedur (SOP) Administrasi Pemerintah</t>
  </si>
  <si>
    <t>6 - 7 November 2025</t>
  </si>
  <si>
    <t>Direktorat Kepatuhan Intern Ditjen Bina Konstruksi</t>
  </si>
  <si>
    <t>Nomor: 1631/STF/Ki/2025</t>
  </si>
  <si>
    <t>Workshop Penerapan Sistem Manajemen Anti Penyuapan (SMAP)</t>
  </si>
  <si>
    <t>15 - 16 Oktober 2025</t>
  </si>
  <si>
    <t>Nomor: 1130/STF/Ki/2025</t>
  </si>
  <si>
    <t>Pelatihan Work Collaboration Tools - Microsoft 365 Eps.13</t>
  </si>
  <si>
    <t>Ada sertifikat tp tdk ada nomornya</t>
  </si>
  <si>
    <t>Tadaa!:Tanya Pengadaan Episode 10 - Membangun Trust dengan Memperkuat Integritas pada proses Pengadaan Barang/Jasa</t>
  </si>
  <si>
    <t>NOMOR : 12351/STF/Kj/2025</t>
  </si>
  <si>
    <t>Bimbingan Teknis Bidang Bahan dan Struktur Bangunan Gedung Seri 6 – Tahun 2025 Menjaga Keandalan Struktur Gedung Beton Bertulang Melalui Integrasi Desain Struktur Gedung Beton Bertulang, Pengendalian Mutu, dan Evaluasi Lapangan</t>
  </si>
  <si>
    <t>Balai Teknik Bahan dan Struktur Bangunan Gedung,
Direktorat Bina Teknik Bangunan Gedung dan Penyehatan Lingkungan,
Direktorat Jenderal Cipta Karya, Kementerian Pekerjaan Umum,</t>
  </si>
  <si>
    <t>Nomor : 040/SKET/Cg/2025</t>
  </si>
  <si>
    <t>Tata Cara Penyusunan Proses Bisnis berdasarkan Permen PANRB Nomor 19</t>
  </si>
  <si>
    <t>15 Desember 2025</t>
  </si>
  <si>
    <t>Lembaga Pengembangan dan Konsultasi Nasional</t>
  </si>
  <si>
    <t>Nomor: 030.15.12.2025/Penyusunan-Proses-Bisnis/XII/2025</t>
  </si>
  <si>
    <t>Gambaran Umum dan Langkah Strategis Mengelola Resiko Pengadaan</t>
  </si>
  <si>
    <t>16 Desember 2025</t>
  </si>
  <si>
    <t>Nomor: 021.16.12.2025/Mengelola-Resiko-Pengadaan/XII/2025</t>
  </si>
  <si>
    <t>Peran, Tantangan, dan Pengendalian Kepatuhan Intern dalam Pelaksanaan Proses Bisnis pada Unit Organisasi</t>
  </si>
  <si>
    <t>17 Desember 2025</t>
  </si>
  <si>
    <t>Nomor: 022.17.12.2025/Pengendalian-Keputusan-Intern/XII/2025</t>
  </si>
  <si>
    <t>Resiko yang dihadapi oleh PA/KPA/Pokja/PPK dalam Pengadaan PBJ dari Kacamata Auditor</t>
  </si>
  <si>
    <t>19 Desember 2025</t>
  </si>
  <si>
    <t>Nomor: 022.19.12.2025/Risiko-PBJ-Auditor/XII/2025</t>
  </si>
  <si>
    <t>Bimtek Terkait Keuangan/ Perpajakan/ Coretax</t>
  </si>
  <si>
    <t>Sosialisasi Digitalisasi Pembayaran dan Bazar UMKM</t>
  </si>
  <si>
    <t>18 Juni 2025</t>
  </si>
  <si>
    <t>KPPN SUrabaya I, Kemenkeu</t>
  </si>
  <si>
    <t>tanpa sertifikat</t>
  </si>
  <si>
    <t xml:space="preserve">E-Learning Pengetahuan Antikorupsi Dasar dan Integritas (PADI) Untuk Umum </t>
  </si>
  <si>
    <t>26 - 28 Agustus 2025</t>
  </si>
  <si>
    <t>001/IDN/VIII/2025</t>
  </si>
  <si>
    <t>Semua usulan telah dilaksanakan</t>
  </si>
  <si>
    <t>1. Tidak ada temuan yang perlu di tindaklanjuti berdasarkan hasil surveilance SMAP
2. Tidak ada LHP yang belum ditindaklanjuti
3. Target kepegawaian tercapai untuk pengembangan kompetensi kepegawaian sebanyak minimal 20JP
4. Capaian kinerja IKPA 93,64% melebihi target 89%</t>
  </si>
  <si>
    <t>712/STF/Ki/2025</t>
  </si>
  <si>
    <t>Konsolidasi Laporan Keuangan dan BMN serta Sosialisasi Kebijakan Penyusunan Laporan Keuangan dan BMN</t>
  </si>
  <si>
    <t>7 - 8 Juli 2025</t>
  </si>
  <si>
    <t>Sekretariat Direktorat Jenderal Bina Konstruksi dan KPPN</t>
  </si>
  <si>
    <t>17 Maret 2025 sampai 26 Maret 2025</t>
  </si>
  <si>
    <t>00000163/99/3021/295/LAN-KEMENPUPR/2025</t>
  </si>
  <si>
    <t>Tidak Memenuhi</t>
  </si>
  <si>
    <t>1. Pelatihan terkait MR/ Kepatuhan Intern/ Gratifikasi/ Benturan Kepentingan/ SMAP/ WBS/ PBJ belum dilaksanakan
2. Pelatihan BMN sudah dilaksanakan</t>
  </si>
  <si>
    <t>Target kepegawaian tercapai untuk pengembangan kompetensi kepegawaian sebanyak minimal 20JP</t>
  </si>
  <si>
    <t>Bimtek/ Sosialisasi terkait BMN</t>
  </si>
  <si>
    <t>Tadaa!:Tanya Pengadaan - Persyaratan Peralatan
 Utama pada Tender Pekerjaan Konstruksi</t>
  </si>
  <si>
    <t>1753/STF/Kj/2025</t>
  </si>
  <si>
    <t>Tayang Bincang Anindhacitya: Dari Rencana ke Realisasi (Mengendalikan Kontrak Konstruksi Tanpa Korupsi)</t>
  </si>
  <si>
    <t>Badan Pengawasan Keuangan dan Pembangunan (BPKP)</t>
  </si>
  <si>
    <t>3839/D5/04/2025</t>
  </si>
  <si>
    <t>Webinar Pengadaan Barang/Jasa Pemerintah: Perpres No 46/2025 tentang Perubahan Kedua atas Perpres 16/2018 tentang PBJ</t>
  </si>
  <si>
    <t>Dinas Perumahan Rakyat Kawasan Permukiman dan CK Provinsi Jawa Timur</t>
  </si>
  <si>
    <t>0015/W/WEBINAR-III/05/2025</t>
  </si>
  <si>
    <t>Webinar Strategi Adaptasi Karier Pasca Hukuman Disiplin dan Pemanfaatan Website Asosiasi Profesi PKPLJJ</t>
  </si>
  <si>
    <t>580/STF/Be/2025</t>
  </si>
  <si>
    <t>Sekolah Rakyat, Jalan Baru Menuju Indonesia Emas Dukungan Kementerian PU
untuk Infrastruktur Pendidikan di Propinsi DI Yogyakarta</t>
  </si>
  <si>
    <t>BPSDM, Kementerian PU</t>
  </si>
  <si>
    <t>Penguatan Kapasitas SDM dalam Mendukung Penerapan SMKK untuk Meningkatkan Produktifitas Kegiatan Konstruksi</t>
  </si>
  <si>
    <t>0688/P/KESELAMATANKONSTRUKSI/01/2025</t>
  </si>
  <si>
    <t>Talkshow: Strategi Pengelolaan Air untuk Ketahanan Pangan Generasi Mendatang</t>
  </si>
  <si>
    <t>Bapekom PU Wilayah VII Surabaya</t>
  </si>
  <si>
    <t>Inspira Share: Bedah Risiko PBJ Konstruksi (Mengawal Akuntabilitas dan Efektivitas Pembangunan)</t>
  </si>
  <si>
    <t>BPKP RI</t>
  </si>
  <si>
    <t>- Bimtek MR/ Kepatuhan Intern/ Gratifikasi/ Benturan Kepentingan/ SMAP/ WBS/ PBJ</t>
  </si>
  <si>
    <t>17 - 26 Maret 2025</t>
  </si>
  <si>
    <t>00000244/99/3021/295/LAN-KEMENPUPR/2025</t>
  </si>
  <si>
    <t>Seluruh usulan telah dilaksanakan</t>
  </si>
  <si>
    <t>1. Target kepegawaian tercapai untuk pengembangan kompetensi kepegawaian sebanyak minimal 20JP
2. Capaian Kinerja untuk pengelolaan kepegawaian memperoleh nilai penuh 100%
3. Tidak ada temuan yang perlu di tindaklanjuti berdasarkan hasil surveilance SMAP</t>
  </si>
  <si>
    <t>- Bimtek/ Sosialisasi E-Kinerja/ Perhitungan AK/ Update Kepegawaian</t>
  </si>
  <si>
    <t>Internalisasi Penerapan Sistem Manajemen Anti Penyuapan (SMAP), Pengendalian Gratifikasi, Wistleblowing System (WBS) dan Benturan Kepentingan di Lingkungan BP2JK Wilayah Jawa Timur</t>
  </si>
  <si>
    <t>12 Februari 2025</t>
  </si>
  <si>
    <t>BP2JK Wilayah Jawa Timur</t>
  </si>
  <si>
    <t>04 - 05 Agustus 2025</t>
  </si>
  <si>
    <t>https://drive.google.com/file/d/1XWdW3lP5bRVxaTiy75i2MWlxrCCPhrAx/view?usp=drive_link</t>
  </si>
  <si>
    <t>Bimtek terkait Laporan Keuangan</t>
  </si>
  <si>
    <t>Konsolidasi Laporan Keuangan dan BMN serta Sosialisasi Kebijakan Penyusunan Laporan Keuangan dan BMN Triwulan III</t>
  </si>
  <si>
    <t>2 - 4 Oktober 2025</t>
  </si>
  <si>
    <t>1 Juli 2025</t>
  </si>
  <si>
    <t>001/IDN/VII/2025</t>
  </si>
  <si>
    <t>1. Tidak ada temuan yang perlu di tindaklanjuti berdasarkan hasil surveilance SMAP
2. Tidak ada LHP yang belum ditindaklanjuti
3. Target pengembangan kompetensi kepegawaian sebanyak minimal 20JP tercapai
4. Capaian kinerja IKPA 93,64% melebihi target 89%</t>
  </si>
  <si>
    <t>Bimtek MR/ Kepatuhan Intern/ Gratifikasi/ Benturan Kepentingan/ SMAP/ WBS/ PBJ: Peningkatan Kompetensi Kepatuhan Internal (Bapekom PUPR Wilayah VI Surabaya, Surat Usulan SM0304-Kb25/076)</t>
  </si>
  <si>
    <t>Balai Pengembangan Kompetensi Pekerjaan Umum Wilayah VI Surabaya</t>
  </si>
  <si>
    <t>00000034/0/3021/295/LAN-KEMENPUPR/2025</t>
  </si>
  <si>
    <t xml:space="preserve">Seluruh usulan pengembangan kompetensi telah dilaksanakan.
</t>
  </si>
  <si>
    <t>1. Peningkatan kinerja bidang PBJ dimana pengaduan turun menjadi 1 pengaduan dan dinyatakan tidak benar.
2. Capaian kinerja layanan pemilihan jasa konstruksi 97,71% dari target 80,50%
3.Target kepegawaian tercapai untuk pengembangan kompetensi kepegawaian sebanyak minimal 20JP</t>
  </si>
  <si>
    <t>001/IDN/IV/2025</t>
  </si>
  <si>
    <t>Workshop Sasirangan dengan Tema Semangat Berbagi Solusi dan Informasi Pengadaan</t>
  </si>
  <si>
    <t>BP2JK Kalimantan Selatan</t>
  </si>
  <si>
    <t>1067/STF/KJ/2025</t>
  </si>
  <si>
    <t>1. Peningkatan kinerja bidang PBJ dimana pengaduan turun menjadi 1 pengaduan dan dinyatakan tidak benar.
2. Capaian kinerja layanan pemilihan jasa konstruksi 97,71% dari target 80,50%
3. Target kepegawaian tercapai untuk pengembangan kompetensi kepegawaian sebanyak minimal 20JP</t>
  </si>
  <si>
    <t>001/IDN/III/2025</t>
  </si>
  <si>
    <t>Tadaa!:Persyaratan Peralatan
 Utama pada Tender Pekerjaan Konstruksi</t>
  </si>
  <si>
    <t>2069/STF/Kj/2025</t>
  </si>
  <si>
    <t>Talkshow: Meningkatkan Akses Air Bersih Dan Sanitasi Bagi Masyarakat - Peningkatan
Pelayanan Air Bersih dan Sanitasi Melalui Program Cipta Karya Di Papua</t>
  </si>
  <si>
    <t>Tanpa No sertifikat dan jumlah jam pelajaran</t>
  </si>
  <si>
    <t>Training Microsof 365</t>
  </si>
  <si>
    <t>Tanpa jumlah JP</t>
  </si>
  <si>
    <t>e-Learning Manajemen Rantai Pasok</t>
  </si>
  <si>
    <t>17 Maret 2025 sampai 28 Maret 2025</t>
  </si>
  <si>
    <t>Balai Pengembangan Kompetensi Pekerjaan Umum Wilayah IV Bandung</t>
  </si>
  <si>
    <t>00000167/70/3021/294/LAN-KEMENPUPR/2025</t>
  </si>
  <si>
    <t>1. Peningkatan kinerja bidang PBJ dimana pengaduan turun menjadi 1 pengaduan dan dinyatakan tidak benar.
2. Capaian kinerja layanan pemilihan jasa konstruksi 97,71% dari target 80,50%
3. Target kepegawaian tercapai untuk pengembangan kompetensi kepegawaian sebanyak minimal 20JP
4. Tidak ada temuan yang perlu di tindaklanjuti berdasarkan hasil surveilance SMAP
5. Penugasan Balai terkait PE Terintegrasi, Pelaksanaan ITKP terpenuhi</t>
  </si>
  <si>
    <t>250/STF/Ks/2025</t>
  </si>
  <si>
    <t>1777/STF/Kj/2025</t>
  </si>
  <si>
    <t>Tadaa!:Persyaratan Peralatan Utama pada Tender Pekerjaan Konstruksi</t>
  </si>
  <si>
    <t>1921/STF/Kj/2025</t>
  </si>
  <si>
    <t>Seluruh usulan pengembangan kompetensi telah dilaksanakan.</t>
  </si>
  <si>
    <t>3043/STF/Kj/2025</t>
  </si>
  <si>
    <t>Sasirangan (Semangat Berbagi Solusi dan Informasi Pengadaan) #7</t>
  </si>
  <si>
    <t>BP2JK Wilayah Kalsel</t>
  </si>
  <si>
    <t>3709/STF/Kj/2025</t>
  </si>
  <si>
    <t>Sasirangan (Semangat Berbagi Solusi dan Informasi Pengadaan) #8 - Rancang Bangun</t>
  </si>
  <si>
    <t>Balai Pelaksana Pemilihan Jasa Konstruksi Wilayah Kalimantan Selatan</t>
  </si>
  <si>
    <t>6303/STF/Kj/2025</t>
  </si>
  <si>
    <t>Tadaa!Pengembangan Kompetensi dan Sertifikasi SDM Pengadaan Barang/Jasa Pemerintah</t>
  </si>
  <si>
    <t>4506/STF/Kj/2025</t>
  </si>
  <si>
    <t>Sasirangan (Semangat Berbagi Solusi dan Informasi Pengadaan) #9 - e-Katalog Konstruksi Versi 6</t>
  </si>
  <si>
    <t>6587/STF/Kj/2025</t>
  </si>
  <si>
    <t>Tadaa!Penjelasan Proses Validasi Peralatan pada SIMPK dalam Proses Pengadaan Jasa Konstruksi di Kementerian PU</t>
  </si>
  <si>
    <t>5794/STF/Kj/2025</t>
  </si>
  <si>
    <t>Webinar Metode Pemilihan E-Purchasing Katalog Melalui Metode Mini-Kompetisi untuk Pekerjaan Konstruksi</t>
  </si>
  <si>
    <t>11753/STF/Kj/2025</t>
  </si>
  <si>
    <t>7257/STF/Kj/2025</t>
  </si>
  <si>
    <t>TADAA!:Pembekalan Uji Kompetensi Penjenjangan Pejabat Fungsional Pengelola PB/J di Kementerian PU</t>
  </si>
  <si>
    <t>9427/STF/Kj/2025</t>
  </si>
  <si>
    <t>TADAA!:Penerapan Sistem Informasi Pengalaman (SIMPAN) pada Pengadaan Jasa Konstruksi di Kementerian PU</t>
  </si>
  <si>
    <t>10016/STF/Kj/2025</t>
  </si>
  <si>
    <t>Talkshow: Strategi Pengelolaan Air Untuk Ketahanan pangan Generasi Mendatang</t>
  </si>
  <si>
    <t>Badan Pengembangan Sumber Daya Manusia Kementerian PUPR</t>
  </si>
  <si>
    <t>Tanpa no sertifikat dan jumlah jam pelajaran</t>
  </si>
  <si>
    <t xml:space="preserve">Balai Pengembangan Kompetensi Pekerjaan Umum Wilayah VI Surabaya </t>
  </si>
  <si>
    <t>00000124/99/3021/295/LAN-KEMENPUPR/2025</t>
  </si>
  <si>
    <t>226/STF/Ks/2025</t>
  </si>
  <si>
    <t>1669/STF/Kj/2025</t>
  </si>
  <si>
    <t>Bimbingan Teknis Pemahaman dan Implementasi Sistem Manajemen Mutu SNI ISO 9001:2015</t>
  </si>
  <si>
    <t>Ditjen CK, Kementerian PU</t>
  </si>
  <si>
    <t>2657/STF/Kj/2025</t>
  </si>
  <si>
    <t>23 Juni 2025</t>
  </si>
  <si>
    <t>4216/STF/Kj/2025</t>
  </si>
  <si>
    <t>5519/STF/Kj/2025</t>
  </si>
  <si>
    <t>5564/STF/Kj/2025</t>
  </si>
  <si>
    <t>Internalisasi SMAP, Pengendalian Gratifikasi, WBS, dan Benturan Kepentingan</t>
  </si>
  <si>
    <t>17 Juni 2025</t>
  </si>
  <si>
    <t>Balai Pelaksana Pemilihan Jasa Konstruksi Wilayah
Kalimantan Selatan</t>
  </si>
  <si>
    <t>6217/STF/Kj/2025</t>
  </si>
  <si>
    <t xml:space="preserve"> Balai Pelaksana Pemilihan Jasa Konstruksi Wilayah
Kalimantan Selatan</t>
  </si>
  <si>
    <t>6439/STF/Kj/2025</t>
  </si>
  <si>
    <t>Tadaa!:Tanya Pengadaan Episode 5 - Pengembangan Kapasitas untuk Pokja Pemilihan pada Paket Pekerjaan dengan Sumber Dana Bank Dunia (World Bank) di Kementerian Pekerjaan Umum</t>
  </si>
  <si>
    <t>7032/STF/Kj/2025</t>
  </si>
  <si>
    <t>TADAA!:Tanya Pengadaan - Pembekalan Uji Kompetensi Penjenjangan Pejabat Fungsional Pengelola Pengadaan Barang/Jasa di Kementerian Pekerjaan Umum</t>
  </si>
  <si>
    <t>17 September 2025</t>
  </si>
  <si>
    <t>9144/STF/Kj/2025</t>
  </si>
  <si>
    <t>1719/STF/Kj/2025</t>
  </si>
  <si>
    <t>1. Peningkatan kinerja bidang PBJ dimana pengaduan turun menjadi 1 pengaduan dan dinyatakan tidak benar.
2. Capaian kinerja layanan pemilihan jasa konstruksi 97,71% dari target 80,50%
3. Target kepegawaian tercapai untuk pengembangan kompetensi kepegawaian sebanyak minimal 20JP
4. Capaian kinerja manajemen risiko meningkat dari 59,97 menjadi 79 dan lebih dari target 59,50
5. Tidak ada temuan yang perlu di tindaklanjuti berdasarkan hasil surveilance SMAP</t>
  </si>
  <si>
    <t>19 Mei 2025</t>
  </si>
  <si>
    <t>2727/STF/Kj/2025</t>
  </si>
  <si>
    <t>21 Mei 2025</t>
  </si>
  <si>
    <t>3648/STF/Kj/2025</t>
  </si>
  <si>
    <t>Tadaa! Pengembangan Kompetensi dan Sertifikasi SDM PB/J</t>
  </si>
  <si>
    <t>4267/STF/Kj/2025</t>
  </si>
  <si>
    <t>Procurement Processes and Contract Management for ADB-financed Loans and Grants Training</t>
  </si>
  <si>
    <t>23 - 26 Juni 2025</t>
  </si>
  <si>
    <t>Ministry of National Development Planning/Bappenas and
Asian Development Bank</t>
  </si>
  <si>
    <t>Tadaa! Penjelasan Proses Validasi Peralatan pada SIMPK dalam Proses Pengadaan Jasa Konstruksi di Kementerian PU</t>
  </si>
  <si>
    <t>Tadaa!:Episode 5 - Pengembangan Kapasitas untuk Pokja Pemilihan pada Paket Pekerjaan dengan Sumber Dana Bank Dunia di Kementerian PU</t>
  </si>
  <si>
    <t>21
Agustus 2025</t>
  </si>
  <si>
    <t>7102/STF/Kj/2025</t>
  </si>
  <si>
    <t>TADAA!:Pembekalan Uji Kompetensi Penjenjangan Pejabat Fungsional Pengelola PBJ di Kementerian PU</t>
  </si>
  <si>
    <t>17
September 2025</t>
  </si>
  <si>
    <t>9232/STF/Kj/2025</t>
  </si>
  <si>
    <t>26
September 2025</t>
  </si>
  <si>
    <t>9867/STF/Kj/2025</t>
  </si>
  <si>
    <t>2228/STF/Kj/2025</t>
  </si>
  <si>
    <t>1. Peningkatan kinerja bidang PBJ dimana pengaduan turun menjadi 1 pengaduan dan dinyatakan tidak benar.
2. Capaian kinerja layanan pemilihan jasa konstruksi 97,71% dari target 80,50%
3. Target kepegawaian tercapai untuk pengembangan kompetensi kepegawaian sebanyak minimal 20JP
4. Capaian kinerja manajemen risiko meningkat dari 59,97 menjadi 79 dan lebih dari target 59,50
5. Tidak ada temuan yang perlu di tindaklanjuti berdasarkan hasil surveilance SMAP
6. Capaian kinerja IKPA 93,64% melebihi target 89%</t>
  </si>
  <si>
    <t>3442/STF/Kj/2025</t>
  </si>
  <si>
    <t>6140/STF/Kj/2025</t>
  </si>
  <si>
    <t>7459/STF/Kj/2025</t>
  </si>
  <si>
    <t>9685/STF/Kj/2025</t>
  </si>
  <si>
    <t xml:space="preserve">21 November 2025
s/d
21 November 2025	
</t>
  </si>
  <si>
    <t>12762/STF/Kj/2025</t>
  </si>
  <si>
    <t>Tadaa!:Tanya Pengadaan Episode 11 - Ketentuan Keadaan Kahar dan Pemberian Kesempatan oleh PPK pada Pelaksanaan Kontrak Konstruksi</t>
  </si>
  <si>
    <t>15 Desember 2025
s/d
15 Desember 2025</t>
  </si>
  <si>
    <t xml:space="preserve"> Direktorat Pengadaan Jasa Konstruksi</t>
  </si>
  <si>
    <t>16277/STF/Kj/2025</t>
  </si>
  <si>
    <t> 6364/STF/Kj/2025</t>
  </si>
  <si>
    <t>Seluruh usulan telah dilaksanakan1. Seluruh usulan pengembangan kompetensi telah dilaksanakan.
2. Terdapat pengembangan kompetensi lainnya oleh personil</t>
  </si>
  <si>
    <t>Webinar Tematik "Penerapan Building Information
Modelling (BIM) Pada Proyek Konstruksi PT.
Pembangunan Perumahan (Persero) Tbk</t>
  </si>
  <si>
    <t xml:space="preserve"> Balai Pelaksana Pemilihan Jasa Konstruksi Wilayah
Sumatera Utara</t>
  </si>
  <si>
    <t>1426/STF/Kd/2025</t>
  </si>
  <si>
    <t> </t>
  </si>
  <si>
    <t>Tadaa!:Tanya Pengadaan - Persyaratan Peralatan
Utama pada Tender Pekerjaan Konstruksi</t>
  </si>
  <si>
    <t>2189/STF/Kj/2025</t>
  </si>
  <si>
    <t xml:space="preserve"> 19 Mei 2025</t>
  </si>
  <si>
    <t>3391/STF/Kj/2025</t>
  </si>
  <si>
    <t>10 Juli 2025
s/d
10 Juli 2025</t>
  </si>
  <si>
    <t>6717/STF/Kj/2025</t>
  </si>
  <si>
    <t>07 Agustus 2025
s/d
07 Agustus 2025</t>
  </si>
  <si>
    <t>Pelaksana Pemilihan Jasa Konstruksi Wilayah
Sumatera Utara</t>
  </si>
  <si>
    <t>12023/STF/Kj/2025</t>
  </si>
  <si>
    <t>Tadaa!:Episode 10 - Membangun Trust dengan Memperkuat Integritas pada proses PB/J</t>
  </si>
  <si>
    <t>21 November 2025
s/d
21 November 2025</t>
  </si>
  <si>
    <t xml:space="preserve"> 12742/STF/Kj/2025</t>
  </si>
  <si>
    <t>Balai Pelaksana Pemilihan Jasa Konstruksi Wilayah
Sumatera Utara</t>
  </si>
  <si>
    <t>11578/STF/Kj/2025</t>
  </si>
  <si>
    <r>
      <rPr>
        <sz val="11"/>
        <color rgb="FF000000"/>
        <rFont val="Arial"/>
      </rPr>
      <t>1. Peningkatan kinerja bidang PBJ dimana pengaduan turun menjadi 1 pengaduan dan dinyatakan tidak benar.
2. Capaian kinerja layanan pemilihan jasa konstruksi 97,71% dari target 80,50%
3. Target kepegawaian</t>
    </r>
    <r>
      <rPr>
        <b/>
        <sz val="11"/>
        <color rgb="FF000000"/>
        <rFont val="Arial"/>
      </rPr>
      <t xml:space="preserve"> tidak tercapai</t>
    </r>
    <r>
      <rPr>
        <sz val="11"/>
        <color rgb="FF000000"/>
        <rFont val="Arial"/>
      </rPr>
      <t xml:space="preserve"> untuk pengembangan kompetensi kepegawaian sebanyak minimal 20JP sehingga perlu dicapai pada TA berikutnya</t>
    </r>
  </si>
  <si>
    <t>- Bimtek/ Sosialisasi/ Webinar terkait PBJ</t>
  </si>
  <si>
    <t>659/STF/Ki/2025</t>
  </si>
  <si>
    <t>Tanpa sertifikat</t>
  </si>
  <si>
    <t>28 April 2025</t>
  </si>
  <si>
    <t>2144/STF/Kj/2025</t>
  </si>
  <si>
    <t>3316/STF/Kj/2025</t>
  </si>
  <si>
    <t>6050/STF/Kj/2025</t>
  </si>
  <si>
    <t xml:space="preserve"> 6693/STF/Kj/2025</t>
  </si>
  <si>
    <t>11973/STF/Kj/2025</t>
  </si>
  <si>
    <t>7401/STF/Kj/2025</t>
  </si>
  <si>
    <t>Tadaa!:Tanya Pengadaan Episode 6 - Sosialisasi Pelaksanaan E-Purchasing Pekerjaan Konstruksi melalui Metode Mini Kompetisi Pada Katalog Elektronik Versi 6</t>
  </si>
  <si>
    <t xml:space="preserve">28 Agustus 2025
s/d
28 Agustus 2025	
</t>
  </si>
  <si>
    <t xml:space="preserve"> 8821/STF/Kj/2025</t>
  </si>
  <si>
    <t>17 September 2025
s/d
17 September 2025</t>
  </si>
  <si>
    <t>9622/STF/Kj/2025</t>
  </si>
  <si>
    <t>26 September 2025
s/d
26 September 2025</t>
  </si>
  <si>
    <t xml:space="preserve"> 10167/STF/Kj/2025</t>
  </si>
  <si>
    <t>Tidak diusulkan</t>
  </si>
  <si>
    <t>00000184/99/3021/295/LAN-KEMENPUPR/2025</t>
  </si>
  <si>
    <t>1. Peningkatan kinerja bidang PBJ dimana pengaduan turun menjadi 1 pengaduan dan dinyatakan tidak benar.
2. Capaian kinerja layanan pemilihan jasa konstruksi 97,71% dari target 80,50%
3. Target pengembangan kompetensi kepegawaian sebanyak minimal 20JP tercapai</t>
  </si>
  <si>
    <t>Tadaa! Tanya Pengadaan - Sosialisasi Peraturan Presiden Nomor 46 Tahun 2025 tentang Perubahan Kedua atas Peraturan Presiden Nomor 16 Tahun 2018 tentang Pengadaan Barang/Jasa</t>
  </si>
  <si>
    <t>2693/STF/Kj/2025</t>
  </si>
  <si>
    <t xml:space="preserve">Direktorat Pengadaan Jasa Konstruksi	</t>
  </si>
  <si>
    <t>1703/STF/Kj/2025</t>
  </si>
  <si>
    <t xml:space="preserve">Webinar Tematik &amp;quot;Penerapan Building Information Modelling (BIM) Pada Proyek Jasa Konsultansi Konstruksi PT. YODYA KARYA (PERSERO)	</t>
  </si>
  <si>
    <t>11 Maret 2025</t>
  </si>
  <si>
    <t>381/STF/Kd/2025</t>
  </si>
  <si>
    <t xml:space="preserve">Webinar Tematik &amp;quot;Penerapan Building Information Modelling (BIM) Pada Proyek Konstruksi PT. Pembangunan Perumahan (Persero) Tbk	</t>
  </si>
  <si>
    <t xml:space="preserve">18-Mar-2025	</t>
  </si>
  <si>
    <t>1288/STF/Kd/2025</t>
  </si>
  <si>
    <t xml:space="preserve">Webinar Tematik &amp;quot;Penerapan Building Information Modelling (BIM) Pada Proyek Jasa Konsultansi Konstruksi PT. Buana Enjiniring Konsultan&amp;quot;	</t>
  </si>
  <si>
    <t xml:space="preserve">25-Mar-2025	</t>
  </si>
  <si>
    <t>1458/STF/Kd/2025</t>
  </si>
  <si>
    <t xml:space="preserve">Sasirangan (Semangat Berbagi Solusi dan Informasi Pengadaan) #7	</t>
  </si>
  <si>
    <t xml:space="preserve">21-May-2025	</t>
  </si>
  <si>
    <t xml:space="preserve">Balai Pelaksana Pemilihan Jasa Konstruksi Wilayah Kalimantan Selatan	</t>
  </si>
  <si>
    <t>3644/STF/Kj/2025</t>
  </si>
  <si>
    <t xml:space="preserve">Sasirangan (Semangat Berbagi Solusi dan Informasi Pengadaan) #8 - Rancang Bangun	</t>
  </si>
  <si>
    <t xml:space="preserve">17-Jun-2025	</t>
  </si>
  <si>
    <t>Tadaa! Tanya Pengadaan - Pengembangan Kompetensi dan Sertifikasi SDM Pengadaan Barang/Jasa Pemerintah</t>
  </si>
  <si>
    <t>4245/STF/Kj/2025</t>
  </si>
  <si>
    <t>Tadaa! Tanya Pengadaan - Penjelasan Proses Validasi Peralatan pada SIMPK dalam Proses Pengadaan Jasa Konstruksi di Kementerian Pekerjaan Umum</t>
  </si>
  <si>
    <t>5546/STF/Kj/2025</t>
  </si>
  <si>
    <t>o4GAbHNttS</t>
  </si>
  <si>
    <t>1. Peningkatan kinerja bidang PBJ dimana pengaduan turun menjadi 1 pengaduan dan dinyatakan tidak benar.
2. Capaian kinerja layanan pemilihan jasa konstruksi 97,71% dari target 80,50%
3. Tidak ada temuan yang perlu di tindaklanjuti berdasarkan hasil surveilance SMAP
4. Target pengembangan kompetensi kepegawaian sebanyak minimal 20JP tercapai</t>
  </si>
  <si>
    <t>1532/STF/Kj/2025</t>
  </si>
  <si>
    <t>Penguatan Kompetensi Pokja Pemilihan dan Pejabat Pengadaan UPT melalui E-Purchasing dengan Metode Mini Kompetisi pada Pekerjaan Konstruksi Kementerian PU di Provinsi Riau</t>
  </si>
  <si>
    <t>26 Feb 2025 -26 Feb 2025</t>
  </si>
  <si>
    <t>NOMOR : 747/STF/KJ/2025</t>
  </si>
  <si>
    <t>28 Apr 2025 -28 Apr 2025</t>
  </si>
  <si>
    <t xml:space="preserve">NOMOR : 1898/STF/Kj/2025
</t>
  </si>
  <si>
    <t>Direktur Bina Teknik Pekerjaan Gedung dan Penyehatan Lingkungan Ditjen Cipta Karya</t>
  </si>
  <si>
    <t>NOMOR : 029/S.KET/Cg/2025</t>
  </si>
  <si>
    <t>19 Mei 2025 -19 Mei 2025</t>
  </si>
  <si>
    <t>NOMOR : 2994/STF/Kj/2025</t>
  </si>
  <si>
    <t>21 Mei 2025 - 21 Mei 2025</t>
  </si>
  <si>
    <t>NOMOR : 
3703/STF/Kj/2025</t>
  </si>
  <si>
    <t>23 Juni 2025 -23 Juni 2025</t>
  </si>
  <si>
    <t>NOMOR : 4464/STF/Kj/2025</t>
  </si>
  <si>
    <t>10 Juli 2025 -10 Juli 2025</t>
  </si>
  <si>
    <t>NOMOR : 5755/STF/Kj/2025</t>
  </si>
  <si>
    <t>17 Juni 2025 - 17 Juni 2025</t>
  </si>
  <si>
    <t>6294/STF/Kj/2025</t>
  </si>
  <si>
    <t>6576/STF/Kj/2025</t>
  </si>
  <si>
    <t>Webinar Tematik "Penerapan Building Information Modelling (BIM) Pada Proyek Jasa Konsultansi Konstruksi PT. YODYA KARYA (PERSERO)</t>
  </si>
  <si>
    <t>11 Mar 2025 -11 Mar 2025</t>
  </si>
  <si>
    <t>Direktorat Kelembagaan dan Sumber Daya Konstruksi</t>
  </si>
  <si>
    <t xml:space="preserve"> NOMOR : 432/STF/Kd/2025</t>
  </si>
  <si>
    <t>Webinar Tematik "Penerapan Building Information Modelling (BIM) Pada Proyek Konstruksi PT. Pembangunan Perumahan (Persero) Tbk</t>
  </si>
  <si>
    <t>18 Mar 2025 -18 Mar 2025</t>
  </si>
  <si>
    <t xml:space="preserve">NOMOR : 1342/STF/Kd/2025
</t>
  </si>
  <si>
    <t>Webinar Tematik "Penerapan Building Information Modelling (BIM) Pada Proyek Jasa Konsultansi Konstruksi PT. Buana Enjiniring Konsultan"</t>
  </si>
  <si>
    <t>25 Mar 2025 -25 Mar 2025</t>
  </si>
  <si>
    <t xml:space="preserve">NOMOR : 1475/STF/Kd/2025
</t>
  </si>
  <si>
    <t>1923/STF/Kj/2025</t>
  </si>
  <si>
    <t>1. Peningkatan kinerja bidang PBJ dimana pengaduan turun menjadi 1 pengaduan dan dinyatakan tidak benar.
2. Capaian kinerja layanan pemilihan jasa konstruksi 97,71% dari target 80,50%
3. Target kepegawaian tercapai untuk pengembangan kompetensi kepegawaian sebanyak minimal 20JP
4. Tidak ada temuan yang perlu di tindaklanjuti berdasarkan hasil surveilance SMAP
5. Penyampaian Laporan PPID tepat waktu</t>
  </si>
  <si>
    <t xml:space="preserve"> Direktorat Pengadaan Jasa Konstruksi </t>
  </si>
  <si>
    <t>6000/STF/Kj/2025</t>
  </si>
  <si>
    <t>11923/STF/Kj/2025</t>
  </si>
  <si>
    <t>TADAA!:Pembekalan Uji Kompetensi Penjenjangan Pejabat Fungsional Pengelola Pengadaan Barang/Jasa di Kementerian PU</t>
  </si>
  <si>
    <t>9575/STF/Kj/2025</t>
  </si>
  <si>
    <t>10134/STF/Kj/2025</t>
  </si>
  <si>
    <t>Audit Tingkat Dasar</t>
  </si>
  <si>
    <t>24 - 28 November 2025</t>
  </si>
  <si>
    <t>Pusat Pendidikan dan Pelatihan Pengawasan BPKP</t>
  </si>
  <si>
    <t>SERT-13070/DL/4/2025</t>
  </si>
  <si>
    <t>Bima Sakti Prayitno, S.T.</t>
  </si>
  <si>
    <t>Tadaa! Sosialisasi Perpres No 46 Tahun 2025 tentang Perubahan Kedua atas Perpres No 16 Tahun 2018 tentang PB/J</t>
  </si>
  <si>
    <t>2631/STF/Kj/2025</t>
  </si>
  <si>
    <t>1647/STF/Kj/2025</t>
  </si>
  <si>
    <t xml:space="preserve">	28 Februari 2025</t>
  </si>
  <si>
    <t>989/STF/KJ/2025</t>
  </si>
  <si>
    <t>Sasirangan (Semangat Berbagi Solusi dan Informasi Pengadaan) #6</t>
  </si>
  <si>
    <t>2378/STF/Kj/2025</t>
  </si>
  <si>
    <t>Penguatan Kompetensi Pokja Pemilihan dan Pejabat Pengadaan UPT melalui E-Purchasing dengan Metode MiniKom pada Pekerjaan Konstruksi Kementerian PU di Prov.Riau</t>
  </si>
  <si>
    <t>26 Februari 2025</t>
  </si>
  <si>
    <t>BP2JK Wilayah Riau</t>
  </si>
  <si>
    <t>597/STF/KJ/2025</t>
  </si>
  <si>
    <t>17 Juni 2025
s/d
17 Juni 2025</t>
  </si>
  <si>
    <t xml:space="preserve"> 6224/STF/Kj/2025</t>
  </si>
  <si>
    <t xml:space="preserve"> 6456/STF/Kj/2025</t>
  </si>
  <si>
    <t>11462/STF/Kj/2025</t>
  </si>
  <si>
    <t>Sasirangan (Semangat Berbagi Solusi dan Informasi Pengadaan) #10 - Pengadaan Swakelola</t>
  </si>
  <si>
    <t>12 Agustus 2025
s/d
12 Agustus 2025</t>
  </si>
  <si>
    <t>12852/STF/Kj/2025</t>
  </si>
  <si>
    <t xml:space="preserve"> 9822/STF/Kj/2025</t>
  </si>
  <si>
    <t>d0yLuBdz9d</t>
  </si>
  <si>
    <t xml:space="preserve"> 2064/STF/Kj/2025</t>
  </si>
  <si>
    <t>1. Peningkatan kinerja bidang PBJ dimana pengaduan turun menjadi 1 pengaduan dan dinyatakan tidak benar.
2. Capaian kinerja layanan pemilihan jasa konstruksi 97,71% dari target 80,50%
3. Target kepegawaian tercapai untuk pengembangan kompetensi kepegawaian sebanyak minimal 20JP
4. Tidak ada temuan yang perlu di tindaklanjuti berdasarkan hasil surveilance SMAP</t>
  </si>
  <si>
    <t>Balai Pelaksana Pemilihan Jasa Konstruksi Wilayah Riau</t>
  </si>
  <si>
    <t>848/STF/KJ/2025</t>
  </si>
  <si>
    <t>3225/STF/Kj/2025</t>
  </si>
  <si>
    <t>21-May-2025</t>
  </si>
  <si>
    <t>BP2JK WIlayah Kalsel</t>
  </si>
  <si>
    <t>3756/STF/Kj/2025</t>
  </si>
  <si>
    <t>6341/STF/Kj/2025</t>
  </si>
  <si>
    <t>4658/STF/Kj/2025</t>
  </si>
  <si>
    <t>5968/STF/Kj/2025</t>
  </si>
  <si>
    <t>6658/STF/Kj/2025</t>
  </si>
  <si>
    <t>Webinar Tematik &amp;quot;Penerapan Building Information Modelling (BIM) Pada Proyek Jasa Konsultansi Konstruksi PT. Buana Enjiniring Konsultan&amp;quot;</t>
  </si>
  <si>
    <t>1488/STF/Kd/2025</t>
  </si>
  <si>
    <t>Webinar Tematik &amp;quot;Penerapan Building Information Modelling (BIM) Pada Proyek Konstruksi PT. Pembangunan Perumahan (Persero) Tbk</t>
  </si>
  <si>
    <t>1395/STF/Kd/2025</t>
  </si>
  <si>
    <t>05 Mei 2025</t>
  </si>
  <si>
    <t>Bapekom Pekerjaan Umum Wilayah IX Jayapura</t>
  </si>
  <si>
    <t>00000782/99/3021/500/LAN-KEMENPUPR/2025</t>
  </si>
  <si>
    <t>https://drive.google.com/drive/folders/1igCKt0Qv-mUA2cmUA9m8Sr9YnzEMHC3t?usp=drive_link</t>
  </si>
  <si>
    <t>672/STF/KJ/2025</t>
  </si>
  <si>
    <t>12375/STF/Kj/2025</t>
  </si>
  <si>
    <t>14 Mei 2025</t>
  </si>
  <si>
    <t>Balai Pelaksana Pemilihan Jasa Konstruksi Wilayah Kepulauan Riau</t>
  </si>
  <si>
    <t>001/IDN/V/2025</t>
  </si>
  <si>
    <t>https://drive.google.com/drive/folders/1u9PsfPhl_8qqaUw-tHxWTDgHSj0VmPXk</t>
  </si>
  <si>
    <t>2718/STF/Kj/2025</t>
  </si>
  <si>
    <t>19 - 22 Mei 2025</t>
  </si>
  <si>
    <t>BP2JK Wilayah Kepulauan Riau</t>
  </si>
  <si>
    <t>0000891/0/3021/227/LAN-KEMENPUPR/2025</t>
  </si>
  <si>
    <t>Tadaa! Tanya Pengadaan - Pengembangan Kompetensi dan Sertifikasi SDM PB/J</t>
  </si>
  <si>
    <t>4263/STF/Kj/2025</t>
  </si>
  <si>
    <t>5561/STF/Kj/2025</t>
  </si>
  <si>
    <t>Balai Pelaksana Pemilihan Jasa Konstruksi Wilayah Jawa Timur</t>
  </si>
  <si>
    <t>7100/STF/Kj/2025</t>
  </si>
  <si>
    <t>9228/STF/Kj/2025</t>
  </si>
  <si>
    <t>9863/STF/Kj/2025</t>
  </si>
  <si>
    <t>Sosialisasi Dan Monev Pengembangan Kompetensi Di Lingkungan Bapekom PU Wilayah I Medan</t>
  </si>
  <si>
    <t>13 Juni 2025
s/d
13 Juni 2025</t>
  </si>
  <si>
    <t>2769/STF/Mg/2025</t>
  </si>
  <si>
    <t>Bimbingan Teknis Implementasi P3DN di Kementerian PU Wilayah Sumatera Bagian Utara</t>
  </si>
  <si>
    <t>21 Januari 2025</t>
  </si>
  <si>
    <t>55/STF/Kd/2025</t>
  </si>
  <si>
    <t>Penguatan Kompetensi Pokja Pemilihan dan Pejabat Pengadaan Unit Pelaksanaan Teknis melalui E-Purchasing dengan Metode Mini Kompetisi pada Pekerjaan Konstruksi Kementerian PU di Provinsi Riau</t>
  </si>
  <si>
    <t>635/STF/KJ/2025</t>
  </si>
  <si>
    <t>12 Maret 2025</t>
  </si>
  <si>
    <t>BP2JK Wilayah
Kalimantan Selatan</t>
  </si>
  <si>
    <t>1122/STF/KJ/2025</t>
  </si>
  <si>
    <t>1708/STF/Kj/2025</t>
  </si>
  <si>
    <t>2379/STF/Kj/2025</t>
  </si>
  <si>
    <t>2702/STF/Kj/2025</t>
  </si>
  <si>
    <t>5551/STF/Kj/2025</t>
  </si>
  <si>
    <t>21 - 22 Januari 2025</t>
  </si>
  <si>
    <t xml:space="preserve"> 160/STF/Kd/2025</t>
  </si>
  <si>
    <t>https://drive.google.com/drive/folders/16aBuRNg0KXRCRJ4XORmua_cwSWpdI0H8?usp=drive_link</t>
  </si>
  <si>
    <t>Webinar Bina Konstruksi 2025 dengan tema "Repeat Order dan Mini Kompetensi"</t>
  </si>
  <si>
    <t>25 Februari 2025</t>
  </si>
  <si>
    <t>Dinas Cipta Karya, Tata Ruang dan Pertanahan Provinsi DKI Jakarta</t>
  </si>
  <si>
    <t>25.0502.6.0049.17.0008484</t>
  </si>
  <si>
    <t>872/STF/KJ/2025</t>
  </si>
  <si>
    <t>Sasirangan (Semangat Berbagi Solusi dan Informasi
Pengadaan) #4</t>
  </si>
  <si>
    <t>28 Februari 2025</t>
  </si>
  <si>
    <t xml:space="preserve"> 1072/STF/KJ/2025</t>
  </si>
  <si>
    <t>2094/STF/Kj/2025</t>
  </si>
  <si>
    <t>3265/STF/Kj/2025</t>
  </si>
  <si>
    <t>6007/STF/Kj/2025</t>
  </si>
  <si>
    <t xml:space="preserve"> 6672/STF/Kj/2025</t>
  </si>
  <si>
    <t>30 Juli 2025</t>
  </si>
  <si>
    <t>Kolaborasi Universitas Pekalongan dengan DJBK Kementerian PU</t>
  </si>
  <si>
    <t>Tadaa!:Eps 5 - Pengembangan Kapasitas untuk Pokja Pemilihan pada Paket Pekerjaan dengan Sumber Dana Bank Dunia di Kementerian PU</t>
  </si>
  <si>
    <t>7369/STF/Kj/2025</t>
  </si>
  <si>
    <t>Sosialisasi dan Koordinasi Kepatuhan Intern dan Manajemen Resiko</t>
  </si>
  <si>
    <t>26 Agustus 2025</t>
  </si>
  <si>
    <t>Direktorat Kepatuhan Intern</t>
  </si>
  <si>
    <t>318/STF/Ki/2025</t>
  </si>
  <si>
    <t>Bimtek Penerapan dan Audit Internal Sistem Manajemen Anti Penyuapan (SMAP)</t>
  </si>
  <si>
    <t>09 September 2025
s/d
11 September 2025</t>
  </si>
  <si>
    <t>443/STF/Ki/2025</t>
  </si>
  <si>
    <t>9586/STF/Kj/2025</t>
  </si>
  <si>
    <t>Pusat Edukasi Korupsi</t>
  </si>
  <si>
    <t>Sharing Session - Less is More : Lean Construction towards Sustainable Public Infrastructure</t>
  </si>
  <si>
    <t xml:space="preserve"> Direktorat Keselamatan dan Keberlanjutan Konstruksi</t>
  </si>
  <si>
    <t>7762/STF/Kk/2025</t>
  </si>
  <si>
    <t>Pers dan Pemerintah : Sinergi untuk Indonesia Emas 2045</t>
  </si>
  <si>
    <t>06 Februari 2025</t>
  </si>
  <si>
    <t>BPSDM Provinsi Jawa Timur</t>
  </si>
  <si>
    <t>SERT - 163289/ WEBINAR / ASNB-5 / 205.6 / 2025</t>
  </si>
  <si>
    <t>ASN MUDA : Talenta Untuk Indonesia Emas 2045</t>
  </si>
  <si>
    <t>13 Februari 2025</t>
  </si>
  <si>
    <t>SERT - 188022/ WEBINAR / ASNB-4 / 205.5 / 2025</t>
  </si>
  <si>
    <t xml:space="preserve"> 119/STF/Kd/2025</t>
  </si>
  <si>
    <t>https://drive.google.com/drive/folders/1PinSM_1nrcmaofSoViVXEytSyLbn3sR7?usp=drive_link</t>
  </si>
  <si>
    <t>25.0502.6.0049.17.0008485</t>
  </si>
  <si>
    <t xml:space="preserve"> 1037/STF/KJ/2025</t>
  </si>
  <si>
    <t>1919/STF/Kj/2025</t>
  </si>
  <si>
    <t>3042/STF/Kj/2025</t>
  </si>
  <si>
    <t>SERT - 190384/ WEBINAR / ASNB-5 / 205.6 / 2025</t>
  </si>
  <si>
    <t>SERT - 188062/ WEBINAR / ASNB-4 / 205.5 / 2025</t>
  </si>
  <si>
    <t xml:space="preserve"> 63/STF/Kd/2025</t>
  </si>
  <si>
    <t>https://drive.google.com/drive/folders/1aPe9n1ns5be3hR2eaLU4Z7OsarqilHPM?usp=drive_link</t>
  </si>
  <si>
    <t>WEBINAR BINA KONSTRUKSI 2025 dengan Tema Repeat Order dan Mini Kompetisi</t>
  </si>
  <si>
    <t>25.0502.6.0049.17.0008477</t>
  </si>
  <si>
    <t xml:space="preserve"> 1004/STF/KJ/2025</t>
  </si>
  <si>
    <t>1729/STF/Kj/2025</t>
  </si>
  <si>
    <t>2741/STF/Kj/2025</t>
  </si>
  <si>
    <t>9 September 2025</t>
  </si>
  <si>
    <t>SERT - 163292/ WEBINAR / ASNB-5 / 205.6 / 2025</t>
  </si>
  <si>
    <t>Sosialisasi/ Bimtek Terkait Humas</t>
  </si>
  <si>
    <t>Optimalisasi Peran Artificial Intelligence untuk Meningkatkan Kinerja dan Produktivitas ASN</t>
  </si>
  <si>
    <t>Badan Pengembangan Sumber Daya Manusia Provinsi Jawa Barat</t>
  </si>
  <si>
    <t>262/KPG.03.01.03/BPSDM</t>
  </si>
  <si>
    <t>1. Capaian kinerja untuk transformasi digital 88,13% lebih dari target 67,09% dan meningkat dari tahun sebelumnya dinilai 30an.
2. Publikasi dan pengelolaan konten sudah terjadwal
3. Penambahan pelayanan online melalui admin WA
4. Tidak ada pengaduan terkait pelayanan publik
5. Tidak ada temuan yang perlu di tindaklanjuti berdasarkan hasil surveilance SMAP
6. Pelaporan PPID tepat waktu</t>
  </si>
  <si>
    <t>Sertifikat Sari</t>
  </si>
  <si>
    <t>Optimasi Instagram dengan Insight Micro Skill Digital Talent Scholarship 2025</t>
  </si>
  <si>
    <t xml:space="preserve">Pusat Pengembangan Literasi Digital </t>
  </si>
  <si>
    <t>2299844850-367/MS/BLSDM.Komdigi/2025</t>
  </si>
  <si>
    <r>
      <t xml:space="preserve">Pelatihan Berbasis </t>
    </r>
    <r>
      <rPr>
        <i/>
        <sz val="11"/>
        <color rgb="FF000000"/>
        <rFont val="Arial"/>
      </rPr>
      <t>Self-Paced Learning</t>
    </r>
    <r>
      <rPr>
        <sz val="11"/>
        <color rgb="FF000000"/>
        <rFont val="Arial"/>
      </rPr>
      <t xml:space="preserve"> Deteksi Berita Bohong dan Disinformasi Batch II Tahun 2025</t>
    </r>
  </si>
  <si>
    <t>17-23 Maret 2025</t>
  </si>
  <si>
    <t>Pusat Pengembangan Aparatur Komunikasi dan Digital Kementerian Komunikasi dan Digital</t>
  </si>
  <si>
    <t>301/BPSDM.5/DL.01.01/03/2025</t>
  </si>
  <si>
    <r>
      <t xml:space="preserve">Pelatihan Berbasis </t>
    </r>
    <r>
      <rPr>
        <i/>
        <sz val="11"/>
        <color rgb="FF000000"/>
        <rFont val="Arial"/>
      </rPr>
      <t>Self-Paced Learning</t>
    </r>
    <r>
      <rPr>
        <sz val="11"/>
        <color rgb="FF000000"/>
        <rFont val="Arial"/>
      </rPr>
      <t xml:space="preserve"> Pengantar </t>
    </r>
    <r>
      <rPr>
        <i/>
        <sz val="11"/>
        <color rgb="FF000000"/>
        <rFont val="Arial"/>
      </rPr>
      <t xml:space="preserve">Voice Over </t>
    </r>
    <r>
      <rPr>
        <sz val="11"/>
        <color rgb="FF000000"/>
        <rFont val="Arial"/>
      </rPr>
      <t>untuk Kehumasan Pemerintah Tingkat Dasar Batch II Tahun 2025</t>
    </r>
  </si>
  <si>
    <t>183/BPSDM.5/DL.01.01/03/2025</t>
  </si>
  <si>
    <t>Pengantar Sistem Pemerintahan Berbasis Elektronik (SPBE) Micro Skill Digital Talent Scholarship 2025</t>
  </si>
  <si>
    <t>Pusat Pengembangan Aparatur Komdigi</t>
  </si>
  <si>
    <t>22998231320-6084/MS/BLSDM.Komdigi/2025</t>
  </si>
  <si>
    <t>SOsialisasi/ Bimter terkait Arsip</t>
  </si>
  <si>
    <t>Edukasi Kesadaran Keamanan SPBE Government Transformation Academy Digital Talent Scholarship 2025</t>
  </si>
  <si>
    <t>19-22 Mei 2025</t>
  </si>
  <si>
    <t>199103831320-189/GTA/BLSDM.Komdigi/2025</t>
  </si>
  <si>
    <t>Bimbingan Teknis Penulisan Karya Tulis Ilmiah</t>
  </si>
  <si>
    <t>18 Desember 2025</t>
  </si>
  <si>
    <t>2165/STF/Ms/2025</t>
  </si>
  <si>
    <t>Klinik BIM 31 - Building Information Modeling (BIM): Solusi Cerdas bagi Pemilik Proyek dalam Pengelolaan Konstruksi</t>
  </si>
  <si>
    <t>PUSDATIN Kementerian Pekerjaan Umum</t>
  </si>
  <si>
    <t>Nomor: 192/TDI/KB/01/2025</t>
  </si>
  <si>
    <t>21 -22 Januari 2025</t>
  </si>
  <si>
    <t xml:space="preserve"> 53/STF/Kd/2025</t>
  </si>
  <si>
    <t>https://drive.google.com/drive/folders/14xbSEFgo4nmLenoiDpyF0GAFg4TaLkRF?usp=drive_link</t>
  </si>
  <si>
    <t>Webinar Bina Konstruksi 2025 Repeat Order dan Mini Kompetisi</t>
  </si>
  <si>
    <t>25.0502.6.0049.17.0008487</t>
  </si>
  <si>
    <t>Diklat Total</t>
  </si>
  <si>
    <t>994/STF/KJ/2025</t>
  </si>
  <si>
    <t>1702/STF/Kj/2025</t>
  </si>
  <si>
    <t>E-Learning Peningkatan pemahaman Gratifikasi 2025</t>
  </si>
  <si>
    <t>Pusat Edukasi AntiKorupsi</t>
  </si>
  <si>
    <t>001/IDN/IX/2025</t>
  </si>
  <si>
    <t>BPSDM Jawa Timur</t>
  </si>
  <si>
    <t>188101/WEBINAR/ASNB-4/205.5/2025</t>
  </si>
  <si>
    <t>6 Februari 2025</t>
  </si>
  <si>
    <t>163286/WEBINAR/ASNB-5/205.6/2025</t>
  </si>
  <si>
    <t>Ahnaf Dzaky Rheinanda, S.H.</t>
  </si>
  <si>
    <t>- Bimtek MR/ Kepatuhan Intern/ Gratifikasi/ Benturan Kepentingan/ SMAP/ WBS/ PBJ/ Pelatihan terkait Jafung Ybs</t>
  </si>
  <si>
    <t>8bGFSQnr2Q</t>
  </si>
  <si>
    <t>Sertifikat_Kelulusan__E-Learning_PADI_-Ahnaf Dzaky Rheinanda.pdf</t>
  </si>
  <si>
    <t>Bimbingan Teknis Penerapan dan Audit Internal Sistem Manajemen Anti Penyuapan (SMAP)</t>
  </si>
  <si>
    <t>09-11 September 2025</t>
  </si>
  <si>
    <t>Kepatuhan Intern, Direktorat Jenderal Bina Konstruksi</t>
  </si>
  <si>
    <t>532/STF/Ki/2025</t>
  </si>
  <si>
    <t>Sertifikat Ahnaf Dzaky Rheinanda, S.H..pdf</t>
  </si>
  <si>
    <t>4084/STF/Kj/2025</t>
  </si>
  <si>
    <t>Pelatihan terkait CPNS</t>
  </si>
  <si>
    <t>Internalisasi Pembinaan CPNS Kementerian PU Formasi Tahun 2024 di DJBK</t>
  </si>
  <si>
    <t>4926/STF/Ks/2025</t>
  </si>
  <si>
    <t>ahnaf_dzaky_rheinanda__s_h__20010908202506100720250717145551_5739_seminar_signed.pdf</t>
  </si>
  <si>
    <t>Pelatihan Work Collaboration Tools - Microsoft 365
Eps.6: Microsoft Planner</t>
  </si>
  <si>
    <t>17 Juli 2025</t>
  </si>
  <si>
    <t>ahnaf_dzaky_rheinanda__s_h__20010908202506100720250730094436_9975_seminar_signed.pdf</t>
  </si>
  <si>
    <t>Klinik BIM PU #36 - Pemanfaatan Orthomosaic untuk Pemodelan Terrain 3 Dimensi</t>
  </si>
  <si>
    <t>15 Juli 2025</t>
  </si>
  <si>
    <t>4266/STF/Sd/2025</t>
  </si>
  <si>
    <t>Aisyah Nihayah Ni'mah, S.I.Kom</t>
  </si>
  <si>
    <t>Internalisasi Pembinaan CPNS Kementerian Pekerjaan Umum Formasi Tahun 2024 di DJBK</t>
  </si>
  <si>
    <t>4928/STF/Ks/2025</t>
  </si>
  <si>
    <t>1. Capaian kinerja untuk transformasi digital 88,13% lebih dari target 67,09% dan meningkat dari tahun sebelumnya dinilai 30an.
2. Publikasi dan pengelolaan konten sudah terjadwal
3. Penambahan pelayanan online melalui admin WA
4. Tidak ada pengaduan terkait pelayanan publik
5. Tidak ada temuan yang perlu di tindaklanjuti berdasarkan hasil surveilance SMAP
6. Pelaporan PPID tepat waktu
7. Target kepegawaian tercapai untuk pengembangan kompetensi kepegawaian sebanyak 20JP</t>
  </si>
  <si>
    <t>39. Aisyah Nihayah Nimah</t>
  </si>
  <si>
    <t>6411/STF/Kj/2025</t>
  </si>
  <si>
    <t>- Bimtek MR/ Kepatuhan Intern/ Gratifikasi/ Benturan Kepentingan/ SMAP/ WBS/ PBJ/ Jafung Ybs</t>
  </si>
  <si>
    <t>Komisi Pemberantasan Korupsi (KPK)</t>
  </si>
  <si>
    <t xml:space="preserve">001/IDN/VII/2025
</t>
  </si>
  <si>
    <t>9 - 11 September 2025</t>
  </si>
  <si>
    <t>533/STF/Ki/2025</t>
  </si>
  <si>
    <t>Bimbingan Teknis Pelaksana Pejabatan Pengelola Informasi dan Dokumentasi (PPID) UPT/Balai Kementerian PU Tahun 2025</t>
  </si>
  <si>
    <t>Biro Komunikasi Publik Kementerian PU</t>
  </si>
  <si>
    <t>SM0202/So.430.2</t>
  </si>
  <si>
    <t>Amridio Zulhilmi Saifinnuha, S.Kom</t>
  </si>
  <si>
    <t>Internalisasi Pembinaan CPNS Kementerian Pekerjaan Umum Formasi Tahun 2024 di Direktorat Jenderal Bina Konstruksi</t>
  </si>
  <si>
    <t>4943/STF/Ks/2025</t>
  </si>
  <si>
    <t>Seluruh usulan pengembangan kompetensi telah dilaksanakan</t>
  </si>
  <si>
    <t>1. Capaian kinerja untuk transformasi digital 88,13% lebih dari target 67,09% dan meningkat dari tahun sebelumnya dinilai 30an.
2. Penyiapan Digitalisasi penyimpanan data, arsip PBJ dan buku tamu terlaksana
4. Pengelolaan data PBJ internal dan pelaporan ke Dit. Pengadaan terlaksana
5. Tidak ada temuan yang perlu di tindaklanjuti berdasarkan hasil surveilance SMAP
6. Target pengembangan kompetensi kepegawaian sebanyak 20JP tercapai</t>
  </si>
  <si>
    <t>6423/STF/Kj/2025</t>
  </si>
  <si>
    <t>4285/STF/Sd/2025</t>
  </si>
  <si>
    <t>Ardhi Wisnu Nugraha, S.T.</t>
  </si>
  <si>
    <t>Internalisasi Pembinaan CPNS Kementerian PU Formasi Tahun 20024 di DJBK</t>
  </si>
  <si>
    <t>4963/STF/Ks/2025</t>
  </si>
  <si>
    <t>1. Peningkatan kinerja bidang PBJ dimana pengaduan turun menjadi 1 pengaduan dan dinyatakan tidak benar.
2. Capaian kinerja layanan pemilihan jasa konstruksi 97,71% dari target 80,50%
3. Target kepegawaian tercapai untuk pengembangan kompetensi kepegawaian sebanyak minimal 20JP
4. Tidak ada temuan yang perlu di tindaklanjuti berdasarkan hasil surveilance SMAP
5. Pelaksanaan PE Terintegrasi tercapai</t>
  </si>
  <si>
    <t>19. Ardhi Wisnu Nugraha</t>
  </si>
  <si>
    <t>Tadaa! Tanya Pengadaan - Pengembangan Kompetensi
dan Sertifikasi SDM PB/J</t>
  </si>
  <si>
    <t>4148/STF/Kj/2025</t>
  </si>
  <si>
    <t>Tadaa!Pembekalan Uji Kompetensi Penjenjangan Pejabat Fungsional Pengelola PB/J di Kementerian PU</t>
  </si>
  <si>
    <t>9140/STF/Kj/2025</t>
  </si>
  <si>
    <t>Tadaa! Penerapan Sistem Informasi Pengalaman (SIMPAN) pada Pengadaan Jasa Konstruksi di Kementerian PU</t>
  </si>
  <si>
    <t>9797/STF/Kj/2025</t>
  </si>
  <si>
    <t>E-Learning Peningkatan Pemahaman Gratifikasi 2025 (PPG)</t>
  </si>
  <si>
    <t>4305/STF/Sd/2025</t>
  </si>
  <si>
    <t>Aulia Hurin In, A.Md.</t>
  </si>
  <si>
    <t>Internalisasi Pembinaan CPNS Kementerian Pekerjaan Umum Formasi Tahun 20024 di Direktorat Jenderal Bina Konstruksi</t>
  </si>
  <si>
    <t xml:space="preserve">17 Juni 2025 </t>
  </si>
  <si>
    <t>4973/STF/Ks/2025</t>
  </si>
  <si>
    <t>1. Capaian kinerja kearsipan 100%.
2. Progres digitalisasi arsip hard copy PBJ 100%
3. Tidak ada temuan yang perlu di tindaklanjuti berdasarkan hasil surveilance SMAP
4. Target pengembangan kompetensi kepegawaian sebanyak 20JP tercapai
5. Capaian kinerja kepegawaian 100%</t>
  </si>
  <si>
    <t xml:space="preserve"> E-Learning Pengetahuan Antikorupsi Dasar dan Integritas (PADI)
 Untuk Umum</t>
  </si>
  <si>
    <t>20 Agustus 2025</t>
  </si>
  <si>
    <t>Chofifa Hidayati, S.Kom</t>
  </si>
  <si>
    <t>4995/STF/Ks/2025</t>
  </si>
  <si>
    <t>1. Capaian kinerja untuk transformasi digital 88,13% lebih dari target 67,09% dan meningkat dari tahun sebelumnya dinilai 30an.
2. Penyiapan Digitalisasi penyimpanan data, arsip PBJ dan buku tamu terlaksana
4. Pengelolaan data PBJ internal dan pelaporan ke Dit. Pengadaan terlaksana
5. Tidak ada temuan yang perlu di tindaklanjuti berdasarkan hasil surveilance SMAP
6. Target pengembangan kompetensi kepegawaian sebanyak 20JP tercapai
7. Capaian kinerja kepegawaian 100%</t>
  </si>
  <si>
    <t>Sertifikat Chofifa Hidayati</t>
  </si>
  <si>
    <t>6462/STF/Kj/2025</t>
  </si>
  <si>
    <t>4342/STF/Sd/2025</t>
  </si>
  <si>
    <t>534/STF/Ki/2025</t>
  </si>
  <si>
    <t>Dahniar Achlis, S.Ars.</t>
  </si>
  <si>
    <t>5006/STF/Ks/2025</t>
  </si>
  <si>
    <t>24. Dahniar Achlis</t>
  </si>
  <si>
    <t>Sharing Session dengan tema ”Menjaga Integritas Status dan Kedudukan ASN di Era Dinamis”</t>
  </si>
  <si>
    <t>19 Juni 2025</t>
  </si>
  <si>
    <t>Pusat Pengembangan Sumber Daya Manusia BKN.</t>
  </si>
  <si>
    <t>2030/KA.01.13/SS-SKKASN/VI/2025</t>
  </si>
  <si>
    <t>4217/STF/Kj/2025</t>
  </si>
  <si>
    <t>4348/STF/Sd/2025</t>
  </si>
  <si>
    <t>Farah Rosa Bela Asnawi, S.Ars</t>
  </si>
  <si>
    <t>1961/KA.01.13/SS-SKKASN/VI/2025</t>
  </si>
  <si>
    <t>Sertifikat Farah Rosa</t>
  </si>
  <si>
    <t>4306/STF/Kj/2025</t>
  </si>
  <si>
    <t>E-Learning Pengetahuan Antikorupsi Dasar dan Integritas (PADI)
Untuk Umum</t>
  </si>
  <si>
    <t>2 Juli 2025</t>
  </si>
  <si>
    <t xml:space="preserve"> 001/IDN/VII/2025
</t>
  </si>
  <si>
    <t>6509/STF/Kj/2025</t>
  </si>
  <si>
    <t>Tadaa!: Episode 5 - Pengembangan Kapasitas untuk Pokja Pemilihan pada Paket Pekerjaan dengan Sumber Dana WB di Kementerian PU</t>
  </si>
  <si>
    <t>7130/STF/Kj/2025</t>
  </si>
  <si>
    <t xml:space="preserve">09-11 September 2025 </t>
  </si>
  <si>
    <t xml:space="preserve">Kepatuhan Intern, Direktorat Jenderal Bina Konstruksi </t>
  </si>
  <si>
    <t>TADAA!:Pembekalan Uji Kompetensi Penjenjangan Pejabat Fungsional Pengelola PB/J
di Kementerian PU</t>
  </si>
  <si>
    <t>Kementerian Pekerjaan Umum Direktorat Jenderal Bina Konstruksi</t>
  </si>
  <si>
    <t xml:space="preserve"> 9272/STF/Kj/2025</t>
  </si>
  <si>
    <t>9895/STF/Kj/2025</t>
  </si>
  <si>
    <t xml:space="preserve">29 - 30 September 2025 </t>
  </si>
  <si>
    <t>Direktur Kepatuhan Intern
Direktorat Jenderal Bina Konstruksi Kementerian Pekerjaan Umum</t>
  </si>
  <si>
    <t>654/STF/Ki/2025</t>
  </si>
  <si>
    <t>Klinik BIM PU #36 - Pemanfaatan Orthomosaic untuk
Pemodelan Terrain 3 Dimensi</t>
  </si>
  <si>
    <t>4392/STF/Sd/2025</t>
  </si>
  <si>
    <t>4989/STF/Sd/2025</t>
  </si>
  <si>
    <t>Ruang Belajar Data Episode 13 "Machine Learning For
Data Analysis"</t>
  </si>
  <si>
    <t>23 Juli 2025</t>
  </si>
  <si>
    <t xml:space="preserve"> Pusat Data dan Teknologi Informasi</t>
  </si>
  <si>
    <t>5460/STF/Sd/2025</t>
  </si>
  <si>
    <t>Lalu Yodit Dwi Anggara, S.Ars.</t>
  </si>
  <si>
    <t>5143/STF/Ks/2025</t>
  </si>
  <si>
    <t>Sertifikat Lalu Yodit</t>
  </si>
  <si>
    <t>Tadaa! Tanya Pengadaan - Pengembangan Kompetensi
 dan Sertifikasi SDM PB/J</t>
  </si>
  <si>
    <t xml:space="preserve"> 4486/STF/Kj/2025</t>
  </si>
  <si>
    <t xml:space="preserve"> E-Learning Pengetahuan Antikorupsi Dasar dan Integritas (PADI)  Untuk Umum</t>
  </si>
  <si>
    <t>5768/STF/Kj/2025</t>
  </si>
  <si>
    <t>15 Juli</t>
  </si>
  <si>
    <t>4509/STF/Sd/2025</t>
  </si>
  <si>
    <t>Moh. Wildan Andhra Kusuma, S.T.</t>
  </si>
  <si>
    <t>5272/STF/Ks/2025</t>
  </si>
  <si>
    <t>Tadaa! Tanya Pengadaan - Pengembangan Kompetensi dan Sertifikasi SDM PB/J Pemerintah</t>
  </si>
  <si>
    <t>4524/STF/Kj/2025</t>
  </si>
  <si>
    <t>5815/STF/Kj/2025</t>
  </si>
  <si>
    <t>TADAA! Pembekalan Uji Kompetensi Penjenjangan Pejabat Fungsional Pengelola PB/J di Kementerian PU</t>
  </si>
  <si>
    <t>Dorektorat Pengadaan Jasa Konstruksi</t>
  </si>
  <si>
    <t>9444/STF/Kj/2025</t>
  </si>
  <si>
    <t>4538/STF/Sd/2025</t>
  </si>
  <si>
    <t>Klinik BIM PU #37 - Scan to BIM: Solusi Mengubah Data Lapangan menjadi Model 3 Dimensi</t>
  </si>
  <si>
    <t>6819/STF/Sd/2025</t>
  </si>
  <si>
    <t>Namiratus Syarifah, S.T.</t>
  </si>
  <si>
    <t>Internalisasi Pembinaan CPNS Kementerian Pekerjaan
Umum Formasi Tahun 20024 di Direktorat Jenderal Bina
Konstruksi</t>
  </si>
  <si>
    <t>5218/STF/Ks/2025</t>
  </si>
  <si>
    <t>https://drive.google.com/file/d/1QBxcdEEOpFLRhzMP_9r013QNOmB1BUyw/view?usp=sharing</t>
  </si>
  <si>
    <t>Tadaa! Tanya Pengadaan - Pengembangan Kompetensi
 dan Sertifikasi SDM Pengadaan Barang/Jasa
 Pemerintah</t>
  </si>
  <si>
    <t xml:space="preserve"> 4577/STF/Kj/2025</t>
  </si>
  <si>
    <t>https://drive.google.com/file/d/1FRs5LoMGK5HdDuhDYcS-WUVt6nTIQjor/view?usp=sharing</t>
  </si>
  <si>
    <t>https://drive.google.com/file/d/1QDz4NjUL_nzSd3ucxi8Q42y6lXbE2gpd/view?usp=sharing</t>
  </si>
  <si>
    <t>Tadaa! Penjelasan Proses Validasi Peralatan pada  SIMPK dalam Proses Pengadaan Jasa Konstruksi di Kementerian  PU</t>
  </si>
  <si>
    <t xml:space="preserve"> 5880/STF/Kj/2025</t>
  </si>
  <si>
    <t>https://drive.google.com/file/d/1ctagdn2sGhKwHNg_AOFg0tX5Xcx9tnQE/view?usp=sharing</t>
  </si>
  <si>
    <t>Pingkan Ernomo Putri, A.Md</t>
  </si>
  <si>
    <t>5240/STF/Ks/2025</t>
  </si>
  <si>
    <t>19 Agustus 2025</t>
  </si>
  <si>
    <t>Rahmanda Rafsyanjani, S.Ak.</t>
  </si>
  <si>
    <t>5252/STF/Ks/2025</t>
  </si>
  <si>
    <t>Bukti Dukung Rama</t>
  </si>
  <si>
    <t>6655/STF/Kj/2025</t>
  </si>
  <si>
    <t>4656/STF/Sd/2025</t>
  </si>
  <si>
    <t>Richardo Pratama Uruilal, S.T.</t>
  </si>
  <si>
    <t>1. Peningkatan kinerja bidang PBJ dimana pengaduan turun menjadi 1 pengaduan dan dinyatakan tidak benar.
2. Capaian kinerja layanan pemilihan jasa konstruksi 97,71% dari target 80,50%
3. Target kepegawaian tercapai untuk pengembangan kompetensi kepegawaian sebanyak minimal 20JP
4. Tidak ada temuan yang perlu di tindaklanjuti berdasarkan hasil surveilance SMAP
5. Capaian kinerja manajemen risiko meningkat dari 59,97 menjadi 79 dan lebih dari target 59,50
6. Pelaksanaan PE Terintegrasi tercapai</t>
  </si>
  <si>
    <t>4684/STF/Kj/2025</t>
  </si>
  <si>
    <t>5991/STF/Kj/2025</t>
  </si>
  <si>
    <t>4673/STF/Sd/2025</t>
  </si>
  <si>
    <t>Webinar “Menjawab Tantangan Baru Pembangunan Perkotaan Berkelanjutan Dalam RPJMN 2025-2029" (Pemenuhan Indikator Kontribusi PDRB dan Indeks Kota Berkelanjutan)</t>
  </si>
  <si>
    <t>31 Juli 2025</t>
  </si>
  <si>
    <t>611/STF/Mj/2025</t>
  </si>
  <si>
    <t>Shabira Almaas Yanaayuri, S.Sn.</t>
  </si>
  <si>
    <t>5299/STF/Ks/2025</t>
  </si>
  <si>
    <t>1. Capaian kinerja untuk transformasi digital 88,13% lebih dari target 67,09% dan meningkat dari tahun sebelumnya dinilai 30an.
2. Publikasi dan pengelolaan konten sudah terjadwal
3. Penambahan pelayanan online melalui admin WA
4. Tidak ada pengaduan terkait pelayanan publik
5. Tidak ada temuan yang perlu di tindaklanjuti berdasarkan hasil surveilance SMAP
6. Pelaporan PPID tepat waktu
7. Target kepegawaian tercapai untuk pengembangan kompetensi kepegawaian sebanyak minimal 20JP</t>
  </si>
  <si>
    <t>https://drive.google.com/drive/folders/1wkS3uE--R-QIieIUBQ-glRNczEIKhJmz?usp=drive_link</t>
  </si>
  <si>
    <t>Pelatihan Dasar CPNS</t>
  </si>
  <si>
    <t>LAN RI</t>
  </si>
  <si>
    <t>00020690/LATSAR CPNS III/3021/ 017/ LAN-KEMEN PU/2025</t>
  </si>
  <si>
    <t>6697/STF/Kj/2025</t>
  </si>
  <si>
    <t xml:space="preserve"> 4 Agustus 2025</t>
  </si>
  <si>
    <t>Workshop Kehumasan DJBK</t>
  </si>
  <si>
    <t>DJBK Kementerian PU</t>
  </si>
  <si>
    <t>Kunci Sukses Aktualisasi: Dari Ide ke Aksi Nyata</t>
  </si>
  <si>
    <t>8 Oktober 2025</t>
  </si>
  <si>
    <t>BPSDM Kementerian PU</t>
  </si>
  <si>
    <t>Bimbingan Teknis PPID</t>
  </si>
  <si>
    <t>Biro Kompu Kementerian PU</t>
  </si>
  <si>
    <t>SM0202-So/430.2</t>
  </si>
  <si>
    <t>D'PUBLIK</t>
  </si>
  <si>
    <t>PPPK (target maksimalkan 24 JP)</t>
  </si>
  <si>
    <t>Sharing Session "Strategic Thinking bagi ASN: Strategi Berpikir di Era Perubahan</t>
  </si>
  <si>
    <t>30 Oktober 2025</t>
  </si>
  <si>
    <t>Badan Kepegawaian Negara</t>
  </si>
  <si>
    <t>6634/KA.01.32/SS-STASN-SBEP/X/2025</t>
  </si>
  <si>
    <t>Seluruh usulan peningkatan kompetensi telah dilaksanakan</t>
  </si>
  <si>
    <t>1. Penyediaan gudang arsip selesai dilakukan
2. Pelaporan BMN 87,5% tidak sesuai target 90% sehingga perlu pelatihan BMN tahun berikutnya
3. Target pengembangan kompetensi kepegawaian minimum 24JP tercapai</t>
  </si>
  <si>
    <t>https://drive.google.com/file/d/1SkDQRc6NR07qwtCJ9y7hticxcvf9gnvR/view?usp=drive_link</t>
  </si>
  <si>
    <t>1. Capaian kinerja kearsipan 100%.
2. Progres digitalisasi arsip hard copypersuratan 100%
3. Target pengembangan kompetensi kepegawaian minimum 24JP tercapai</t>
  </si>
  <si>
    <t>Integritas ASN: "Pelajari, Pahami, Jalani - Cegah Korupsi DiMulai Dari Diri"</t>
  </si>
  <si>
    <t>11 Desember 2025</t>
  </si>
  <si>
    <t>Badan Pengembangan Sumber Daya Manusia Provinsi Jawa Timur</t>
  </si>
  <si>
    <t>1561813/WEBINAR/ASNB-48/205.4/2025</t>
  </si>
  <si>
    <t>1. Capaian kinerja kearsipan 100%.
2. Progres digitalisasi arsip hard copypersuratan 100%
3. Target kepegawaian tercapai untuk pengembangan kompetensi kepegawaian sebanyak 20JP</t>
  </si>
  <si>
    <t>https://drive.google.com/drive/folders/1obF3QRZABRWs05WKZCrvcJ1CCqpTDtr5?usp=drive_link</t>
  </si>
  <si>
    <t>Sharing Session "Membangun Personal Branding ASN"</t>
  </si>
  <si>
    <t>27 November 2025</t>
  </si>
  <si>
    <t>Pusat Pengembangan Sumber Daya Manusia BKN</t>
  </si>
  <si>
    <t>0585/KA.01.36/SS-MPB-ASN/XI/2025</t>
  </si>
  <si>
    <t>Sharing Session "Menulis Opini dan Artikel Popular yang Terdampak"</t>
  </si>
  <si>
    <t>20 November 2025</t>
  </si>
  <si>
    <t>2166/KA.01.35/SS-MOAPD/XI/2025</t>
  </si>
  <si>
    <t>Sharing Session "Inovasi Untuk Transformasi Organisasi"</t>
  </si>
  <si>
    <t>6 November 2025</t>
  </si>
  <si>
    <t>3860/KA.01.33/SS-INTRA-ORG/XI/2025</t>
  </si>
  <si>
    <t>Sharing Session "Strategic Thinking bagi ASN: Strategi Berpikir di Era Perubahan"</t>
  </si>
  <si>
    <t>5686/KA.01.32/SS-STASN-SBEP/X/2025</t>
  </si>
  <si>
    <t>Knowledge Sharing "Prinsip Aksesibilitas dalam Pelayanan Publik"</t>
  </si>
  <si>
    <t>6 Oktober 2025</t>
  </si>
  <si>
    <t>Deputi Bidang Pelayanan Publik Kementerian Pendayagunaan Aparatur Negara dan Reformasi Birokrasi</t>
  </si>
  <si>
    <t>533/PP.99/2025</t>
  </si>
  <si>
    <t>Integritas Tanpa Konflik Kepentingan,Belajar Seru e-Learning dan Praktisi KPK</t>
  </si>
  <si>
    <t>12 November 2025</t>
  </si>
  <si>
    <t>Badan Pengembangan Sumber Daya Manusia Daerah Propinsi NTB</t>
  </si>
  <si>
    <t>800.2.2/803.1321/BPSDMD/2025</t>
  </si>
  <si>
    <t>1. Capaian kinerja kearsipan 100%.
2. Tidak ada pengaduan terkait pelayanan
3. Target kepegawaian tercapai untuk pengembangan kompetensi kepegawaian sebanyak 20JP</t>
  </si>
  <si>
    <t>14747/STF/Ki/2025</t>
  </si>
  <si>
    <t>Sharing Session "Effective Networking and Influencing for Leaders"</t>
  </si>
  <si>
    <t>4 Desember 2025</t>
  </si>
  <si>
    <t>8024/KA.01.37/SS-ENIL/XII/2025</t>
  </si>
  <si>
    <t>Sharing Session "From Talent to Strength : Kiat Menggali Potensi Diri"</t>
  </si>
  <si>
    <t>13 November 2025</t>
  </si>
  <si>
    <t>2484/KA.01.34/SS-FTTS-KMPD/XI/2025</t>
  </si>
  <si>
    <t>Sharing Session "Pensiun Berdaya dengan AI"</t>
  </si>
  <si>
    <t>Pusat Pengembangan SDM BKN</t>
  </si>
  <si>
    <t>2503/KA.01.39/SS-PBAI/XII/2025</t>
  </si>
  <si>
    <t>Budi Prayitno Utomo, S.T.</t>
  </si>
  <si>
    <t>10 March 2025</t>
  </si>
  <si>
    <t>1. Capaian kinerja kearsipan 100%.
2. Progres digitalisasi arsip hard copy keuangan 100%
3. Target kepegawaian tercapai untuk pengembangan kompetensi kepegawaian sebanyak 20JP</t>
  </si>
  <si>
    <t>Sertifikat Budi</t>
  </si>
  <si>
    <t>Direktorat Kepatuhan Intern Direktorat Jenderal Bina
Konstruksi</t>
  </si>
  <si>
    <t>13903/STF/Ki/2025</t>
  </si>
  <si>
    <t>1887/STF/Ms/2025</t>
  </si>
  <si>
    <t>Wiji Putra Imaskadiyawanto, S.Kom</t>
  </si>
  <si>
    <t>LAPORAN ANALISIS KOMPETENSI PEGAWAI DAN DAFTAR RENCANA PENGEMBANGAN KOMPETENSI PEGAWAI TAHUN 2026</t>
  </si>
  <si>
    <t>Gol./ Ruang</t>
  </si>
  <si>
    <t>Jabatan</t>
  </si>
  <si>
    <t>Hasil Analisis</t>
  </si>
  <si>
    <t>Jenis Pelatihan</t>
  </si>
  <si>
    <t>Jumlah Pengembangan Kompetensi Yang Diikuti</t>
  </si>
  <si>
    <r>
      <rPr>
        <b/>
        <sz val="11"/>
        <rFont val="Arial"/>
        <family val="2"/>
      </rPr>
      <t>Pengembangan Kompetensi  Yang
Pernah Diikuti</t>
    </r>
  </si>
  <si>
    <t>Predikat Kinerja</t>
  </si>
  <si>
    <r>
      <rPr>
        <b/>
        <sz val="11"/>
        <color rgb="FF000000"/>
        <rFont val="Arial"/>
      </rPr>
      <t>Kebutuhan Akan Diklat
(</t>
    </r>
    <r>
      <rPr>
        <b/>
        <i/>
        <sz val="11"/>
        <color rgb="FF000000"/>
        <rFont val="Arial"/>
      </rPr>
      <t>Trainning Needs Analysis</t>
    </r>
    <r>
      <rPr>
        <b/>
        <sz val="11"/>
        <color rgb="FF000000"/>
        <rFont val="Arial"/>
      </rPr>
      <t>)</t>
    </r>
  </si>
  <si>
    <t>s.d 2020</t>
  </si>
  <si>
    <t>Husnan Tajrie, S.T., M.T.</t>
  </si>
  <si>
    <t>196908221998031005</t>
  </si>
  <si>
    <t>IV/b</t>
  </si>
  <si>
    <t>- Sehubungan dengan pelaksanaan SMAP dan ZI
- Sehubungan dengan perubahan ketentuan/ kebijakan PBJ yang dinamis
- Sehubungan dengan pengelolaan pengendalian intern pemerintah, pengelolaan risiko dan budaya kerja untuk peningkatan integritas</t>
  </si>
  <si>
    <t>Diklat/ Pelatihan/ Sertifikasi/ Seminar/
Workshop/ Webinar/ Sosialisasi/ E-Learning</t>
  </si>
  <si>
    <t>BAIK</t>
  </si>
  <si>
    <t>- Bimtek terkait Budaya Integritas (MR/ Kepatuhan Intern/ Gratifikasi/ Benturan Kepentingan/ SMAP/ WBS/ ZI dsb)
- Sosialisasi/ FGD terkait PBJ</t>
  </si>
  <si>
    <t>merupakan pengambil keputusan utama sekaligus penanggung jawab akuntabilitas dan risiko di unit kerja, sehingga pemahaman yang memadai menjadi kunci dalam memastikan penerapan pengendalian internal, pencegahan penyimpangan, serta kesesuaian dengan regulasi berjalan efektif; selain itu, keterlibatan langsung pimpinan juga berfungsi sebagai tone at the top yang memperkuat budaya integritas dan memastikan kebijakan dapat diimplementasikan secara konsisten dan tidak sekadar formalitas administratif.</t>
  </si>
  <si>
    <t>198501222010122000</t>
  </si>
  <si>
    <t>Kepala Sub Bagian Umum dan Tata Usaha</t>
  </si>
  <si>
    <t xml:space="preserve">- Sehubungan dengan pelaksanaan SMAP dan ZI
- Sehubungan dengan perubahan ketentuan/ kebijakan PBJ yang dinamis
- Sehubungan dengan pengelolaan pengendalian intern pemerintah, pengelolaan risiko dan budaya kerja untuk peningkatan integritas
- Sehubungan denganperubahan ketentuan terkait pengelolaan keuangan </t>
  </si>
  <si>
    <t>SANGAT BAIK</t>
  </si>
  <si>
    <t>- - Bimtek terkait Budaya Integritas (MR/ Kepatuhan Intern/ Gratifikasi/ Benturan Kepentingan/ SMAP/ WBS/ ZI dsb)
- Bimtek Sakip
- Bimtek/ Sosialisasi/ Webinar terkait PBJ
- Bimtek/ Sosialisasi terkait kepegawaian
- Sosialisasi/ FGD terkait Renstra/ PK
- Sosialisasi terkait BMN
- Bimtek terkait manajerial</t>
  </si>
  <si>
    <t>Diusulkan karena posisinya sebagai pengelola utama fungsi administrasi, keuangan, kepegawaian, dan pengendalian internal menjadikannya titik sentral dalam memastikan kepatuhan, akuntabilitas, dan efektivitas operasional unit kerja; pemahaman yang komprehensif atas MR, kepatuhan, gratifikasi, SMAP, WBS, SAKIP, PBJ, kepegawaian, Renstra/PK, BMN, hingga aspek manajerial diperlukan agar KTU mampu melakukan verifikasi, pengawasan, dan pengendalian secara tepat, mencegah risiko hukum dan administratif, serta memastikan seluruh proses berjalan selaras dengan regulasi, target kinerja, dan prinsip good governance, bukan sekadar pemenuhan administratif.</t>
  </si>
  <si>
    <t>197811212005022000</t>
  </si>
  <si>
    <t xml:space="preserve">- Sehubungan dengan pelaksanaan SMAP dan ZI (peningkatan budaya kerja terkait integritas)
- Sehubungan dengan pengelolaan pengendalian intern pemerintah, pengelolaan risiko dan budaya kerja untuk peningkatan integritas
- Sehubungan dengan perubahan ketentuan terkait pengelolaan keuangan </t>
  </si>
  <si>
    <t>- Bimtek terkait Budaya Integritas (MR/ Kepatuhan Intern/ Gratifikasi/ Benturan Kepentingan/ SMAP/ WBS/ ZI dsb)
- Sosialisasi/ Bimtek terkait Bidang Keuangan (perpajakan/ regulasi dsb)</t>
  </si>
  <si>
    <t>merupakan anggota tim yang membantu pengelola risiko, selain itu untuk memelihara/ peningkatan budaya integritas serta merupakan ppspm yang salah satunya mengelola keuangan</t>
  </si>
  <si>
    <t>198601132008122000</t>
  </si>
  <si>
    <t>Bendahara</t>
  </si>
  <si>
    <t>merupakan bendahara yang mengelola keuangan sehingga harus mengetahui perkembangan terkait keuangan serta untuk memelihara/ peningkatan budaya integritas sehingga terhindar dari penyimpangan</t>
  </si>
  <si>
    <t>197202092014121000</t>
  </si>
  <si>
    <t>Pengelola Barang Milik Negara</t>
  </si>
  <si>
    <t>- Sehubungan dengan pelaksanaan SMAP dan ZI (peningkatan budaya kerja terkait integritas)
- Sehubungan dengan pengelolaan pengendalian intern pemerintah, pengelolaan risiko dan budaya kerja untuk peningkatan integritas
- Sehubungan dengan perubahan nomenklatur menjadi PU sehingga terdapat perubahan pencatatan aset negara</t>
  </si>
  <si>
    <t>- Bimtek terkait Budaya Integritas (MR/ Kepatuhan Intern/ Gratifikasi/ Benturan Kepentingan/ SMAP/ WBS/ ZI dsb)
- Bimtek/ Sosialisasi terkait BMN</t>
  </si>
  <si>
    <t>untuk memelihara/ peningkatan budaya integritas karena perannya langsung berkaitan dengan pengelolaan aset negara yang memiliki risiko tinggi terhadap kesalahan administrasi, penyimpangan, dan potensi konflik kepentingan. Pelatihan BMN untuk memastikan proses pencatatan, pemanfaatan, pengamanan, dan pelaporan BMN dilakukan secara akurat</t>
  </si>
  <si>
    <t>198606102010122000</t>
  </si>
  <si>
    <t>Penelaah Kebijakan Pengadaan Barang/Jasa</t>
  </si>
  <si>
    <t>- Sehubungan dengan pelaksanaan SMAP dan ZI (peningkatan budaya kerja terkait integritas)
- Sehubungan dengan pengelolaan pengendalian intern pemerintah, pengelolaan risiko dan budaya kerja untuk peningkatan integritas
- Sehubungan dengan perubahan nomenklatur menjadi PU sehingga terdapat perubahan pencatatan kepegawaian/ perubahan terkait kepegawaian yang dinamis</t>
  </si>
  <si>
    <t>- Bimtek/ Sosialisasi terkait Kepatuhan Intern/ Gratifikasi/ Benturan Kepentingan/ SMAP/ WBS/ ZI
- Bimtek/ Sosialisasi E-Kinerja/ Perhitungan AK/ Update Kepegawaian</t>
  </si>
  <si>
    <t>merupakan pengelola kepegawaian dimana dalam pelaksanaan tugasnya untuk menjaga integritas sekaligus memastikan kinerja dan administrasi kepegawaian berjalan sesuai ketentuan. Pemahaman integritas penting untuk mencegah pelanggaran dan memperkuat budaya kerja yang bersih, sementara penguasaan E-Kinerja, perhitungan angka kredit (AK), dan update kepegawaian diperlukan agar pelaporan kinerja, penilaian prestasi, serta pengembangan karier dilakukan secara akurat, objektif, dan akuntabel sesuai regulasi yang berlaku</t>
  </si>
  <si>
    <t>198809092010122000</t>
  </si>
  <si>
    <t>Penyusun Rencana Kegiatan dan Anggaran</t>
  </si>
  <si>
    <t>merupakan salah satu pengelola keuangan yang membantu ppspm/ bendahara dalam mengelola dan pelaporan keuangan sehingga harus mengetahui perkembangan bidang keuangan serta untuk memelihara/ peningkatan budaya integritas sehingga terhindar dari penyimpangan dan temuan keuangan</t>
  </si>
  <si>
    <t>200010302019122000</t>
  </si>
  <si>
    <t>merupakan salah satu pengelola keuangan yang membantu ppspm/ bendahara dalam mengelola keuangan sehingga harus mengetahui perkembangan bidang keuangan serta untuk memelihara/ peningkatan budaya integritas sehingga terhindar dari penyimpangan dan temuan keuangan</t>
  </si>
  <si>
    <t>- Sehubungan dengan pelaksanaan SMAP dan ZI
- Sehubungan dengan perubahan ketentuan/ kebijakan PBJ yang dinamis
- Sehubungan dengan pengelolaan pengendalian intern pemerintah/ budaya kerja untuk peningkatan integritas</t>
  </si>
  <si>
    <t>- Bimtek terkait Budaya Integritas (MR/ Kepatuhan Intern/ Gratifikasi/ Benturan Kepentingan/ SMAP/ WBS/ ZI dsb)
- Bimtek/ Sosialisasi/ Webinar terkait PBJ</t>
  </si>
  <si>
    <t>Merupakan personil yang bertugas pada PBJ sehingga harus terus mengikuti perubahan arahan/ ketentuan terkait PBJ dan sekaligus dituntut untuk terus meningkatkan budaya integritas</t>
  </si>
  <si>
    <t>199102142018022000</t>
  </si>
  <si>
    <t>III/c</t>
  </si>
  <si>
    <t>197103072007011000</t>
  </si>
  <si>
    <t>199609182019032000</t>
  </si>
  <si>
    <t>199407312019031000</t>
  </si>
  <si>
    <t>198405012010122000</t>
  </si>
  <si>
    <t>198901072020121000</t>
  </si>
  <si>
    <t>- Sehubungan dengan pelaksanaan SMAP dan ZI
- Sehubungan dengan perubahan ketentuan/ kebijakan PBJ yang dinamis
- Sehubungan dengan pengelolaan pengendalian intern pemerintah/ budaya kerja untuk peningkatan integritas
- Sehubungan dengan perubahan ketentuan terkait pengelolaan keuangan</t>
  </si>
  <si>
    <t>Merupakan personil yang bertugas pada PBJ sehingga harus terus mengikuti perubahan arahan/ ketentuan terkait PBJ dan sekaligus dituntut untuk terus meningkatkan budaya integritas. 
Selain itu peningkatan keahlian tentang pengelolaan keuangan dibutuhkan karena merupakan pejabat pengadaan</t>
  </si>
  <si>
    <t>199103092019031000</t>
  </si>
  <si>
    <t>198902192019031000</t>
  </si>
  <si>
    <t>199104052019031000</t>
  </si>
  <si>
    <t>198711072010121000</t>
  </si>
  <si>
    <t>Agnesia Margaretha Gunawan, S.IAN.,M.M</t>
  </si>
  <si>
    <t>199403092020122000</t>
  </si>
  <si>
    <t>199211052020122000</t>
  </si>
  <si>
    <t>199505132020122000</t>
  </si>
  <si>
    <t>199510242020121000</t>
  </si>
  <si>
    <t>199209262020122000</t>
  </si>
  <si>
    <t>199503292020122000</t>
  </si>
  <si>
    <t>198806012010121000</t>
  </si>
  <si>
    <t>- Sehubungan dengan pelaksanaan SMAP dan ZI
- Sehubungan dengan perubahan Perka LKPP 21/2021 dengan Perka LKPP No. 4 Tahun 2024 tentang PBJ</t>
  </si>
  <si>
    <t>- Bimtek MR/ Kepatuhan Intern/ Gratifikasi/ Benturan Kepentingan/ SMAP/ WBS/ PBJ
- Bimtek/ Sosialisasi/ Webinar terkait PBJ</t>
  </si>
  <si>
    <t>199703062020122000</t>
  </si>
  <si>
    <t>199507152020121000</t>
  </si>
  <si>
    <t>199501012020121000</t>
  </si>
  <si>
    <t>198804212023212000</t>
  </si>
  <si>
    <t>IX</t>
  </si>
  <si>
    <t>197402022023212000</t>
  </si>
  <si>
    <t>198405252023212000</t>
  </si>
  <si>
    <t>199404022023212000</t>
  </si>
  <si>
    <t>- Sehubungan dengan pelaksanaan SMAP dan ZI
- Sehubungan dengan perubahan kebijakan PBJ yang dinamis
- Sehubungan dengan SPBE dan Perbaikan Pelayanan Informasi</t>
  </si>
  <si>
    <t>- Bimtek terkait Budaya Integritas (MR/ Kepatuhan Intern/ Gratifikasi/ Benturan Kepentingan/ SMAP/ WBS/ ZI dsb)
- Sosialisasi/ Pelatihan terkait pelayanan/ Humas
- Sosialisasi terkait PBJ</t>
  </si>
  <si>
    <t>Merupakan Jafung Humas dan petugas layanan yang berhubungan langsung dengan penerima layanan sehingga perlu meningkatkan pengetahuan terkait humas/ layanan dan budaya integritas sehingga mendukung citra institusi yang akuntabel, transparan, dan berorientasi pada pelayanan publik. 
Sosialisasi PBJ untuk menambah pengetahuan terkait layanan bisnis utama BP2JK sehingga maksimal dalam tugas kehumasan</t>
  </si>
  <si>
    <t>197809102024212000</t>
  </si>
  <si>
    <t>200109082025061000</t>
  </si>
  <si>
    <t>Merupakan CPNS Jafung PBJ yang akan menjadi pokja sehingga perlu mengikuti pelatihan tersebut karena sejak awal dituntut memahami secara komprehensif aspek teknis pengadaan sekaligus kerangka kepatuhan dan integritas yang melekat pada proses PBJ yang berisiko tinggi. Pengetahuan terkait integritas (SMAP/ ZI dsb) diharapkan menjadi fondasi untuk mencegah penyimpangan.</t>
  </si>
  <si>
    <t>199904102025062000</t>
  </si>
  <si>
    <t>Pranata Hubungan Masyarakat Ahli Pertama</t>
  </si>
  <si>
    <t>- Bimtek terkait Budaya Integritas (MR/ Kepatuhan Intern/ Gratifikasi/ Benturan Kepentingan/ SMAP/ WBS/ ZI dsb)
- Sosialisasi/ Pelatihan terkait pelayanan/ Humas Ke PUan
- Sosialisasi terkait PBJ</t>
  </si>
  <si>
    <t>Merupakan CPNS Jafung Humas yang berhubungan langsung dengan penerima layanan sehingga perlu memahami tata cara penyampaian layanan dalam koridoe Ke-PUan dengan tetap memiliki pengetahuan terkait budaya integritas sehingga terhindar dari penyimpangan sehingga mendukung citra institusi yang akuntabel, transparan, dan berorientasi pada pelayanan publik. 
Sosialisasi PBJ untuk menambah pengetahuan terkait layanan bisnis utama BP2JK sehingga maksimal dalam tugas kehumasan</t>
  </si>
  <si>
    <t>199601282025061000</t>
  </si>
  <si>
    <t>Pranata Komputer Ahli Pertama</t>
  </si>
  <si>
    <t>- Bimtek terkait Budaya Integritas (MR/ Kepatuhan Intern/ Gratifikasi/ Benturan Kepentingan/ SMAP/ WBS/ ZI dsb)
- Sosialisasi/ Pelatihan terkait pelayanan/ Keamanan Pengelolaan Data Digital
- Sosialisasi/ Pelatihan terkait Pengolahan data dan Update Progres Pekerjaan</t>
  </si>
  <si>
    <t>merupakan CPNS yang bertugas untuk membantu pengelolaan data PBJ dan pengaturan layanan jaringan dan keamanan digital.  Berinteraksi langsung dengan penerima layanan sehingga pelatihan pelayanan diperlukan agar mampu memberikan layanan yang ramah, profesional, dan sesuai standar, sehingga mendukung citra institusi yang akuntabel, transparan, dan berorientasi pada pelayanan publik. Pemahaman terhadap prinsip integritas (gratifikasi/ zi dst) penting untuk memastikan tidak terjadi penyimpangan dalam tugas layanan.
Peningkatan terkait pengolahan data/ update pekerjaan dilakukan untuk memastikan pengolahan data sesuai dengan kebutuhan organisasi dan pelatihan terkait kemananan digital diperlukan untuk pencegahan keamanan data BP2JK</t>
  </si>
  <si>
    <t>199306182025061000</t>
  </si>
  <si>
    <t>199812102025062000</t>
  </si>
  <si>
    <t>II/c</t>
  </si>
  <si>
    <t>Arsiparis Terampil</t>
  </si>
  <si>
    <t>- Sehubungan dengan pelaksanaan SMAP dan ZI
- Sehubungan dengan kebutuhan pengelolaan kearsipan sesuai dengan ketentuan
- Sehubungan dengan perubahan kebijakan PBJ yang dinamis
- Sehubungan dengan SPBE dan Perbaikan Pelayanan Informasi</t>
  </si>
  <si>
    <t>- Bimtek terkait Budaya Integritas (MR/ Kepatuhan Intern/ Gratifikasi/ Benturan Kepentingan/ SMAP/ WBS/ ZI dsb)
- Sosialisasi/ Bimtek terkait kearsipan dan PBJ</t>
  </si>
  <si>
    <t>Merupakan CPNS Jafung kearsipan, dimana perannya berkaitan langsung dengan pengelolaan dokumen resmi. Pelatihan budaya integritas penting untuk menjaga keandalan, keutuhan, dan keamanan arsip dari potensi manipulasi atau penyalahgunaan, sementara penguasaan kearsipan dan PBJ memastikan dokumen pengadaan dikelola secara tertib, akurat, dan sesuai regulasi, sehingga membantu personil lainnya dalam kearsipan</t>
  </si>
  <si>
    <t>200005242025062000</t>
  </si>
  <si>
    <t>200004012025062000</t>
  </si>
  <si>
    <t>199811192025062000</t>
  </si>
  <si>
    <t>200106272025061000</t>
  </si>
  <si>
    <t>200106072025061000</t>
  </si>
  <si>
    <t>200211182025062000</t>
  </si>
  <si>
    <t>199701232025062000</t>
  </si>
  <si>
    <t>199909082025061000</t>
  </si>
  <si>
    <t>Analis Pengelolaan Keuangan APBN Ahli Pertama</t>
  </si>
  <si>
    <t xml:space="preserve">- Sehubungan dengan pelaksanaan SMAP dan ZI (penerapan budaya kerja terkait integritas)
- Sehubungan dengan pengelolaan pengendalian intern pemerintah, pengelolaan risiko dan budaya kerja untuk peningkatan integritas
- Sehubungan dengan perubahan ketentuan terkait pengelolaan keuangan </t>
  </si>
  <si>
    <t>merupakan CPNS yang ditugaskan untuk membantu pengelolaan/ pelaporan keuangan  sehingga harus mengetahui ilmu bidang keuangan dan pengetahuan dalam budaya integritas sehingga terhindar dari penyimpangan dan temuan keuangan</t>
  </si>
  <si>
    <t>200012162025061000</t>
  </si>
  <si>
    <t>199701202025062000</t>
  </si>
  <si>
    <t>199209222025212000</t>
  </si>
  <si>
    <t>Penata Layanan Operasional</t>
  </si>
  <si>
    <t>198406102025211000</t>
  </si>
  <si>
    <t>Pengadministrasi Perkantoran</t>
  </si>
  <si>
    <t>- Sehubungan dengan pelaksanaan SMAP dan ZI
- Sehubungan dengan perubahan kebijakan PBJ yang dinamis
- Sehubungan dengan Pelayanan Informasi</t>
  </si>
  <si>
    <t>- Bimtek terkait Budaya Integritas (MR/ Kepatuhan Intern/ Gratifikasi/ Benturan Kepentingan/ SMAP/ WBS/ ZI dsb)
- Sosialisasi/ Pelatihan terkait pelayanan</t>
  </si>
  <si>
    <t>merupakan salah satu petugas layanan yang berinteraksi langsung dengan penerima layanan sehingga pelatihan pelayanan diperlukan agar mampu memberikan layanan yang ramah, profesional, dan sesuai standar, sehingga mendukung citra institusi yang akuntabel, transparan, dan berorientasi pada pelayanan publik. Pemahaman terhadap prinsip integritas (gratifikasi/ zi dst) penting untuk memastikan tidak terjadi penyimpangan dalam tugas layanan.</t>
  </si>
  <si>
    <t>198207252025211000</t>
  </si>
  <si>
    <t>untuk memelihara/ peningkatan budaya integritas karena perannya dalam membantu petugas BMN untuk pengelolaan aset negara yang memiliki risiko tinggi terhadap kesalahan administrasi, penyimpangan, dan potensi konflik kepentingan. Pelatihan BMN untuk memastikan proses pencatatan, pemanfaatan, pengamanan, dan pelaporan BMN dilakukan secara akurat</t>
  </si>
  <si>
    <t>197603282025212000</t>
  </si>
  <si>
    <t>199103282025211000</t>
  </si>
  <si>
    <t>XI</t>
  </si>
  <si>
    <t>Bertugas membantu tim kearsipan dimana perannya berkaitan langsung dengan pengelolaan dokumen resmi. Pelatihan budaya integritas penting untuk menjaga keandalan, keutuhan, dan keamanan arsip dari potensi manipulasi atau penyalahgunaan, sementara penguasaan kearsipan dan PBJ memastikan dokumen pengadaan dikelola secara tertib, akurat, dan sesuai regulasi, sehingga membantu personil lainnya dalam kearsipan</t>
  </si>
  <si>
    <t>Wiji Putra Imaskadiyawanto, S.Kom.</t>
  </si>
  <si>
    <t>199301172025211000</t>
  </si>
  <si>
    <t>- Bimtek terkait Budaya Integritas (MR/ Kepatuhan Intern/ Gratifikasi/ Benturan Kepentingan/ SMAP/ WBS/ ZI dsb)
- Sosialisasi/ Pelatihan terkait pelayanan
- Sosialisasi/ Pelatihan terkait Pengolahan data dan Update Progres Pekerjaan</t>
  </si>
  <si>
    <t>merupakan salah satu petugas layanan yang berinteraksi langsung dengan penerima layanan sehingga pelatihan pelayanan diperlukan agar mampu memberikan layanan yang ramah, profesional, dan sesuai standar, sehingga mendukung citra institusi yang akuntabel, transparan, dan berorientasi pada pelayanan publik. Pemahaman terhadap prinsip integritas (gratifikasi/ zi dst) penting untuk memastikan tidak terjadi penyimpangan dalam tugas layanan.
Peningkatan terkait pengolahan data/ update pekerjaan dilakukan untuk memastikan pengolahan data sesuai dengan kebutuhan organisasi</t>
  </si>
  <si>
    <t>Surabaya, 31 Januari 2026</t>
  </si>
  <si>
    <t>Kepala Balai Pelaksana Pemilihan Jasa Konstruksi Wilayah Jawa Timur</t>
  </si>
  <si>
    <t>NIP. 19670818199203011</t>
  </si>
  <si>
    <t>GAP KOMPETENSI BERDASARKAN HASIL ASSESMEN</t>
  </si>
  <si>
    <t>Training Need Analysis (TNA)</t>
  </si>
  <si>
    <t>PROFIL PERSONIL</t>
  </si>
  <si>
    <t>PENILAIAN KOMPETENSI (ASSESMEN)</t>
  </si>
  <si>
    <t>Status Data GAP</t>
  </si>
  <si>
    <t>Jumlah GAP</t>
  </si>
  <si>
    <t>Prioritas TNA</t>
  </si>
  <si>
    <r>
      <rPr>
        <b/>
        <sz val="11"/>
        <color rgb="FFFFFFFF"/>
        <rFont val="Times New Roman"/>
      </rPr>
      <t xml:space="preserve">Analisa/ Ringkasan </t>
    </r>
    <r>
      <rPr>
        <b/>
        <i/>
        <sz val="11"/>
        <color rgb="FFFFFFFF"/>
        <rFont val="Times New Roman"/>
      </rPr>
      <t xml:space="preserve">Training Need Analysis </t>
    </r>
    <r>
      <rPr>
        <b/>
        <sz val="11"/>
        <color rgb="FFFFFFFF"/>
        <rFont val="Times New Roman"/>
      </rPr>
      <t>(TNA)</t>
    </r>
  </si>
  <si>
    <t>Target Pemenuhan Kompetensi dan JP</t>
  </si>
  <si>
    <t>NILAI HASIL UJI KOMPETENSI</t>
  </si>
  <si>
    <t>TUJUAN/ KEBUTUHAN PENGEMBANGAN KOMPETENSI</t>
  </si>
  <si>
    <t>RENCANA PENUGASAN/ PENGEMBANGAN KOMPETENSI</t>
  </si>
  <si>
    <t>Waktu Pelaksanaan</t>
  </si>
  <si>
    <t>BUKTI DUKUNG</t>
  </si>
  <si>
    <t>MONITORING &amp; EVALUASI PELAKSANAAN TRIWULAN I</t>
  </si>
  <si>
    <t>Nama Pegawai / NIP / Pangkat dan Golongan</t>
  </si>
  <si>
    <t>Kualifikasi
Pendidikan</t>
  </si>
  <si>
    <t>Sudah</t>
  </si>
  <si>
    <t>Belum</t>
  </si>
  <si>
    <t>Tahun</t>
  </si>
  <si>
    <t>Manajerial</t>
  </si>
  <si>
    <t>Sosial Kultural</t>
  </si>
  <si>
    <t>Teknis</t>
  </si>
  <si>
    <t>Penugasan Kegiatan Di Kantor (70%)</t>
  </si>
  <si>
    <r>
      <rPr>
        <b/>
        <i/>
        <sz val="11"/>
        <color rgb="FFFFFFFF"/>
        <rFont val="Times New Roman"/>
      </rPr>
      <t xml:space="preserve">Coaching/ Mentoring/ </t>
    </r>
    <r>
      <rPr>
        <b/>
        <sz val="11"/>
        <color rgb="FFFFFFFF"/>
        <rFont val="Times New Roman"/>
      </rPr>
      <t>Dialog Kerja
(20%)</t>
    </r>
  </si>
  <si>
    <t>Pelatihan
(10%)</t>
  </si>
  <si>
    <r>
      <rPr>
        <b/>
        <i/>
        <sz val="11"/>
        <color theme="0"/>
        <rFont val="Times New Roman"/>
      </rPr>
      <t xml:space="preserve">Coaching/ Mentoring
</t>
    </r>
    <r>
      <rPr>
        <b/>
        <sz val="11"/>
        <color theme="0"/>
        <rFont val="Times New Roman"/>
      </rPr>
      <t>(20%)</t>
    </r>
  </si>
  <si>
    <t>Stankom</t>
  </si>
  <si>
    <t>Standar</t>
  </si>
  <si>
    <t>Nilai</t>
  </si>
  <si>
    <t>GAP</t>
  </si>
  <si>
    <t>Husnan Tajrie, S.T., M.T.
196908221998031005
Pembina Tingkat I / IV/b</t>
  </si>
  <si>
    <t>S2</t>
  </si>
  <si>
    <t>✓</t>
  </si>
  <si>
    <t>Ada</t>
  </si>
  <si>
    <t>Rendah</t>
  </si>
  <si>
    <t>1. TNA difokuskan pada Pelayanan Publik, Pengembangan Diri dan Orang Lain
2. Coaching/ mentoring sebagai atasan,
3. Pelatihan formal sesuai penugasan/ jabatan.</t>
  </si>
  <si>
    <t>20 JP per tahun; dapat dipenuhi dengan kombinasi pelatihan formal, coaching, mentoring, FGD, dan sharing session.</t>
  </si>
  <si>
    <t>Integritas</t>
  </si>
  <si>
    <t>Perekat Bangsa</t>
  </si>
  <si>
    <t>*)</t>
  </si>
  <si>
    <t>Kerjasama</t>
  </si>
  <si>
    <t>Komunikasi</t>
  </si>
  <si>
    <t>Orientasi pada Hasil</t>
  </si>
  <si>
    <t>Pelayanan Publik</t>
  </si>
  <si>
    <t>Meningkatkan responsivitas, kepastian layanan, tindak lanjut pengaduan/ informasi, dan budaya layanan prima.</t>
  </si>
  <si>
    <t>1. Bertugas pada konsultasi PBJ;
2. Menindaklanjuti SKM/pengaduan;
3. Menetapkan/ menggunakan standar pelayanan/ maklumat layanan.
4. Memastikan kelengkapan sarpras pelayanan publik</t>
  </si>
  <si>
    <t>Evaluasi kasus layanan dan keluhan pengguna dapat berupa mentoring  tindaklanjut pada petugas layanan (jika ada)</t>
  </si>
  <si>
    <t>Pelatihan terkait pelayanan prima</t>
  </si>
  <si>
    <t>TW I-TW IV 2026</t>
  </si>
  <si>
    <t>Dapat berupa rekap layanan/pengaduan, Laporan SKM, Form mentoring atau sertifikat pelatihan.</t>
  </si>
  <si>
    <t>1. Bertugas pada konsultasi PBJ;
2. Menindaklanjuti SKM/ pengaduan;
3. Menetapkan/ menggunakan standar pelayanan/ maklumat layanan.
4. Memastikan kelengkapan sarpras pelayanan publik</t>
  </si>
  <si>
    <r>
      <rPr>
        <b/>
        <sz val="11"/>
        <color rgb="FF000000"/>
        <rFont val="Times New Roman"/>
      </rPr>
      <t xml:space="preserve">Sudah dilaksanakan
</t>
    </r>
    <r>
      <rPr>
        <sz val="11"/>
        <color rgb="FF000000"/>
        <rFont val="Times New Roman"/>
      </rPr>
      <t>Pelatihan terkait pelayanan prima tanggal 23 Januari 2026</t>
    </r>
  </si>
  <si>
    <t>Menjadi Narasumber Core Value's ASN Berakhlak</t>
  </si>
  <si>
    <t>Pengembangan Diri dan Orang Lain</t>
  </si>
  <si>
    <t>Memperkuat kemampuan belajar mandiri, berbagi pengetahuan, memberi umpan balik, dan membina pegawai lain.</t>
  </si>
  <si>
    <r>
      <t xml:space="preserve">1. Menjadi mentor/co-mentor/Narasumber;
2. Menyelenggarakan </t>
    </r>
    <r>
      <rPr>
        <i/>
        <sz val="11"/>
        <rFont val="Carlito"/>
      </rPr>
      <t>sharing session</t>
    </r>
    <r>
      <rPr>
        <sz val="11"/>
        <rFont val="Carlito"/>
      </rPr>
      <t xml:space="preserve"> atau bedah kasus. </t>
    </r>
  </si>
  <si>
    <t>Memberikan arahan/ pengendalian pemenuhan kompetensi</t>
  </si>
  <si>
    <t>Bimtek/ Workshop/ TOT/ knowledge management/ pengembangan diri ASN sesuai jabatan sebagai kepala balai/ terkait bidang PBJ/ pengendalian (misalnya MR/ Kepatuhan Intern)/ terkait integritas (misal gratifikasi/ Benturan Kepentingan/ WBS)</t>
  </si>
  <si>
    <r>
      <rPr>
        <sz val="11"/>
        <color rgb="FF000000"/>
        <rFont val="Times New Roman"/>
      </rPr>
      <t xml:space="preserve">Dapat berupa materi </t>
    </r>
    <r>
      <rPr>
        <i/>
        <sz val="11"/>
        <color rgb="FF000000"/>
        <rFont val="Times New Roman"/>
      </rPr>
      <t>sharing</t>
    </r>
    <r>
      <rPr>
        <sz val="11"/>
        <color rgb="FF000000"/>
        <rFont val="Times New Roman"/>
      </rPr>
      <t xml:space="preserve">, daftar hadir, permintaan narasumber/ penugasan, catatan </t>
    </r>
    <r>
      <rPr>
        <i/>
        <sz val="11"/>
        <color rgb="FF000000"/>
        <rFont val="Times New Roman"/>
      </rPr>
      <t>coaching/ mentoring</t>
    </r>
    <r>
      <rPr>
        <sz val="11"/>
        <color rgb="FF000000"/>
        <rFont val="Times New Roman"/>
      </rPr>
      <t>, sertifikat pelatihan</t>
    </r>
  </si>
  <si>
    <r>
      <rPr>
        <sz val="11"/>
        <color rgb="FF000000"/>
        <rFont val="Times New Roman"/>
      </rPr>
      <t xml:space="preserve">1. Menjadi mentor/ co-mentor/ Narasumber;
2. Menyelenggarakan </t>
    </r>
    <r>
      <rPr>
        <i/>
        <sz val="11"/>
        <color rgb="FF000000"/>
        <rFont val="Carlito"/>
      </rPr>
      <t>sharing session</t>
    </r>
    <r>
      <rPr>
        <sz val="11"/>
        <color rgb="FF000000"/>
        <rFont val="Carlito"/>
      </rPr>
      <t xml:space="preserve"> atau bedah kasus. </t>
    </r>
  </si>
  <si>
    <t>Sudah dilaksanakan tetapi belum memenuhi 20 JP</t>
  </si>
  <si>
    <t>Mengelola Perubahan</t>
  </si>
  <si>
    <t>Pengambilan Keputusan</t>
  </si>
  <si>
    <t>Ode Siti Andini Ladamay, ST.,MT
198501222010122002
Penata Tingkat I / III/d</t>
  </si>
  <si>
    <t xml:space="preserve">Kepala Sub Bagian Umum dan Tata Usaha </t>
  </si>
  <si>
    <t>Tidak Ada GAP Negatif</t>
  </si>
  <si>
    <t>Tidak terdapat gap kompetensi negatif, direkomendasikan pengembangan lanjutan. Pengembangan lanjutan sebagai penggerak tata kelola internal dan pendukung ZI melalui coaching-mentoring pegawai, penguatan manajemen kinerja, pengelolaan layanan administrasi, serta optimalisasi peran sebagai role model komunikasi, kolaborasi, dan budaya kerja berintegritas.</t>
  </si>
  <si>
    <t>Risiko utama: stagnasi kompetensi dan belum optimalnya peran sebagai mentor/role model.
Penugasan sebagai petugas layanan.
Tata kelola internal: coaching-mentoring, monev SKP, eviden ZI, e-office/tata naskah, kepegawaian, sarpras, arsip, dan layanan administrasi.
Pemenuhan 20 JP per tahun; dapat dipenuhi dengan kombinasi pelatihan formal, coaching, mentoring, FGD, Penugasan, dan sharing session.</t>
  </si>
  <si>
    <t>Menjaga kompetensi yang sudah memenuhi standar dan memperkuat peran sebagai mentor/role model.</t>
  </si>
  <si>
    <r>
      <t>Memimpin</t>
    </r>
    <r>
      <rPr>
        <i/>
        <sz val="11"/>
        <color rgb="FF000000"/>
        <rFont val="Times New Roman"/>
        <family val="1"/>
      </rPr>
      <t xml:space="preserve"> sharing session</t>
    </r>
    <r>
      <rPr>
        <sz val="11"/>
        <color rgb="FF000000"/>
        <rFont val="Times New Roman"/>
        <family val="1"/>
      </rPr>
      <t>, mendukung eviden ZI, melakukan pengendalian pelaksanaan tugas fungsi BP2JK dan menjadi role model layanan.</t>
    </r>
  </si>
  <si>
    <r>
      <t xml:space="preserve">Coaching/ Mentoring </t>
    </r>
    <r>
      <rPr>
        <sz val="11"/>
        <color rgb="FF000000"/>
        <rFont val="Times New Roman"/>
        <family val="1"/>
      </rPr>
      <t xml:space="preserve">lanjutan dengan atasan tentang penguatan budaya kerja dan manajemen kinerja.
Menjadi </t>
    </r>
    <r>
      <rPr>
        <i/>
        <sz val="11"/>
        <color rgb="FF000000"/>
        <rFont val="Times New Roman"/>
        <family val="1"/>
      </rPr>
      <t>coach/ mentor/ peer reviewer</t>
    </r>
    <r>
      <rPr>
        <sz val="11"/>
        <color rgb="FF000000"/>
        <rFont val="Times New Roman"/>
        <family val="1"/>
      </rPr>
      <t xml:space="preserve"> terkait pelaksanaan tugas fungsi BP2JK</t>
    </r>
  </si>
  <si>
    <t>Mengikuti Bimtek/ Workshop/ training of trainer/ knowledge management/ pengembangan diri ASN terkait dengan jabatan sebagai kepala subbagian Umum dan TU/ terkait bidang PBJ/ terkait pengendalian (misalnya MR/ Kepatuhan Intern)/ terkait integritas (misal gratifikasi/ Benturan Kepentingan/ WBS)</t>
  </si>
  <si>
    <r>
      <t xml:space="preserve">Dapat berupa materi </t>
    </r>
    <r>
      <rPr>
        <i/>
        <sz val="11"/>
        <color rgb="FF000000"/>
        <rFont val="Times New Roman"/>
        <family val="1"/>
      </rPr>
      <t>sharing</t>
    </r>
    <r>
      <rPr>
        <sz val="11"/>
        <color rgb="FF000000"/>
        <rFont val="Times New Roman"/>
        <family val="1"/>
      </rPr>
      <t xml:space="preserve">, daftar hadir, permintaan narasumber/ penugasan, catatan </t>
    </r>
    <r>
      <rPr>
        <i/>
        <sz val="11"/>
        <color rgb="FF000000"/>
        <rFont val="Times New Roman"/>
        <family val="1"/>
      </rPr>
      <t>coaching/ mentoring</t>
    </r>
    <r>
      <rPr>
        <sz val="11"/>
        <color rgb="FF000000"/>
        <rFont val="Times New Roman"/>
        <family val="1"/>
      </rPr>
      <t>, sertifikat pelatihan</t>
    </r>
  </si>
  <si>
    <r>
      <t>Telah dilaksanakan TW I:</t>
    </r>
    <r>
      <rPr>
        <sz val="11"/>
        <color rgb="FF000000"/>
        <rFont val="Times New Roman"/>
        <family val="1"/>
      </rPr>
      <t xml:space="preserve">
1. Pengendalian progres pemilihan, pembagian beban kerja, penyerapan keuangan, pelaksanaan tusi BP2JK
2. Menjadi petugas layanan (Narasumber konsultasi PBJ oleh pengguna layanan)
3. Pemenuhan bukti dukung dan penilaian ZI</t>
    </r>
  </si>
  <si>
    <r>
      <t>Telah dilaksanakan TW I:</t>
    </r>
    <r>
      <rPr>
        <sz val="11"/>
        <color rgb="FF000000"/>
        <rFont val="Times New Roman"/>
        <family val="1"/>
      </rPr>
      <t xml:space="preserve">
1. Menjadi </t>
    </r>
    <r>
      <rPr>
        <i/>
        <sz val="11"/>
        <color rgb="FF000000"/>
        <rFont val="Times New Roman"/>
        <family val="1"/>
      </rPr>
      <t xml:space="preserve">coach </t>
    </r>
    <r>
      <rPr>
        <sz val="11"/>
        <color rgb="FF000000"/>
        <rFont val="Times New Roman"/>
        <family val="1"/>
      </rPr>
      <t>agen perubahan proses digitalisasi
2. Menjadi Mentor agen perubahan pengembangan kompetensi</t>
    </r>
  </si>
  <si>
    <r>
      <t>Sudah memenuhi 20 JP.</t>
    </r>
    <r>
      <rPr>
        <sz val="11"/>
        <color rgb="FF000000"/>
        <rFont val="Times New Roman"/>
        <family val="1"/>
      </rPr>
      <t xml:space="preserve">
Pelatihan yang diikuti terkait PBJ, Pengendalian (MR), Integritas (Gratifikasi)</t>
    </r>
  </si>
  <si>
    <t>Esthy Dwinda Purwaningjati, SH
197811212005022001
Penata Tingkat I / III/d</t>
  </si>
  <si>
    <t>S1</t>
  </si>
  <si>
    <t>Tinggi</t>
  </si>
  <si>
    <t>TNA difokuskan pada Orientasi pada Hasil, Pelayanan Publik, Pengambilan Keputusan melalui kombinasi 70-20-10, yaitu: 
1. Penugasan pekerjaan inti Keuangan, 
2. Coaching/mentoring, dan 
3. Pelatihan formal yang sesuai.</t>
  </si>
  <si>
    <t>20 JP per tahun; dapat dipenuhi dengan kombinasi pelatihan formal/ Sosialisasi/ Internalisasi/ Bimtek/ FGD/ sharing session dan lain sebagainya bidang keuangan</t>
  </si>
  <si>
    <r>
      <rPr>
        <b/>
        <sz val="11"/>
        <color rgb="FF000000"/>
        <rFont val="Times New Roman"/>
      </rPr>
      <t xml:space="preserve">PEREKAT BANGSA:
</t>
    </r>
    <r>
      <rPr>
        <sz val="11"/>
        <color rgb="FF000000"/>
        <rFont val="Times New Roman"/>
      </rPr>
      <t xml:space="preserve">Memperkuat netralitas ASN, penghargaan terhadap keberagaman, layanan keuangan yang adil dan non-diskriminatif, serta komunikasi layanan yang transparan.
</t>
    </r>
    <r>
      <rPr>
        <b/>
        <sz val="11"/>
        <color rgb="FF000000"/>
        <rFont val="Times New Roman"/>
      </rPr>
      <t xml:space="preserve">INTEGRITAS:
</t>
    </r>
    <r>
      <rPr>
        <sz val="11"/>
        <color rgb="FF000000"/>
        <rFont val="Times New Roman"/>
      </rPr>
      <t>Memperkuat kejujuran, kepatuhan aturan, transparansi, tanggung jawab, dan bebas konflik kepentingan dalam pengelolaan SPJ/SPM dan pertanggungjawaban keuangan.</t>
    </r>
  </si>
  <si>
    <r>
      <rPr>
        <b/>
        <sz val="11"/>
        <color rgb="FF000000"/>
        <rFont val="Times New Roman"/>
      </rPr>
      <t xml:space="preserve">PEREKAT BANGSA:
</t>
    </r>
    <r>
      <rPr>
        <sz val="11"/>
        <color rgb="FF000000"/>
        <rFont val="Times New Roman"/>
      </rPr>
      <t xml:space="preserve">Memberikan layanan keuangan secara adil kepada seluruh pegawai; menerapkan prioritas penyelesaian berkas berdasarkan kelengkapan dan urgensi objektif; serta menyampaikan status layanan keuangan secara terbuka dan tidak diskriminatif.
</t>
    </r>
    <r>
      <rPr>
        <b/>
        <sz val="11"/>
        <color rgb="FF000000"/>
        <rFont val="Times New Roman"/>
      </rPr>
      <t xml:space="preserve">INTEGRITAS:
</t>
    </r>
    <r>
      <rPr>
        <sz val="11"/>
        <color rgb="FF000000"/>
        <rFont val="Times New Roman"/>
      </rPr>
      <t>Verifikasi dokumen sesuai ketentuan; menjaga kerahasiaan dokumen; tidak menerima gratifikasi; dan memberi layanan keuangan tanpa keberpihakan.</t>
    </r>
  </si>
  <si>
    <r>
      <rPr>
        <b/>
        <sz val="11"/>
        <color rgb="FF000000"/>
        <rFont val="Times New Roman"/>
      </rPr>
      <t xml:space="preserve">PEREKAT BANGSA:
</t>
    </r>
    <r>
      <rPr>
        <sz val="11"/>
        <color rgb="FF000000"/>
        <rFont val="Times New Roman"/>
      </rPr>
      <t xml:space="preserve">Dialog kerja terkait kendala layanan keuangan (jika ada)
</t>
    </r>
    <r>
      <rPr>
        <b/>
        <sz val="11"/>
        <color rgb="FF000000"/>
        <rFont val="Times New Roman"/>
      </rPr>
      <t xml:space="preserve">
INTEGRITAS:
</t>
    </r>
    <r>
      <rPr>
        <sz val="11"/>
        <color rgb="FF000000"/>
        <rFont val="Times New Roman"/>
      </rPr>
      <t>Mentoring pengujian dokumen keuangan (pengendalian)</t>
    </r>
  </si>
  <si>
    <r>
      <rPr>
        <b/>
        <sz val="11"/>
        <color rgb="FF000000"/>
        <rFont val="Times New Roman"/>
      </rPr>
      <t xml:space="preserve">PEREKAT BANGSA:
</t>
    </r>
    <r>
      <rPr>
        <sz val="11"/>
        <color rgb="FF000000"/>
        <rFont val="Times New Roman"/>
      </rPr>
      <t xml:space="preserve">Pelatihan nilai dasar ASN BerAKHLAK
Pelatihan layanan keuangan negara, akuntabilitas, dan tata kelola keuangan bila tersedia.
</t>
    </r>
    <r>
      <rPr>
        <b/>
        <sz val="11"/>
        <color rgb="FF000000"/>
        <rFont val="Times New Roman"/>
      </rPr>
      <t xml:space="preserve">INTEGRITAS:
</t>
    </r>
    <r>
      <rPr>
        <sz val="11"/>
        <color rgb="FF000000"/>
        <rFont val="Times New Roman"/>
      </rPr>
      <t>Sosialisasi/ Internalisasi/ Pelatihan terkait integritas (Padi, Pengendalian gratifikasi, COI, SMAP dst)</t>
    </r>
  </si>
  <si>
    <t>Tidak difokuskan tetapi tidak dikecualikan untuk dilaksanakan (jika bisa)</t>
  </si>
  <si>
    <t>Checklist verifikasi berkas sesuai ketentuan/ Notulen/ Daftar hadir/ surat tugas/ sertifikat</t>
  </si>
  <si>
    <t>Memperkuat kerja sama dengan pegawai, bendahara, PPSPM, dan personil terkait dalam penyelesaian SPJ/SPM, pertanggungjawaban, dan realisasi anggaran.</t>
  </si>
  <si>
    <t>Koordinasi kelengkapan SPJ/SPM; penyampaian daftar kekurangan berkas; pendampingan unit kerja; koordinasi koreksi dokumen; dukungan percepatan realisasi anggaran dan administrasi keuangan</t>
  </si>
  <si>
    <t>Mentoring koordinasi efektif, pembagian peran tim keuangan, komunikasi dengan PPK/Satker/unit internal</t>
  </si>
  <si>
    <t>Pelatihan terkait keuangan</t>
  </si>
  <si>
    <t>Tidak difokuskan/ tidak dikecualikan untuk dilaksanakan</t>
  </si>
  <si>
    <t>Dashboard monitoring progres keuangan/ dialog kinerja/ Notulen/ Surat Perintah/ Daftar Hadir/ Sertifikat</t>
  </si>
  <si>
    <t>Memperkuat komunikasi informasi keuangan yang jelas, tepat, sopan, mudah dipahami, dan terdokumentasi.</t>
  </si>
  <si>
    <t>1. Menyampaikan status SPJ/SPM;
2. Mengkomunikasikan/ menjelaskan jika terdapat koreksi dokumen;
3. Menyampaikan perubahan prosedur/aplikasi keuangan (jika ada).</t>
  </si>
  <si>
    <t>Dialog kerja jika terdapat perubahan prosedur keuangan</t>
  </si>
  <si>
    <t>Pelatihan terkait komunikasi pelayanan publik/ naskah dinas/ service excellence</t>
  </si>
  <si>
    <t>Arsip keuangan/ dialog kinerja/ Notulen/ Surat Perintah/ Daftar Hadir/ Sertifikat</t>
  </si>
  <si>
    <t>Memperkuat ketepatan waktu, akurasi, dan pencapaian target pengelolaan keuangan/SPJ/SPM/realisasi anggaran</t>
  </si>
  <si>
    <t>Tracking SPJ/SPM, monitoring realisasi anggaran, checklist kelengkapan dokumen, rekap kendala dan tindak lanjut (jika ada)</t>
  </si>
  <si>
    <t>Dialog kinerja dengan atasan untuk membahas target, deviasi, hambatan, dan rencana perbaikan.</t>
  </si>
  <si>
    <t>Pelatihan terkait keuangan untuk pengelolaan SAKTI, bendahara pengeluaran, SPM/SP2D, pertanggungjawaban keuangan, IKPA, rekonsiliasi dan lainnya</t>
  </si>
  <si>
    <t>Dashboard progres keuangan/ dialog kinerja/ Notulen/ Surat Perintah/ Daftar Hadir/ Sertifikat</t>
  </si>
  <si>
    <t>Memperkuat layanan administrasi keuangan yang cepat, jelas, akurat, transparan, tidak diskriminatif, dan mudah ditelusuri</t>
  </si>
  <si>
    <r>
      <rPr>
        <sz val="11"/>
        <color rgb="FF000000"/>
        <rFont val="Times New Roman"/>
      </rPr>
      <t xml:space="preserve">1. Melayani konsultasi SPJ/SPM; 
2. Membuat checklist kelengkapan dokumen/ </t>
    </r>
    <r>
      <rPr>
        <i/>
        <sz val="11"/>
        <color rgb="FF000000"/>
        <rFont val="Times New Roman"/>
      </rPr>
      <t>tracking</t>
    </r>
    <r>
      <rPr>
        <sz val="11"/>
        <color rgb="FF000000"/>
        <rFont val="Times New Roman"/>
      </rPr>
      <t xml:space="preserve"> status berkas;
3. Menindaklanjuti koreksi dokumen laporan keuangan (jika ada); dan
4. Memberi layanan sesuai standar waktu/ sesuai perencanaan realisasi</t>
    </r>
  </si>
  <si>
    <t>Dialog kerja terkait kendala penyelesaian SPJ/SPM tepat waktu, pengurangan koreksi, evaluasi target bulanan/ laporan keuangan (jika ada)</t>
  </si>
  <si>
    <t>Pelatihan/ internalisasi/ sosialisasi pelayanan publik/ komunikasi/ pelayanan</t>
  </si>
  <si>
    <t>Dashboard progres keuangan/ dialog kinerja/ Checklist verifikasi berkas/ Notulen/ Daftar hadir/ surat tugas/ sertifikat</t>
  </si>
  <si>
    <t>Memperkuat kemampuan belajar mandiri, peningkatan kompetensi teknis keuangan, dan berbagi pengetahuan terkait SPJ/SPM, pertanggungjawaban, aplikasi keuangan, dan layanan administrasi keuangan.</t>
  </si>
  <si>
    <t>1. Menyusun checklist SPJ/SPM;
2. Mendampingi pegawai/unit kerja dalam kelengkapan dokumen/ berbagi pengetahuan aplikasi keuangan</t>
  </si>
  <si>
    <t>Dialog Kerja pemenuhan JP</t>
  </si>
  <si>
    <t>Pelatihan dan sejenisnya terkait keuangan</t>
  </si>
  <si>
    <t>Checklist verifikasi berkas/ SOP/ Notulen/ Daftar hadir/ surat tugas/ sertifikat</t>
  </si>
  <si>
    <t>Memperkuat adaptasi terhadap perubahan sistem, prosedur, aplikasi, dan regulasi keuangan agar layanan keuangan lebih digital, tertib, transparan, dan akuntabel</t>
  </si>
  <si>
    <t>1. Menerapkan perubahan prosedur keuangan (jika ada); 
2. Menggunakan SAKTI/ OM-SPAN/ monitoring realisasi; 
3. Digitalisasi arsip keuangan;
4. mengecek kelengkapan pertanggungjawaban keuangan</t>
  </si>
  <si>
    <t>Mentoring adaptasi aplikasi/regulasi keuangan (jika ada), atau dialog perubahan SOP/prosedur (jika ada)</t>
  </si>
  <si>
    <t>Pelatihan/ internalisasi/ sosialisasi terkait perubahan prosedur keuangan (jika ada)</t>
  </si>
  <si>
    <t>Memperkuat pengambilan keputusan administratif keuangan yang objektif, berbasis data, sesuai ketentuan, dan mempertimbangkan risiko keterlambatan/koreksi dokumen.</t>
  </si>
  <si>
    <t>1. Verifikasi awal SPJ/SPM; 
2. Penentuan prioritas berkas (berkas diselesaikan sesuai prioritas/ perencanaan pencairan; 
3. Identifikasi dokumen yang perlu diperbaiki</t>
  </si>
  <si>
    <t>Dialog kerja jika terdapat kendala</t>
  </si>
  <si>
    <t>Checklist verifikasi berkas/ Notulen/ Daftar hadir/ surat tugas/ sertifikat</t>
  </si>
  <si>
    <t>Isti Puji Rahayu, ST
198601132008122001
Penata Tingkat I / III/d</t>
  </si>
  <si>
    <r>
      <rPr>
        <sz val="11"/>
        <color rgb="FF000000"/>
        <rFont val="Times New Roman"/>
      </rPr>
      <t xml:space="preserve">TNA difokuskan pada Orientasi pada Hasil melalui kombinasi 70-20-10, yaitu:
1. Penugasan pekerjaan inti Keuangan, 
2. </t>
    </r>
    <r>
      <rPr>
        <i/>
        <sz val="11"/>
        <color rgb="FF000000"/>
        <rFont val="Times New Roman"/>
      </rPr>
      <t>Coaching/mentoring</t>
    </r>
    <r>
      <rPr>
        <sz val="11"/>
        <color rgb="FF000000"/>
        <rFont val="Times New Roman"/>
      </rPr>
      <t>, dan 
3. Pelatihan formal yang sesuai.</t>
    </r>
  </si>
  <si>
    <r>
      <rPr>
        <sz val="11"/>
        <color rgb="FF000000"/>
        <rFont val="Times New Roman"/>
      </rPr>
      <t xml:space="preserve">20 JP per tahun; dapat dipenuhi dengan kombinasi pelatihan formal/ </t>
    </r>
    <r>
      <rPr>
        <i/>
        <sz val="11"/>
        <color rgb="FF000000"/>
        <rFont val="Times New Roman"/>
      </rPr>
      <t>coaching/ mentoring/</t>
    </r>
    <r>
      <rPr>
        <sz val="11"/>
        <color rgb="FF000000"/>
        <rFont val="Times New Roman"/>
      </rPr>
      <t xml:space="preserve"> FGD/Internalisasi/ Sosialisasi/ OJT/ </t>
    </r>
    <r>
      <rPr>
        <i/>
        <sz val="11"/>
        <color rgb="FF000000"/>
        <rFont val="Times New Roman"/>
      </rPr>
      <t xml:space="preserve">sharing session </t>
    </r>
    <r>
      <rPr>
        <sz val="11"/>
        <color rgb="FF000000"/>
        <rFont val="Times New Roman"/>
      </rPr>
      <t>dan lainnya</t>
    </r>
  </si>
  <si>
    <t>Memperkuat penyelesaian output sesuai target, ketepatan waktu, kualitas dokumen, dan disiplin monitoring progres.</t>
  </si>
  <si>
    <t>1. Bersama Tim Kesatkeran menetapkan target bulanan; 
2. Memantau progres penyelesaian target bulanan ( SPJ/SPM, IKPA, realisasi anggaran, dan pertanggungjawaban)</t>
  </si>
  <si>
    <t>Dialog kinerja dengan atasan untuk membahas target, deviasi, hambatan, dan rencana perbaikan terkait pelaksanaan keuangan/ anggaran</t>
  </si>
  <si>
    <t>Pelatihan terkait keuangan/ anggaran</t>
  </si>
  <si>
    <t>Rekap target-realisasi, laporan monev, dashboard progres, notulen dialog kinerja/ monitoring dan evaluasi, sertifikat pelatihan.</t>
  </si>
  <si>
    <t>Telah dilaksanakan untuk TW I dengan output:
Revisi Target Hal III DIPA, Rekap progres pelaksanaan keuangan</t>
  </si>
  <si>
    <t>Telah dilaksanakan, bukti dukung: Notulen Rapat Kesatkeran</t>
  </si>
  <si>
    <t>Ratri Ayu Rahmayanti, S.I.P, MT
198606102010122004
Penata Tingkat I / III/d</t>
  </si>
  <si>
    <t>TNA difokuskan pada Integritas melalui pelatihan formal berupa pelatihan terkait integritas misalnya Kepatuhan Internal, Pengendalian Gratifikasi, Pendidikan Anti Korupsi dan lain sebagainya</t>
  </si>
  <si>
    <r>
      <rPr>
        <sz val="11"/>
        <color rgb="FF000000"/>
        <rFont val="Times New Roman"/>
      </rPr>
      <t xml:space="preserve">20 JP per tahun; dapat dipenuhi dengan kombinasi pelatihan formal/ Sosialisasi/ Internalisasi/ Bimtek/ FGD/ </t>
    </r>
    <r>
      <rPr>
        <i/>
        <sz val="11"/>
        <color rgb="FF000000"/>
        <rFont val="Times New Roman"/>
      </rPr>
      <t xml:space="preserve">sharing session </t>
    </r>
    <r>
      <rPr>
        <sz val="11"/>
        <color rgb="FF000000"/>
        <rFont val="Times New Roman"/>
      </rPr>
      <t>dan lain sebagainya</t>
    </r>
  </si>
  <si>
    <t>Memperkuat perilaku etis, kepatuhan kode etik, anti gratifikasi, WBS, COI, dan SMAP.</t>
  </si>
  <si>
    <t>Menerapkan kartu kendali pengawasan, Pakta Komitmen/risiko gratifikasi, WBS, dan COI.</t>
  </si>
  <si>
    <t>Mengikuti Bimtek/ Sosialisasi/ Internalisasi/ Workshop/ E-learning terkait Kode Etik ASN/ Building Integrity/ PADI/ pengendalian gratifikasi/ WBS/ COI/ SMAP ISO 37001</t>
  </si>
  <si>
    <t>Kartu kendali pengawasan, pakta komitmen, daftar hadir internalisasi, sertifikat/e-learning,</t>
  </si>
  <si>
    <t>1. Kartu kendali terlaksana sampai TW I
2. Pakta Komitmen telah ditandatangani</t>
  </si>
  <si>
    <t>1. Belum ada pelatihan terkait integritas. 
2. Target 20JP per TA sudah terpenuhi sebanyak 30 untuk pelatihan terkait penugasan bidang kepegawaian</t>
  </si>
  <si>
    <t>Budiasih Dyah Saraswati, S.Kom
198809092010122002
Penata Tingkat I / III/d</t>
  </si>
  <si>
    <t>Menengah</t>
  </si>
  <si>
    <r>
      <rPr>
        <sz val="11"/>
        <color rgb="FF000000"/>
        <rFont val="Times New Roman"/>
      </rPr>
      <t xml:space="preserve">TNA difokuskan pada Mengelola Perubahan, Orientasi pada Hasil, Pelayanan Publik melalui kombinasi 70-20-10, yaitu: 
1. Pelaksanaan pekerjaan inti Keuangan/ Perencanaan, 
2. Pelaksanaan </t>
    </r>
    <r>
      <rPr>
        <i/>
        <sz val="11"/>
        <color rgb="FF000000"/>
        <rFont val="Times New Roman"/>
      </rPr>
      <t>coaching/mentoring</t>
    </r>
    <r>
      <rPr>
        <sz val="11"/>
        <color rgb="FF000000"/>
        <rFont val="Times New Roman"/>
      </rPr>
      <t>, dan 
3. Pelatihan formal yang sesuai</t>
    </r>
  </si>
  <si>
    <t>20 JP per tahun; dapat dipenuhi dengan kombinasi pelatihan formal/ Sosialisasi/ Internalisasi/ Bimtek/ FGD/ sharing session dan lain sebagainya</t>
  </si>
  <si>
    <t>Memperkuat netralitas ASN, penghargaan terhadap keberagaman, layanan keuangan yang adil dan non-diskriminatif, serta komunikasi layanan yang transparan.</t>
  </si>
  <si>
    <t>Memberikan layanan SPJ/SPM/ pertanggungjawaban secara adil kepada seluruh pegawai/unit kerja; menerapkan prioritas penyelesaian berkas berdasarkan kelengkapan dan urgensi objektif; serta menyampaikan status layanan keuangan secara terbuka dan tidak diskriminatif.</t>
  </si>
  <si>
    <t>Dialog kerja terkait kendala layanan keuangan (jika ada)</t>
  </si>
  <si>
    <t>Pelatihan nilai dasar ASN BerAKHLAK atau Integritas/ antikorupsi. 
Pelatihan layanan keuangan negara, akuntabilitas, dan tata kelola keuangan bila tersedia.</t>
  </si>
  <si>
    <t>Dashboard monitoring progres keuangan/ dialog kinerja/ Checklist verifikasi berkas sesuai ketentuan/ Notulen/ Daftar hadir/ surat tugas/ sertifikat</t>
  </si>
  <si>
    <t>Putri Oktaviana A.P.Kb.N
200010302019122001
Pengatur Muda Tingkat I / II/b</t>
  </si>
  <si>
    <t>D1</t>
  </si>
  <si>
    <r>
      <rPr>
        <sz val="11"/>
        <color rgb="FF000000"/>
        <rFont val="Times New Roman"/>
      </rPr>
      <t xml:space="preserve">TNA difokuskan pada Integritas, Kerjasama, Mengelola Perubahan melalui kombinasi 70-20-10, yaitu: 
1. Pelaksanaan pekerjaan inti Keuangan, 
2. Pelaksanaan </t>
    </r>
    <r>
      <rPr>
        <i/>
        <sz val="11"/>
        <color rgb="FF000000"/>
        <rFont val="Times New Roman"/>
      </rPr>
      <t xml:space="preserve">coaching/mentoring/ </t>
    </r>
    <r>
      <rPr>
        <sz val="11"/>
        <color rgb="FF000000"/>
        <rFont val="Times New Roman"/>
      </rPr>
      <t>Dialog Kinerja, dan 
3. Pelatihan formal yang sesuai</t>
    </r>
  </si>
  <si>
    <r>
      <rPr>
        <b/>
        <sz val="11"/>
        <color rgb="FF000000"/>
        <rFont val="Times New Roman"/>
      </rPr>
      <t xml:space="preserve">PEREKAT BANGSA:
</t>
    </r>
    <r>
      <rPr>
        <sz val="11"/>
        <color rgb="FF000000"/>
        <rFont val="Times New Roman"/>
      </rPr>
      <t xml:space="preserve">Memperkuat netralitas ASN, penghargaan terhadap keberagaman, layanan keuangan yang adil dan non-diskriminatif, serta komunikasi layanan yang transparan.
</t>
    </r>
    <r>
      <rPr>
        <b/>
        <sz val="11"/>
        <color rgb="FF000000"/>
        <rFont val="Times New Roman"/>
      </rPr>
      <t xml:space="preserve">INTEGRITAS:
</t>
    </r>
    <r>
      <rPr>
        <sz val="11"/>
        <color rgb="FF000000"/>
        <rFont val="Times New Roman"/>
      </rPr>
      <t>Memperkuat kejujuran, kepatuhan aturan, transparansi, tanggung jawab, dan bebas konflik kepentingan dalam pengelolaan SPJ/SPM dan pertanggungjawaban keuangan.</t>
    </r>
  </si>
  <si>
    <r>
      <rPr>
        <b/>
        <sz val="11"/>
        <color rgb="FF000000"/>
        <rFont val="Times New Roman"/>
      </rPr>
      <t xml:space="preserve">PEREKAT BANGSA:
</t>
    </r>
    <r>
      <rPr>
        <sz val="11"/>
        <color rgb="FF000000"/>
        <rFont val="Times New Roman"/>
      </rPr>
      <t xml:space="preserve">Memberikan layanan SPJ/SPM/ pertanggungjawaban secara adil kepada seluruh pegawai/unit kerja; menerapkan prioritas penyelesaian berkas berdasarkan kelengkapan dan urgensi objektif; serta menyampaikan status layanan keuangan secara terbuka dan tidak diskriminatif.
</t>
    </r>
    <r>
      <rPr>
        <b/>
        <sz val="11"/>
        <color rgb="FF000000"/>
        <rFont val="Times New Roman"/>
      </rPr>
      <t xml:space="preserve">
INTEGRITAS:
</t>
    </r>
    <r>
      <rPr>
        <sz val="11"/>
        <color rgb="FF000000"/>
        <rFont val="Times New Roman"/>
      </rPr>
      <t>Verifikasi dokumen sesuai ketentuan; dokumentasi koreksi SPJ/SPM; menolak permintaan tidak sesuai aturan; menjaga kerahasiaan dokumen; tidak menerima gratifikasi; dan memberi layanan keuangan tanpa keberpihakan.</t>
    </r>
  </si>
  <si>
    <t>Rendra Proysa, S.T.
197711252014101002
Penata Muda Tingkat I / III/b</t>
  </si>
  <si>
    <t>TNA difokuskan pada Integritas, Kerjasama, Komunikasi melalui kombinasi 70-20-10, yaitu:
1. Pelaksanaan pekerjaan inti PBJ (pendampingan dan pemilihan penyedia jasa), 
2. Mentoring/ Dialog Kinerja, dan 
3. Pelatihan formal yang sesuai.</t>
  </si>
  <si>
    <r>
      <rPr>
        <sz val="11"/>
        <color rgb="FF000000"/>
        <rFont val="Times New Roman"/>
      </rPr>
      <t xml:space="preserve">20 JP per tahun yang dapat dipenuhi dengan kombinasi pelatihan formal/ </t>
    </r>
    <r>
      <rPr>
        <i/>
        <sz val="11"/>
        <color rgb="FF000000"/>
        <rFont val="Times New Roman"/>
      </rPr>
      <t>coaching</t>
    </r>
    <r>
      <rPr>
        <sz val="11"/>
        <color rgb="FF000000"/>
        <rFont val="Times New Roman"/>
      </rPr>
      <t xml:space="preserve">/ </t>
    </r>
    <r>
      <rPr>
        <i/>
        <sz val="11"/>
        <color rgb="FF000000"/>
        <rFont val="Times New Roman"/>
      </rPr>
      <t>mentoring</t>
    </r>
    <r>
      <rPr>
        <sz val="11"/>
        <color rgb="FF000000"/>
        <rFont val="Times New Roman"/>
      </rPr>
      <t>/ dialog kinerja/ FGD/Internalisasi/ Sosialisasi/ OJT/ sharing session dan lainnya terkait PBJ dan integritas</t>
    </r>
  </si>
  <si>
    <r>
      <rPr>
        <b/>
        <sz val="11"/>
        <color rgb="FF000000"/>
        <rFont val="Times New Roman"/>
      </rPr>
      <t xml:space="preserve">INTEGRITAS:
</t>
    </r>
    <r>
      <rPr>
        <sz val="11"/>
        <color rgb="FF000000"/>
        <rFont val="Times New Roman"/>
      </rPr>
      <t xml:space="preserve">Memperkuat kepatuhan terhadap kode etik, pakta integritas, bebas konflik kepentingan, objektivitas evaluasi, dan pencegahan gratifikasi dalam proses pendampingan dan pemilihan penyedia.
</t>
    </r>
    <r>
      <rPr>
        <b/>
        <sz val="11"/>
        <color rgb="FF000000"/>
        <rFont val="Times New Roman"/>
      </rPr>
      <t xml:space="preserve">
PEREKAT BANGSA:
</t>
    </r>
    <r>
      <rPr>
        <sz val="11"/>
        <color rgb="FF000000"/>
        <rFont val="Times New Roman"/>
      </rPr>
      <t>Memperkuat netralitas ASN, sikap adil, non-diskriminatif, dan kemampuan menjaga hubungan kerja yang harmonis dalam layanan PBJ.</t>
    </r>
  </si>
  <si>
    <r>
      <rPr>
        <b/>
        <sz val="11"/>
        <color rgb="FF000000"/>
        <rFont val="Times New Roman"/>
      </rPr>
      <t xml:space="preserve">INTEGRITAS:
</t>
    </r>
    <r>
      <rPr>
        <sz val="11"/>
        <color rgb="FF000000"/>
        <rFont val="Times New Roman"/>
      </rPr>
      <t xml:space="preserve">1. Melaksanakan evaluasi penawaran sesuai ketentuan, 
2. Mengisi deklarasi konflik kepentingan/ pakta integritas, 
3. Menjaga kerahasiaan dokumen.
</t>
    </r>
    <r>
      <rPr>
        <b/>
        <sz val="11"/>
        <color rgb="FF000000"/>
        <rFont val="Times New Roman"/>
      </rPr>
      <t xml:space="preserve">PEREKAT BANGSA:
</t>
    </r>
    <r>
      <rPr>
        <sz val="11"/>
        <color rgb="FF000000"/>
        <rFont val="Times New Roman"/>
      </rPr>
      <t>1. Melaksanakan proses evaluasi tanpa membedakan latar belakang penyedia
2. Menjaga netralitas dalam komunikasi dengan pihak terkait 
3. Menjaga suasana kerja tim yang saling menghargai.</t>
    </r>
  </si>
  <si>
    <r>
      <rPr>
        <b/>
        <sz val="11"/>
        <color rgb="FF000000"/>
        <rFont val="Times New Roman"/>
      </rPr>
      <t xml:space="preserve">INTEGRITAS:
</t>
    </r>
    <r>
      <rPr>
        <sz val="11"/>
        <color rgb="FF000000"/>
        <rFont val="Times New Roman"/>
      </rPr>
      <t xml:space="preserve">Dialog kinerja terkait dilema integritas dalam evaluasi, konflik kepentingan, gratifikasi, dan cara menghadapi tekanan eksternal (jika ada).
</t>
    </r>
    <r>
      <rPr>
        <b/>
        <sz val="11"/>
        <color rgb="FF000000"/>
        <rFont val="Times New Roman"/>
      </rPr>
      <t xml:space="preserve">
PEREKAT BANGSA:
</t>
    </r>
    <r>
      <rPr>
        <sz val="11"/>
        <color rgb="FF000000"/>
        <rFont val="Times New Roman"/>
      </rPr>
      <t>Dialog kinerja bisa pada saat monev terkait nilai dasar ASN, netralitas, toleransi, komunikasi lintas pihak, dan penyelesaian perbedaan pendapat dalam tim tanpa konflik personal.</t>
    </r>
  </si>
  <si>
    <r>
      <rPr>
        <b/>
        <sz val="11"/>
        <color rgb="FF000000"/>
        <rFont val="Times New Roman"/>
      </rPr>
      <t xml:space="preserve">INTEGRITAS:
</t>
    </r>
    <r>
      <rPr>
        <sz val="11"/>
        <color rgb="FF000000"/>
        <rFont val="Times New Roman"/>
      </rPr>
      <t xml:space="preserve">Pelatihan/ Sosialisasi dan sejenisnya terkait integritas (SMAP/ gratifikasi dsb)
</t>
    </r>
    <r>
      <rPr>
        <b/>
        <sz val="11"/>
        <color rgb="FF000000"/>
        <rFont val="Times New Roman"/>
      </rPr>
      <t xml:space="preserve">
PEREKAT BANGSA:
</t>
    </r>
    <r>
      <rPr>
        <sz val="11"/>
        <color rgb="FF000000"/>
        <rFont val="Times New Roman"/>
      </rPr>
      <t>Pelatihan/ Sosialisasi dan sejenisnya terkait wawasan kebangsaan, BerAKHLAK, nilai dasar ASN</t>
    </r>
  </si>
  <si>
    <r>
      <rPr>
        <b/>
        <sz val="11"/>
        <color rgb="FF000000"/>
        <rFont val="Times New Roman"/>
      </rPr>
      <t xml:space="preserve">INTEGRITAS:
</t>
    </r>
    <r>
      <rPr>
        <sz val="11"/>
        <color rgb="FF000000"/>
        <rFont val="Times New Roman"/>
      </rPr>
      <t xml:space="preserve">TW I-TW IV 2026
</t>
    </r>
    <r>
      <rPr>
        <b/>
        <sz val="11"/>
        <color rgb="FF000000"/>
        <rFont val="Times New Roman"/>
      </rPr>
      <t xml:space="preserve">Perekat Bangsa:
</t>
    </r>
    <r>
      <rPr>
        <sz val="11"/>
        <color rgb="FF000000"/>
        <rFont val="Times New Roman"/>
      </rPr>
      <t>Tidak difokuskan/ tidak dikecualikan untuk dilaksanakan</t>
    </r>
  </si>
  <si>
    <t>BAHP/ Notulen/ Daftar Hadir/ Dialog kinerja/ Sertifikat</t>
  </si>
  <si>
    <t>Memperkuat kemampuan bekerja sama dalam tim Pokja, Tim Pelaksana, Tim Peneliti, PPK/Satker, dan pihak terkait tanpa mengurangi independensi evaluasi.</t>
  </si>
  <si>
    <t>Berkoordinasi dalam pembagian tugas evaluasi penawaran; mengikuti rapat Pokja secara aktif; menyampaikan progres dan kendala; membantu anggota tim menyelesaikan tahap evaluasi sesuai jadwal.</t>
  </si>
  <si>
    <t>koordinasi efektif, pembagian peran Pokja, penyelesaian perbedaan pendapat dalam evaluasi, dan kolaborasi dengan Tim Peneliti/PPK.</t>
  </si>
  <si>
    <t>Pelatihan/ sosialisasi dan sejenisnya terkait layanan/ PBJ</t>
  </si>
  <si>
    <t>Memperkuat kemampuan menyampaikan informasi, klarifikasi, dan hasil evaluasi secara jelas, tertib, tidak multitafsir, dan terdokumentasi.</t>
  </si>
  <si>
    <t>Menyusun BA evaluasi dengan bahasa jelas; menyampaikan kebutuhan klarifikasi kepada penyedia sesuai ketentuan; mencatat hasil komunikasi; menyampaikan kendala proses kepada ketua Pokja/atasan secara cepat.</t>
  </si>
  <si>
    <t>Dialog kinerja kendala penyusunan BA evaluasi, klarifikasi, komunikasi kendala tender, dan teknik menjelaskan hasil reviu/evaluasi secara objektif (jika ada)</t>
  </si>
  <si>
    <t>Menyelesaikan proses pemilihan sesuai target waktu (pengendalian penyelesaian pekerjaan dapat menggunakan dashboard progres paket)</t>
  </si>
  <si>
    <t>Dialog kinerja dengan atasan untuk membahas target, deviasi, hambatan, dan rencana perbaikan (jika dibutuhkan/ jika target kemungkinan tidak terpenuhi)</t>
  </si>
  <si>
    <t>Pelatihan/ sosialisasi dan sejenisnya terkait PBJ</t>
  </si>
  <si>
    <t>Matriks target-realisasi, laporan monev, dashboard progres, notulen dialog kinerja, sertifikat pelatihan.</t>
  </si>
  <si>
    <t>Memperkuat pelayanan PBJ yang responsif, transparan, tidak diskriminatif, dan sesuai standar kepada PPK/Satker, penyedia, dan pengguna layanan.</t>
  </si>
  <si>
    <t>Memberikan respons konsultasi/klarifikasi sesuai kewenangan; memastikan informasi proses pemilihan tersampaikan melalui kanal resmi; menindaklanjuti permintaan informasi/pengaduan sesuai prosedur; menjaga sikap layanan yang netral dan profesional.</t>
  </si>
  <si>
    <t>Dialog kinerja layanan pokja (dapat dilakukan saat monev progres atau masing-masing jika terdapat kendala)</t>
  </si>
  <si>
    <t>Pelatihan/ Sosialisasi dan sejenisnya terkait pelayanan publik/ service excellence ASN</t>
  </si>
  <si>
    <r>
      <rPr>
        <sz val="11"/>
        <color rgb="FF000000"/>
        <rFont val="Times New Roman"/>
      </rPr>
      <t xml:space="preserve">Mengikuti </t>
    </r>
    <r>
      <rPr>
        <i/>
        <sz val="11"/>
        <color rgb="FF000000"/>
        <rFont val="Times New Roman"/>
      </rPr>
      <t>sharing session</t>
    </r>
    <r>
      <rPr>
        <sz val="11"/>
        <color rgb="FF000000"/>
        <rFont val="Times New Roman"/>
      </rPr>
      <t xml:space="preserve"> atau bedah kasus. Konteks BPJ: reviu dokumen, evaluasi pemilihan, sanggah, dokumentasi hasil pemilihan dsb</t>
    </r>
  </si>
  <si>
    <t>RPI/logbook pengembangan, materi sharing, daftar hadir, catatan coaching, evaluasi peserta.</t>
  </si>
  <si>
    <t>Memperkuat kemampuan beradaptasi terhadap perubahan regulasi, SOP, aplikasi SPSE/SIKAP/e-katalog, serta perubahan kebijakan PBJ.</t>
  </si>
  <si>
    <t>Menerapkan SOP terbaru dalam proses pemilihan; menggunakan aplikasi SPSE/SIKAP dan dashboard progres; menyesuaikan checklist evaluasi sesuai ketentuan terbaru; membantu tim memahami perubahan prosedur/dokumen pemilihan.</t>
  </si>
  <si>
    <t>Dialog kinerja adaptasi SOP dan aplikasi, pembahasan kendala implementasi perubahan regulasi, serta evaluasi penerapan proses kerja digital/terdokumentasi.</t>
  </si>
  <si>
    <t>Memperkuat kemampuan mengambil keputusan evaluasi secara objektif, berbasis data, sesuai kriteria dokumen pemilihan, dan mempertimbangkan risiko sanggah/pengaduan.</t>
  </si>
  <si>
    <t>Melakukan analisis hasil evaluasi administrasi, teknis, harga, dan kualifikasi; menyusun alasan evaluasi secara tertulis; menggunakan checklist dan evidence; melakukan eskalasi jika terdapat isu berisiko tinggi; menyusun rekomendasi hasil evaluasi yang dapat dipertanggungjawabkan.</t>
  </si>
  <si>
    <r>
      <rPr>
        <i/>
        <sz val="11"/>
        <color rgb="FF000000"/>
        <rFont val="Times New Roman"/>
      </rPr>
      <t xml:space="preserve">lesson and lear </t>
    </r>
    <r>
      <rPr>
        <sz val="11"/>
        <color rgb="FF000000"/>
        <rFont val="Times New Roman"/>
      </rPr>
      <t>(saat monev) evaluasi, kewajaran harga, klarifikasi, sanggah, dan penolakan hasil pemilihan; peer review BA evaluasi oleh Pokja senior/Tim Peneliti.</t>
    </r>
  </si>
  <si>
    <t>Feby Lorentika, S.T
199102142018022001
Penata / III/c</t>
  </si>
  <si>
    <t>TNA difokuskan pada Mengelola Perubahan, Orientasi pada Hasil, Pelayanan Publik melalui kombinasi 70-20-10, yaitu:
1. Pelaksanaan pekerjaan inti PBJ (konsultasi/ pendampingan), 
2. Mentoring/ Dialog Kinerja, dan 
3. Pelatihan formal yang sesuai.</t>
  </si>
  <si>
    <t>20 JP per tahun yang dapat dipenuhi dengan kombinasi pelatihan formal/ coaching/ mentoring/ dialog kinerja/ FGD/Internalisasi/ Sosialisasi/ OJT/ sharing session dan lainnya terkait PBJ dan integritas</t>
  </si>
  <si>
    <t>Memperkuat netralitas ASN, layanan non-diskriminatif, penghargaan terhadap keberagaman, dan kemampuan menjaga hubungan kerja harmonis dalam layanan administrasi PBJ.</t>
  </si>
  <si>
    <t>Memberikan layanan pendampingan/ konsultasi PBJ secara adil pada pengguna layanan; menjaga komunikasi netral dan tidak memihak; serta menjaga suasana kerja tim yang saling menghargai.</t>
  </si>
  <si>
    <t>Dialog kinerja terkait nilai dasar ASN, netralitas, toleransi, komunikasi lintas unit, serta penyelesaian perbedaan pendapat secara profesional dalam pekerjaan Tim Pelaksana.</t>
  </si>
  <si>
    <r>
      <rPr>
        <sz val="11"/>
        <color rgb="FF000000"/>
        <rFont val="Times New Roman"/>
      </rPr>
      <t>Pelatihan/ Bimtek/ Workshop/ internalisasi/</t>
    </r>
    <r>
      <rPr>
        <i/>
        <sz val="11"/>
        <color rgb="FF000000"/>
        <rFont val="Times New Roman"/>
      </rPr>
      <t xml:space="preserve"> training of trainer</t>
    </r>
    <r>
      <rPr>
        <sz val="11"/>
        <color rgb="FF000000"/>
        <rFont val="Times New Roman"/>
      </rPr>
      <t xml:space="preserve">/ </t>
    </r>
    <r>
      <rPr>
        <i/>
        <sz val="11"/>
        <color rgb="FF000000"/>
        <rFont val="Times New Roman"/>
      </rPr>
      <t xml:space="preserve">knowledge management </t>
    </r>
    <r>
      <rPr>
        <sz val="11"/>
        <color rgb="FF000000"/>
        <rFont val="Times New Roman"/>
      </rPr>
      <t>dsb terkait wawasan kebangsaan, BerAKHLAK, netralitas ASN</t>
    </r>
  </si>
  <si>
    <t>BA pelaksanaan layanan, Dialog kerja, notulen, sertifikat, absen</t>
  </si>
  <si>
    <t>Memperkuat kemampuan menyelesaikan dukungan proses pemilihan penyedia secara tepat waktu, tertib dokumen, dan sesuai target layanan.</t>
  </si>
  <si>
    <t xml:space="preserve">Menyusun dan memantau checklist kelengkapan/ reviu dokumen persiapan PBJ serta bukti dukung/ proses bisnis tersusun sesuai ketentuan; </t>
  </si>
  <si>
    <t>Dialog Kinerja oleh Sekretaris/ Ketua UPTPBJ/Pokja terkait kendala pendampingan (jika ada)</t>
  </si>
  <si>
    <r>
      <rPr>
        <sz val="11"/>
        <color rgb="FF000000"/>
        <rFont val="Times New Roman"/>
      </rPr>
      <t xml:space="preserve">Pelatihan/ Bimtek/ Internalisasi/ </t>
    </r>
    <r>
      <rPr>
        <i/>
        <sz val="11"/>
        <color rgb="FF000000"/>
        <rFont val="Times New Roman"/>
      </rPr>
      <t>Workshop/ internalisasi/ training of trainer/ knowledge management</t>
    </r>
    <r>
      <rPr>
        <sz val="11"/>
        <color rgb="FF000000"/>
        <rFont val="Times New Roman"/>
      </rPr>
      <t xml:space="preserve"> dsb terkait PB/J</t>
    </r>
  </si>
  <si>
    <t>Memperkuat layanan administratif PBJ yang responsif, jelas, tertelusur, dan sesuai standar layanan kepada PPK/Satker, Pokja, Tim Peneliti, dan pengguna layanan.</t>
  </si>
  <si>
    <t>Melaksanakan konsultasi PBJ dan pendampingan dok. persiapan dengan memastikan layanan tidak diskriminatif dan bebas biaya.</t>
  </si>
  <si>
    <t>Dialog kinerja terkait kendala layanan PBJ dan cara menyampaikan kekurangan dokumen kepada PPK/Satker secara jelas dan profesional (jika ada)</t>
  </si>
  <si>
    <r>
      <rPr>
        <sz val="11"/>
        <color rgb="FF000000"/>
        <rFont val="Times New Roman"/>
      </rPr>
      <t xml:space="preserve">Pelatihan/ Bimtek/ Internalisasi/ </t>
    </r>
    <r>
      <rPr>
        <i/>
        <sz val="11"/>
        <color rgb="FF000000"/>
        <rFont val="Times New Roman"/>
      </rPr>
      <t>Workshop/ internalisasi/ training of trainer/ knowledge management</t>
    </r>
    <r>
      <rPr>
        <sz val="11"/>
        <color rgb="FF000000"/>
        <rFont val="Times New Roman"/>
      </rPr>
      <t xml:space="preserve"> dsb terkait PB/J/ </t>
    </r>
    <r>
      <rPr>
        <i/>
        <sz val="11"/>
        <color rgb="FF000000"/>
        <rFont val="Times New Roman"/>
      </rPr>
      <t>service excellent</t>
    </r>
  </si>
  <si>
    <t>Memperkuat kemampuan belajar mandiri, memahami SOP/proses PBJ, dan berbagi pengetahuan administratif kepada anggota tim atau pegawai baru.</t>
  </si>
  <si>
    <t>Membuat catatan pembelajaran dari proses pendampingan/reviu dokumen; mengikuti sharing session PBJ; membantu pegawai baru memahami alur dokumen pemilihan; serta mendokumentasikan lesson learned atas koreksi dokumen berulang.</t>
  </si>
  <si>
    <t>Mentoring penyusunan rencana pengembangan individu, pemenuhan JP, penerapan hasil pelatihan, serta pembahasan kebutuhan peningkatan kompetensi berdasarkan tugas Tim Pelaksana.</t>
  </si>
  <si>
    <t>Memperkuat kemampuan beradaptasi terhadap perubahan SOP, regulasi, aplikasi SPSE/SIKAP, serta digitalisasi dokumen layanan PBJ.</t>
  </si>
  <si>
    <t>Menerapkan SOP dan format dokumen terbaru; membantu pemutakhiran checklist dokumen sesuai ketentuan terbaru; serta mendukung transisi dari arsip manual ke arsip digital.</t>
  </si>
  <si>
    <t>Coaching terkait implementasi SOP terbaru, penggunaan sistem digital, kendala perubahan alur kerja, dan evaluasi penerapan aplikasi/dokumen digital dalam layanan PBJ.</t>
  </si>
  <si>
    <r>
      <rPr>
        <sz val="11"/>
        <color rgb="FF000000"/>
        <rFont val="Times New Roman"/>
      </rPr>
      <t xml:space="preserve">Pelatihan/ Bimtek/ Internalisasi/ </t>
    </r>
    <r>
      <rPr>
        <i/>
        <sz val="11"/>
        <color rgb="FF000000"/>
        <rFont val="Times New Roman"/>
      </rPr>
      <t>Workshop/ internalisasi/ training of trainer/ knowledge management</t>
    </r>
    <r>
      <rPr>
        <sz val="11"/>
        <color rgb="FF000000"/>
        <rFont val="Times New Roman"/>
      </rPr>
      <t xml:space="preserve"> dsb terkait PB/J atau perubahan kebijakan</t>
    </r>
  </si>
  <si>
    <t>Memperkuat kemampuan mengambil keputusan administratif secara tepat, objektif, dan berbasis ketentuan dalam mendukung proses pemilihan penyedia.</t>
  </si>
  <si>
    <t>Mengidentifikasi dokumen yang perlu dilengkapi/dikoreksi serta mengeskalasi isu dokumen yang berisiko kepada atasan/Pokja.</t>
  </si>
  <si>
    <t>Mentoring oleh pimpinan terkait analisis risiko pelayanan PBJ serta prioritas tindak lanjut, dan dialog kinerja kasus dokumen bermasalah (jika ada)</t>
  </si>
  <si>
    <t>Masruro Tufani Ahmad, S.Kom.,M.T
198808272010122003
Penata Tingkat I / III/d</t>
  </si>
  <si>
    <t>TNA difokuskan pada Orientasi pada Hasil, Pelayanan Publik, Integritas melalui kombinasi 70-20-10, yaitu:
1. Pelaksanaan pekerjaan inti PBJ (pendampingan dan pemilihan penyedia jasa), 
2. Mentoring/ Dialog Kinerja, dan 
3. Pelatihan formal yang sesuai.</t>
  </si>
  <si>
    <r>
      <rPr>
        <b/>
        <sz val="11"/>
        <color rgb="FF000000"/>
        <rFont val="Times New Roman"/>
      </rPr>
      <t xml:space="preserve">INTEGRITAS:
</t>
    </r>
    <r>
      <rPr>
        <sz val="11"/>
        <color rgb="FF000000"/>
        <rFont val="Times New Roman"/>
      </rPr>
      <t xml:space="preserve">Memperkuat kepatuhan terhadap kode etik, pakta integritas, bebas konflik kepentingan, objektivitas evaluasi, dan pencegahan gratifikasi dalam proses pemilihan penyedia.
</t>
    </r>
    <r>
      <rPr>
        <b/>
        <sz val="11"/>
        <color rgb="FF000000"/>
        <rFont val="Times New Roman"/>
      </rPr>
      <t xml:space="preserve">
PEREKAT BANGSA:
</t>
    </r>
    <r>
      <rPr>
        <sz val="11"/>
        <color rgb="FF000000"/>
        <rFont val="Times New Roman"/>
      </rPr>
      <t>Memperkuat netralitas ASN, sikap adil, non-diskriminatif, dan kemampuan menjaga hubungan kerja yang harmonis dalam layanan PBJ.</t>
    </r>
  </si>
  <si>
    <r>
      <rPr>
        <b/>
        <sz val="11"/>
        <color rgb="FF000000"/>
        <rFont val="Times New Roman"/>
      </rPr>
      <t xml:space="preserve">INTEGRITAS:
</t>
    </r>
    <r>
      <rPr>
        <sz val="11"/>
        <color rgb="FF000000"/>
        <rFont val="Times New Roman"/>
      </rPr>
      <t xml:space="preserve">Dialog dengan Pokja senior/Tim Peneliti terkait dilema integritas dalam evaluasi, konflik kepentingan, gratifikasi, dan cara menghadapi tekanan eksternal.
</t>
    </r>
    <r>
      <rPr>
        <b/>
        <sz val="11"/>
        <color rgb="FF000000"/>
        <rFont val="Times New Roman"/>
      </rPr>
      <t xml:space="preserve">
PEREKAT BANGSA:
</t>
    </r>
    <r>
      <rPr>
        <sz val="11"/>
        <color rgb="FF000000"/>
        <rFont val="Times New Roman"/>
      </rPr>
      <t>Dialog kinerja bisa pada saat monev terkait nilai dasar ASN, netralitas, toleransi, komunikasi lintas pihak, dan penyelesaian perbedaan pendapat dalam tim tanpa konflik personal.</t>
    </r>
  </si>
  <si>
    <t>Berkoordinasi dalam pembagian tugas evaluasi administrasi, teknis, harga, dan kualifikasi; mengikuti rapat Pokja secara aktif; menyampaikan progres dan kendala; membantu anggota tim menyelesaikan tahap evaluasi sesuai jadwal.</t>
  </si>
  <si>
    <t>Memberikan respons konsultasi/klarifikasi sesuai kewenangan; menyampaikan informasi proses pemilihan melalui kanal resmi; menindaklanjuti permintaan informasi/pengaduan sesuai prosedur; menjaga sikap layanan yang netral dan profesional.</t>
  </si>
  <si>
    <t>Daffah Ulfi Rahmatillah,SH
199609182019032008
Penata Muda Tingkat I / III/b</t>
  </si>
  <si>
    <t>Arie Ardiansyah, SH
199407312019031006
Penata Muda Tingkat I / III/b</t>
  </si>
  <si>
    <t>Dyah Kusumaning Putri, S.E
198405012010122005
Penata Tingkat I / III/d</t>
  </si>
  <si>
    <t>Febrian Sandhi Festanto, SH
198902192019031006
Penata Muda / III/a</t>
  </si>
  <si>
    <t>TNA difokuskan pada Orientasi pada Hasil, Pengembangan Diri dan Orang Lain melalui kombinasi 70-20-10, yaitu:
1. Pelaksanaan pekerjaan inti PBJ (pe, 
2. Mentoring, dan 
3. Pelatihan formal yang sesuai.</t>
  </si>
  <si>
    <t>Telah dilaksanakan tepat waktu sampai TW I</t>
  </si>
  <si>
    <t>Target terpenuhi sehingga tidak ada dialog kinerja</t>
  </si>
  <si>
    <t>Telah dilaksankan sebanyak 2JP</t>
  </si>
  <si>
    <t>Telah dilaksankan sebanyak 6JP (komulatif sampai TW II)</t>
  </si>
  <si>
    <r>
      <rPr>
        <sz val="11"/>
        <color rgb="FF000000"/>
        <rFont val="Times New Roman"/>
      </rPr>
      <t xml:space="preserve">Mengikuti </t>
    </r>
    <r>
      <rPr>
        <i/>
        <sz val="11"/>
        <color rgb="FF000000"/>
        <rFont val="Times New Roman"/>
      </rPr>
      <t xml:space="preserve">sharing session </t>
    </r>
    <r>
      <rPr>
        <sz val="11"/>
        <color rgb="FF000000"/>
        <rFont val="Times New Roman"/>
      </rPr>
      <t>dan menyampaikan opini pada pembahasan terkait penyamaan persepsi evaluasi SIMPAN</t>
    </r>
  </si>
  <si>
    <t>Sasetyo Gilang Kusumo, SH
199104052019031011
Penata Muda Tingkat I / III/b</t>
  </si>
  <si>
    <r>
      <rPr>
        <sz val="11"/>
        <color rgb="FF000000"/>
        <rFont val="Times New Roman"/>
      </rPr>
      <t xml:space="preserve">Pelatihan terkait PBJ/ </t>
    </r>
    <r>
      <rPr>
        <i/>
        <sz val="11"/>
        <color rgb="FF000000"/>
        <rFont val="Times New Roman"/>
      </rPr>
      <t>Training of Trainer</t>
    </r>
  </si>
  <si>
    <t>Gunawan Arif Wibowo, S.AP., M.T
198711072010121001
Penata Tingkat I / III/d</t>
  </si>
  <si>
    <t>TNA difokuskan pada Kerja sama, Orientasi pada Hasil, Pengembangan diri dan orang lain melalui kombinasi 70-20-10, yaitu:
1. Pelaksanaan pekerjaan inti PBJ (konsultasi/ pendampingan), 
2. Mentoring/ Dialog Kinerja, dan 
3. Pelatihan formal yang sesuai.</t>
  </si>
  <si>
    <t>Fauzianggi Rahmi Fitri, S.E.,M.T.
198606102010122002
Penata Tingkat I / III/d</t>
  </si>
  <si>
    <t>TNA difokuskan pada Pengambilan Keputusan, Integritas, Kerjasama melalui kombinasi 70-20-10: OJT pekerjaan inti PBJ, coaching/mentoring atasan/SME, dan pelatihan formal sesuai katalog.</t>
  </si>
  <si>
    <r>
      <rPr>
        <b/>
        <sz val="11"/>
        <color rgb="FF000000"/>
        <rFont val="Times New Roman"/>
      </rPr>
      <t xml:space="preserve">INTEGRITAS:
</t>
    </r>
    <r>
      <rPr>
        <sz val="11"/>
        <color rgb="FF000000"/>
        <rFont val="Times New Roman"/>
      </rPr>
      <t xml:space="preserve">1. Melaksanakan evaluasi penawaran sesuai dokumen pemilihan dan ketentuan, 
2. Mengisi deklarasi konflik kepentingan/ pakta integritas, 
3. Mendokumentasikan alasan evaluasi secara objektif, 
4. Menjaga kerahasiaan dokumen penawaran.
</t>
    </r>
    <r>
      <rPr>
        <b/>
        <sz val="11"/>
        <color rgb="FF000000"/>
        <rFont val="Times New Roman"/>
      </rPr>
      <t xml:space="preserve">
PEREKAT BANGSA:
</t>
    </r>
    <r>
      <rPr>
        <sz val="11"/>
        <color rgb="FF000000"/>
        <rFont val="Times New Roman"/>
      </rPr>
      <t>1. Melaksanakan proses evaluasi tanpa membedakan latar belakang penyedia
2. Menjaga netralitas dalam komunikasi dengan pihak terkait 
3. Menjaga suasana kerja tim yang saling menghargai.</t>
    </r>
  </si>
  <si>
    <t>BELUM ADA HASIL UJI KOMPETENDI PADA E-NOMINASI/ E-KARIR SEHINGGA PERHITUNGAN GAP MENGGUNAKAN NILAI KINERJA SESUAI JABATAN MASING-MASING PERSONIL</t>
  </si>
  <si>
    <t>Edi Pramono, ST
197202092014121003
Penata Muda Tingkat I / III/b</t>
  </si>
  <si>
    <t>Prioritas 1 - Korektif</t>
  </si>
  <si>
    <r>
      <rPr>
        <b/>
        <sz val="11"/>
        <color rgb="FF000000"/>
        <rFont val="Times New Roman"/>
      </rPr>
      <t xml:space="preserve">Berdasarkan Capaian Kinerja BMN, yaitu:
</t>
    </r>
    <r>
      <rPr>
        <sz val="11"/>
        <color rgb="FF000000"/>
        <rFont val="Times New Roman"/>
      </rPr>
      <t>Capaian kinerja pengelolaan BMN 87,5 dari target 90 sehingga perlu perbaikan dan pengendalian di TA 2026</t>
    </r>
  </si>
  <si>
    <r>
      <rPr>
        <sz val="11"/>
        <color rgb="FF000000"/>
        <rFont val="Times New Roman"/>
      </rPr>
      <t xml:space="preserve">20 JP per tahun yang dapat dipenuhi dengan kombinasi pelatihan formal/ </t>
    </r>
    <r>
      <rPr>
        <i/>
        <sz val="11"/>
        <color rgb="FF000000"/>
        <rFont val="Times New Roman"/>
      </rPr>
      <t>coaching</t>
    </r>
    <r>
      <rPr>
        <sz val="11"/>
        <color rgb="FF000000"/>
        <rFont val="Times New Roman"/>
      </rPr>
      <t xml:space="preserve">/ </t>
    </r>
    <r>
      <rPr>
        <i/>
        <sz val="11"/>
        <color rgb="FF000000"/>
        <rFont val="Times New Roman"/>
      </rPr>
      <t>mentoring</t>
    </r>
    <r>
      <rPr>
        <sz val="11"/>
        <color rgb="FF000000"/>
        <rFont val="Times New Roman"/>
      </rPr>
      <t>/ dialog kinerja/ FGD/Internalisasi/ Sosialisasi/ OJT/ sharing session dan lainnya terkait BMN</t>
    </r>
  </si>
  <si>
    <t xml:space="preserve">1. Orientasi pada Hasil; 
2. Mengelola Perubahan
3. Komunikasi; 
4. Kerja Sama; </t>
  </si>
  <si>
    <t>Penguatan orientasi hasil, kemampuan adaptasi terhadap perubahan sistem/ prosedur BMN, komunikasi administratif yang jelas dan terdokumentasi, serta kerja sama lintas unit agar inventarisasi, rekonsiliasi, pemutakhiran data aset, dan tindak lanjut pengelolaan BMN berjalan lebih tertib, lengkap, tepat waktu, dan sesuai indikator kinerja.</t>
  </si>
  <si>
    <r>
      <rPr>
        <sz val="11"/>
        <color rgb="FF000000"/>
        <rFont val="Times New Roman"/>
      </rPr>
      <t xml:space="preserve">Penugasan langsung berupa </t>
    </r>
    <r>
      <rPr>
        <i/>
        <sz val="11"/>
        <color rgb="FF000000"/>
        <rFont val="Times New Roman"/>
      </rPr>
      <t>tracking</t>
    </r>
    <r>
      <rPr>
        <sz val="11"/>
        <color rgb="FF000000"/>
        <rFont val="Times New Roman"/>
      </rPr>
      <t xml:space="preserve"> capaian BMN, inventarisasi, rekonsiliasi, pemutakhiran data aset, digitalisasi arsip BMN</t>
    </r>
  </si>
  <si>
    <t>Dialog kinerja berkala terkait BMN</t>
  </si>
  <si>
    <t>pelatihan formal terkait penatausahaan BMN/ SAKTI/ SIMAN aset/ rekonsiliasi BMN/ pengelolaan aset negara.</t>
  </si>
  <si>
    <t>Laporan terkait BMN, Notulen, absen, sertifikat, surat tugas</t>
  </si>
  <si>
    <t>Deinald Yuferson Damaledo, S.T
198006112007011008
Penata Muda Tingkat I / III/b</t>
  </si>
  <si>
    <t>Tidak ada Gap Negatif</t>
  </si>
  <si>
    <t>Prioritas 3 Preventif</t>
  </si>
  <si>
    <r>
      <rPr>
        <b/>
        <sz val="11"/>
        <color rgb="FF000000"/>
        <rFont val="Times New Roman"/>
      </rPr>
      <t xml:space="preserve">Berdasarkan Kinerja Pokja untuk Penyelesaian Proses Pemilihan, yaitu:
</t>
    </r>
    <r>
      <rPr>
        <sz val="11"/>
        <color rgb="FF000000"/>
        <rFont val="Times New Roman"/>
      </rPr>
      <t xml:space="preserve">Tidak ada paket terlambat, tetapi terdapat 1 paket </t>
    </r>
    <r>
      <rPr>
        <i/>
        <sz val="11"/>
        <color rgb="FF000000"/>
        <rFont val="Times New Roman"/>
      </rPr>
      <t>early warning</t>
    </r>
    <r>
      <rPr>
        <sz val="11"/>
        <color rgb="FF000000"/>
        <rFont val="Times New Roman"/>
      </rPr>
      <t xml:space="preserve"> (sisa waktu penyelesaian/margin ≤5 HK) dan 1 paket waspada (sisa waktu penyelesaian/margin minimum 0 HK).
</t>
    </r>
    <r>
      <rPr>
        <b/>
        <sz val="11"/>
        <color rgb="FF000000"/>
        <rFont val="Times New Roman"/>
      </rPr>
      <t>TNA difokuskan</t>
    </r>
    <r>
      <rPr>
        <sz val="11"/>
        <color rgb="FF000000"/>
        <rFont val="Times New Roman"/>
      </rPr>
      <t xml:space="preserve"> pada Orientasi pada Hasil, Pengambilan Keputusan, Komunikasi, Kerja Sama, Mengelola Perubahan, dan Integritas PBJ</t>
    </r>
  </si>
  <si>
    <t>1. Orientasi pada Hasil; 
2. Pengambilan Keputusan; 
3. Komunikasi; 
4. Kerja Sama; 
5. Mengelola Perubahan; 
6. Integritas PBJ</t>
  </si>
  <si>
    <r>
      <rPr>
        <sz val="11"/>
        <color rgb="FF000000"/>
        <rFont val="Times New Roman"/>
      </rPr>
      <t xml:space="preserve">Pencegahan keterlambatan melalui penguatan </t>
    </r>
    <r>
      <rPr>
        <i/>
        <sz val="11"/>
        <color rgb="FF000000"/>
        <rFont val="Times New Roman"/>
      </rPr>
      <t>early warning</t>
    </r>
    <r>
      <rPr>
        <sz val="11"/>
        <color rgb="FF000000"/>
        <rFont val="Times New Roman"/>
      </rPr>
      <t xml:space="preserve">, pengendalian </t>
    </r>
    <r>
      <rPr>
        <i/>
        <sz val="11"/>
        <color rgb="FF000000"/>
        <rFont val="Times New Roman"/>
      </rPr>
      <t>milestone</t>
    </r>
    <r>
      <rPr>
        <sz val="11"/>
        <color rgb="FF000000"/>
        <rFont val="Times New Roman"/>
      </rPr>
      <t>, koordinasi tim, dan percepatan tahap evaluasi/klarifikasi.</t>
    </r>
  </si>
  <si>
    <r>
      <rPr>
        <sz val="11"/>
        <color rgb="FF000000"/>
        <rFont val="Times New Roman"/>
      </rPr>
      <t xml:space="preserve">1. Menggunakan dashboard progres pemilihan sebagai </t>
    </r>
    <r>
      <rPr>
        <i/>
        <sz val="11"/>
        <color rgb="FF000000"/>
        <rFont val="Times New Roman"/>
      </rPr>
      <t xml:space="preserve">early warning
</t>
    </r>
    <r>
      <rPr>
        <sz val="11"/>
        <color rgb="FF000000"/>
        <rFont val="Times New Roman"/>
      </rPr>
      <t>2. Membagi tugas evaluasi paralel
3. Menyiapkan format BA/template klarifikasi lebih awal.</t>
    </r>
  </si>
  <si>
    <t>1. Dialog kinerja dengan Pokja senior/Tim Peneliti/ Tim Pelaksana terkait kendala proses pemilihan dan eskalasi kendala kepada pimpinan.
2. Dialog kinerja dengan pimpinan terkait prioritas penyelesaian paket kritis</t>
  </si>
  <si>
    <t>Dashboard progres paket, BAHP, Notulen, Form dialog kinerja, Absen, Sertifikat, Surat Tugas</t>
  </si>
  <si>
    <t>Agus Hakim, S.E.
197103072007011001
Penata Muda / III/a</t>
  </si>
  <si>
    <t>Prioritas 4 Monitoring</t>
  </si>
  <si>
    <r>
      <rPr>
        <b/>
        <sz val="11"/>
        <color rgb="FF000000"/>
        <rFont val="Times New Roman"/>
      </rPr>
      <t xml:space="preserve">Berdasarkan Kinerja Pokja untuk Penyelesaian Proses Pemilihan, yaitu:
</t>
    </r>
    <r>
      <rPr>
        <sz val="11"/>
        <color rgb="FF000000"/>
        <rFont val="Times New Roman"/>
      </rPr>
      <t xml:space="preserve">Tidak ada paket terlambat, tetapi terdapat 1 paket waspada.
</t>
    </r>
    <r>
      <rPr>
        <b/>
        <sz val="11"/>
        <color rgb="FF000000"/>
        <rFont val="Times New Roman"/>
      </rPr>
      <t xml:space="preserve">TNA difokuskan </t>
    </r>
    <r>
      <rPr>
        <sz val="11"/>
        <color rgb="FF000000"/>
        <rFont val="Times New Roman"/>
      </rPr>
      <t>pada Orientasi pada Hasil, Pengambilan Keputusan, Komunikasi, Kerja Sama, Mengelola Perubahan, dan Integritas PBJ</t>
    </r>
  </si>
  <si>
    <t>Wan Achmad Reza Rinatha, S.T, M.T
198901072020121015
Penata Muda Tingkat I / III/b</t>
  </si>
  <si>
    <r>
      <rPr>
        <b/>
        <sz val="11"/>
        <color rgb="FF000000"/>
        <rFont val="Times New Roman"/>
      </rPr>
      <t xml:space="preserve">Berdasarkan Kinerja Pokja untuk Penyelesaian Proses Pemilihan, yaitu:
</t>
    </r>
    <r>
      <rPr>
        <sz val="11"/>
        <color rgb="FF000000"/>
        <rFont val="Times New Roman"/>
      </rPr>
      <t xml:space="preserve">Tidak ada paket terlambat, tetapi terdapat 1 paket waspada.
</t>
    </r>
    <r>
      <rPr>
        <b/>
        <sz val="11"/>
        <color rgb="FF000000"/>
        <rFont val="Times New Roman"/>
      </rPr>
      <t>TNA difokuskan</t>
    </r>
    <r>
      <rPr>
        <sz val="11"/>
        <color rgb="FF000000"/>
        <rFont val="Times New Roman"/>
      </rPr>
      <t xml:space="preserve"> pada Orientasi pada Hasil, Pengambilan Keputusan, Komunikasi, Kerja Sama, Mengelola Perubahan, dan Integritas PBJ</t>
    </r>
  </si>
  <si>
    <t>Teddy Marza Kurniawan, S.H
199103092019031009
Penata Muda Tingkat I / III/b</t>
  </si>
  <si>
    <t>Prioritas 2 - Preventif Tinggi</t>
  </si>
  <si>
    <r>
      <rPr>
        <b/>
        <sz val="11"/>
        <color rgb="FF000000"/>
        <rFont val="Times New Roman"/>
      </rPr>
      <t xml:space="preserve">Berdasarkan Kinerja Pokja untuk Penyelesaian Proses Pemilihan, yaitu:
</t>
    </r>
    <r>
      <rPr>
        <sz val="11"/>
        <color rgb="FF000000"/>
        <rFont val="Times New Roman"/>
      </rPr>
      <t xml:space="preserve">Tidak terlambat, tetapi terdapat 2 paket early warning.
</t>
    </r>
    <r>
      <rPr>
        <b/>
        <sz val="11"/>
        <color rgb="FF000000"/>
        <rFont val="Times New Roman"/>
      </rPr>
      <t>TNA difokuskan</t>
    </r>
    <r>
      <rPr>
        <sz val="11"/>
        <color rgb="FF000000"/>
        <rFont val="Times New Roman"/>
      </rPr>
      <t xml:space="preserve"> pada Orientasi pada Hasil, Pengambilan Keputusan, Komunikasi, Kerja Sama, Mengelola Perubahan, dan Integritas PBJ</t>
    </r>
  </si>
  <si>
    <t>Agnesia Margaretha Gunawan, S.IAN
199403092020122005
Penata Muda Tingkat I / III/b</t>
  </si>
  <si>
    <r>
      <rPr>
        <b/>
        <sz val="11"/>
        <color rgb="FF000000"/>
        <rFont val="Times New Roman"/>
      </rPr>
      <t xml:space="preserve">Berdasarkan Kinerja Pokja untuk Penyelesaian Proses Pemilihan, yaitu:
</t>
    </r>
    <r>
      <rPr>
        <sz val="11"/>
        <color rgb="FF000000"/>
        <rFont val="Times New Roman"/>
      </rPr>
      <t xml:space="preserve">Tidak terlambat, tetapi terdapat 1 paket waspada.
</t>
    </r>
    <r>
      <rPr>
        <b/>
        <sz val="11"/>
        <color rgb="FF000000"/>
        <rFont val="Times New Roman"/>
      </rPr>
      <t>TNA difokuskan</t>
    </r>
    <r>
      <rPr>
        <sz val="11"/>
        <color rgb="FF000000"/>
        <rFont val="Times New Roman"/>
      </rPr>
      <t xml:space="preserve"> pada Orientasi pada Hasil, Pengambilan Keputusan, Komunikasi, Kerja Sama, Mengelola Perubahan, dan Integritas PBJ</t>
    </r>
  </si>
  <si>
    <t>Khairu Annisa Hariadi, S.T.,M.T
199211052020122005
Penata Muda Tingkat I / III/b</t>
  </si>
  <si>
    <r>
      <rPr>
        <b/>
        <sz val="11"/>
        <color rgb="FF000000"/>
        <rFont val="Times New Roman"/>
      </rPr>
      <t xml:space="preserve">Berdasarkan Kinerja Pokja untuk Penyelesaian Proses Pemilihan, yaitu:
</t>
    </r>
    <r>
      <rPr>
        <sz val="11"/>
        <color rgb="FF000000"/>
        <rFont val="Times New Roman"/>
      </rPr>
      <t xml:space="preserve">Tidak ada paket terlambat.
</t>
    </r>
    <r>
      <rPr>
        <b/>
        <sz val="11"/>
        <color rgb="FF000000"/>
        <rFont val="Times New Roman"/>
      </rPr>
      <t>TNA difokuskan</t>
    </r>
    <r>
      <rPr>
        <sz val="11"/>
        <color rgb="FF000000"/>
        <rFont val="Times New Roman"/>
      </rPr>
      <t xml:space="preserve"> pada Orientasi pada Hasil, Pengambilan Keputusan, Komunikasi, Kerja Sama, Mengelola Perubahan, dan Integritas PBJ</t>
    </r>
  </si>
  <si>
    <t>Rifqathin Ulya, S.H.,M.H
199505132020122004
Penata Muda Tingkat I / III/b</t>
  </si>
  <si>
    <r>
      <rPr>
        <b/>
        <sz val="11"/>
        <color rgb="FF000000"/>
        <rFont val="Times New Roman"/>
      </rPr>
      <t xml:space="preserve">Berdasarkan Kinerja Pokja untuk Penyelesaian Proses Pemilihan, yaitu:
</t>
    </r>
    <r>
      <rPr>
        <sz val="11"/>
        <color rgb="FF000000"/>
        <rFont val="Times New Roman"/>
      </rPr>
      <t xml:space="preserve">Tidak ada paket terlambat.
</t>
    </r>
    <r>
      <rPr>
        <b/>
        <sz val="11"/>
        <color rgb="FF000000"/>
        <rFont val="Times New Roman"/>
      </rPr>
      <t xml:space="preserve">TNA difokuskan </t>
    </r>
    <r>
      <rPr>
        <sz val="11"/>
        <color rgb="FF000000"/>
        <rFont val="Times New Roman"/>
      </rPr>
      <t>pada Orientasi pada Hasil, Pengambilan Keputusan, Komunikasi, Kerja Sama, Mengelola Perubahan, dan Integritas PBJ</t>
    </r>
  </si>
  <si>
    <t>Bima Sakti Prayitno, ST
199510242020121003
Penata Muda Tingkat I / III/b</t>
  </si>
  <si>
    <r>
      <rPr>
        <b/>
        <sz val="11"/>
        <color rgb="FF000000"/>
        <rFont val="Times New Roman"/>
      </rPr>
      <t xml:space="preserve">Berdasarkan Kinerja Pokja untuk Penyelesaian Proses Pemilihan, yaitu:
</t>
    </r>
    <r>
      <rPr>
        <sz val="11"/>
        <color rgb="FF000000"/>
        <rFont val="Times New Roman"/>
      </rPr>
      <t xml:space="preserve">Tidak terlambat, tetapi terdapat 1 paket waspada.
</t>
    </r>
    <r>
      <rPr>
        <b/>
        <sz val="11"/>
        <color rgb="FF000000"/>
        <rFont val="Times New Roman"/>
      </rPr>
      <t xml:space="preserve">TNA difokuskan </t>
    </r>
    <r>
      <rPr>
        <sz val="11"/>
        <color rgb="FF000000"/>
        <rFont val="Times New Roman"/>
      </rPr>
      <t>pada Orientasi pada Hasil, Pengambilan Keputusan, Komunikasi, Kerja Sama, Mengelola Perubahan, dan Integritas PBJ</t>
    </r>
  </si>
  <si>
    <t>Maya Puspita Maharani, S.H.,LL.M
199209262020122006
Penata Muda Tingkat I / III/b</t>
  </si>
  <si>
    <r>
      <rPr>
        <b/>
        <sz val="11"/>
        <color rgb="FF000000"/>
        <rFont val="Times New Roman"/>
      </rPr>
      <t xml:space="preserve">Berdasarkan Kinerja Pokja untuk Penyelesaian Proses Pemilihan, yaitu:
</t>
    </r>
    <r>
      <rPr>
        <sz val="11"/>
        <color rgb="FF000000"/>
        <rFont val="Times New Roman"/>
      </rPr>
      <t xml:space="preserve">Tidak terlambat, tetapi terdapat 1 paket </t>
    </r>
    <r>
      <rPr>
        <i/>
        <sz val="11"/>
        <color rgb="FF000000"/>
        <rFont val="Times New Roman"/>
      </rPr>
      <t xml:space="preserve">early warning.
</t>
    </r>
    <r>
      <rPr>
        <b/>
        <sz val="11"/>
        <color rgb="FF000000"/>
        <rFont val="Times New Roman"/>
      </rPr>
      <t>TNA difokuskan</t>
    </r>
    <r>
      <rPr>
        <sz val="11"/>
        <color rgb="FF000000"/>
        <rFont val="Times New Roman"/>
      </rPr>
      <t xml:space="preserve"> pada Orientasi pada Hasil, Pengambilan Keputusan, Komunikasi, Kerja Sama, Mengelola Perubahan, dan Integritas PBJ</t>
    </r>
  </si>
  <si>
    <t>Rani Fajar Nestiti, S.T
199503292020122006
Penata Muda Tingkat I / III/b</t>
  </si>
  <si>
    <r>
      <rPr>
        <b/>
        <sz val="11"/>
        <color rgb="FF000000"/>
        <rFont val="Times New Roman"/>
      </rPr>
      <t xml:space="preserve">Berdasarkan Kinerja Pokja untuk Penyelesaian Proses Pemilihan, yaitu:
</t>
    </r>
    <r>
      <rPr>
        <sz val="11"/>
        <color rgb="FF000000"/>
        <rFont val="Times New Roman"/>
      </rPr>
      <t xml:space="preserve">Tidak terlambat, tetapi terdapat 2 paket waspada.
</t>
    </r>
    <r>
      <rPr>
        <b/>
        <sz val="11"/>
        <color rgb="FF000000"/>
        <rFont val="Times New Roman"/>
      </rPr>
      <t xml:space="preserve">TNA difokuskan </t>
    </r>
    <r>
      <rPr>
        <sz val="11"/>
        <color rgb="FF000000"/>
        <rFont val="Times New Roman"/>
      </rPr>
      <t>pada Orientasi pada Hasil, Pengambilan Keputusan, Komunikasi, Kerja Sama, Mengelola Perubahan, dan Integritas PBJ</t>
    </r>
  </si>
  <si>
    <t>Dwi Ananta Irwinsyah Putra, S.E.
199507152020121006
Penata Muda Tingkat I / III/b</t>
  </si>
  <si>
    <r>
      <rPr>
        <b/>
        <sz val="11"/>
        <color rgb="FF000000"/>
        <rFont val="Times New Roman"/>
      </rPr>
      <t xml:space="preserve">Berdasarkan Kinerja Pokja untuk Penyelesaian Proses Pemilihan, yaitu:
</t>
    </r>
    <r>
      <rPr>
        <sz val="11"/>
        <color rgb="FF000000"/>
        <rFont val="Times New Roman"/>
      </rPr>
      <t xml:space="preserve">Tidak terlambat, tetapi terdapat 1 paket early warning dan 1 paket waspada.
</t>
    </r>
    <r>
      <rPr>
        <b/>
        <sz val="11"/>
        <color rgb="FF000000"/>
        <rFont val="Times New Roman"/>
      </rPr>
      <t>TNA difokuskan</t>
    </r>
    <r>
      <rPr>
        <sz val="11"/>
        <color rgb="FF000000"/>
        <rFont val="Times New Roman"/>
      </rPr>
      <t xml:space="preserve"> pada Orientasi pada Hasil, Pengambilan Keputusan, Komunikasi, Kerja Sama, Mengelola Perubahan, dan Integritas PBJ</t>
    </r>
  </si>
  <si>
    <t>Dimas Al Hakim, S.H.
199501012020121010
Penata Muda Tingkat I / III/b</t>
  </si>
  <si>
    <t>Pungki Ario Pamungkas, S.E
199010082020121004
Penata Muda / III/a</t>
  </si>
  <si>
    <r>
      <rPr>
        <b/>
        <sz val="11"/>
        <color rgb="FF000000"/>
        <rFont val="Times New Roman"/>
      </rPr>
      <t>TNA difokuskan</t>
    </r>
    <r>
      <rPr>
        <sz val="11"/>
        <color rgb="FF000000"/>
        <rFont val="Times New Roman"/>
      </rPr>
      <t xml:space="preserve"> pada Orientasi pada Hasil, Pengambilan Keputusan, Komunikasi, Kerja Sama, Mengelola Perubahan, dan Integritas PBJ</t>
    </r>
  </si>
  <si>
    <t xml:space="preserve">Risa Monika, S.IP
198804212023212057
</t>
  </si>
  <si>
    <t>Prioritas 2 - Preventif Tinggi (ketua pokja baru)</t>
  </si>
  <si>
    <r>
      <rPr>
        <b/>
        <sz val="11"/>
        <color rgb="FF000000"/>
        <rFont val="Times New Roman"/>
      </rPr>
      <t xml:space="preserve">Berdasarkan Kinerja Pokja untuk Penyelesaian Proses Pemilihan, yaitu:
</t>
    </r>
    <r>
      <rPr>
        <sz val="11"/>
        <color rgb="FF000000"/>
        <rFont val="Times New Roman"/>
      </rPr>
      <t>Tidak ada paket terlambat (belum ditugaskan sebagai ketua)
TNA difokuskan pada Orientasi pada Hasil, Pengambilan Keputusan, Komunikasi, Kerja Sama, Mengelola Perubahan, dan Integritas PBJ</t>
    </r>
  </si>
  <si>
    <r>
      <rPr>
        <sz val="11"/>
        <color rgb="FF000000"/>
        <rFont val="Times New Roman"/>
      </rPr>
      <t xml:space="preserve">Maksimum 24 JP per tahun yang dapat dipenuhi dengan kombinasi pelatihan formal/ </t>
    </r>
    <r>
      <rPr>
        <i/>
        <sz val="11"/>
        <color rgb="FF000000"/>
        <rFont val="Times New Roman"/>
      </rPr>
      <t>coaching</t>
    </r>
    <r>
      <rPr>
        <sz val="11"/>
        <color rgb="FF000000"/>
        <rFont val="Times New Roman"/>
      </rPr>
      <t xml:space="preserve">/ </t>
    </r>
    <r>
      <rPr>
        <i/>
        <sz val="11"/>
        <color rgb="FF000000"/>
        <rFont val="Times New Roman"/>
      </rPr>
      <t>mentoring</t>
    </r>
    <r>
      <rPr>
        <sz val="11"/>
        <color rgb="FF000000"/>
        <rFont val="Times New Roman"/>
      </rPr>
      <t>/ dialog kinerja/ FGD/Internalisasi/ Sosialisasi/ OJT/ sharing session dan lainnya</t>
    </r>
  </si>
  <si>
    <t>PPPK</t>
  </si>
  <si>
    <t xml:space="preserve">Maryam Amin, S.E.
197402022023212011
</t>
  </si>
  <si>
    <r>
      <rPr>
        <b/>
        <sz val="11"/>
        <color rgb="FF000000"/>
        <rFont val="Times New Roman"/>
      </rPr>
      <t xml:space="preserve">Berdasarkan Kinerja Pokja untuk Penyelesaian Proses Pemilihan, yaitu:
</t>
    </r>
    <r>
      <rPr>
        <sz val="11"/>
        <color rgb="FF000000"/>
        <rFont val="Times New Roman"/>
      </rPr>
      <t>Tidak ada paket terlambat (belum ditugaskan sebagai ketua).
TNA difokuskan pada Orientasi pada Hasil, Pengambilan Keputusan, Komunikasi, Kerja Sama, Mengelola Perubahan, dan Integritas PBJ</t>
    </r>
  </si>
  <si>
    <t xml:space="preserve">Elly Sulistyowati, S.E.
198405252023212045
</t>
  </si>
  <si>
    <r>
      <rPr>
        <b/>
        <sz val="11"/>
        <color rgb="FF000000"/>
        <rFont val="Times New Roman"/>
      </rPr>
      <t xml:space="preserve">Berdasarkan Kinerja Pokja untuk Penyelesaian Proses Pemilihan, yaitu:
</t>
    </r>
    <r>
      <rPr>
        <sz val="11"/>
        <color rgb="FF000000"/>
        <rFont val="Times New Roman"/>
      </rPr>
      <t>Tidak ada paket terlambat.
TNA difokuskan pada Orientasi pada Hasil, Pengambilan Keputusan, Komunikasi, Kerja Sama, Mengelola Perubahan, dan Integritas PBJ</t>
    </r>
  </si>
  <si>
    <t xml:space="preserve">Siti Jauharoh Kartika Sari, S.I.Kom.
199404022023212032
</t>
  </si>
  <si>
    <r>
      <rPr>
        <b/>
        <sz val="11"/>
        <color rgb="FF000000"/>
        <rFont val="Times New Roman"/>
      </rPr>
      <t xml:space="preserve">Berdasarkan Nilai SKM, yaitu:
</t>
    </r>
    <r>
      <rPr>
        <sz val="11"/>
        <color rgb="FF000000"/>
        <rFont val="Times New Roman"/>
      </rPr>
      <t>Nilai SKM baik 2025, perlu peningkatan dan TNA difokuskan pada Orientasi pada hasil, Pelayanan Publik, Komunikasi, Kerja Sama, Mengelola Perubahan</t>
    </r>
  </si>
  <si>
    <t xml:space="preserve">Dhina Tri Hendriani, SE
197809102024212004
</t>
  </si>
  <si>
    <t>Ahnaf Dzaky Rheinanda, S.H.
200109082025061007
Penata Muda / III/a</t>
  </si>
  <si>
    <r>
      <rPr>
        <sz val="11"/>
        <color rgb="FF000000"/>
        <rFont val="Times New Roman"/>
      </rPr>
      <t xml:space="preserve">20 JP per tahun yang dapat dipenuhi dengan kombinasi pelatihan formal/ </t>
    </r>
    <r>
      <rPr>
        <i/>
        <sz val="11"/>
        <color rgb="FF000000"/>
        <rFont val="Times New Roman"/>
      </rPr>
      <t>coaching</t>
    </r>
    <r>
      <rPr>
        <sz val="11"/>
        <color rgb="FF000000"/>
        <rFont val="Times New Roman"/>
      </rPr>
      <t xml:space="preserve">/ </t>
    </r>
    <r>
      <rPr>
        <i/>
        <sz val="11"/>
        <color rgb="FF000000"/>
        <rFont val="Times New Roman"/>
      </rPr>
      <t>mentoring</t>
    </r>
    <r>
      <rPr>
        <sz val="11"/>
        <color rgb="FF000000"/>
        <rFont val="Times New Roman"/>
      </rPr>
      <t>/ dialog kinerja/ FGD/Internalisasi/ Sosialisasi/ OJT/ sharing session dan lainnya terkait PBJ dan Integritas</t>
    </r>
  </si>
  <si>
    <t>Belum ada di E-Nominasi menggunakan GAP berdasarkan perhitungan kinerja sebagai tim pelaksana</t>
  </si>
  <si>
    <t>Dashboard progres paket, BA Pendampingan, Notulen, Form dialog kinerja, Absen, Sertifikat, Surat Tugas</t>
  </si>
  <si>
    <t>Aisyah Nihayah Ni'mah, S.I.Kom
199904102025062014
Penata Muda / III/a</t>
  </si>
  <si>
    <r>
      <rPr>
        <b/>
        <sz val="11"/>
        <color rgb="FF000000"/>
        <rFont val="Times New Roman"/>
      </rPr>
      <t xml:space="preserve">Berdasarkan Nilai SKM, yaitu:
</t>
    </r>
    <r>
      <rPr>
        <sz val="11"/>
        <color rgb="FF000000"/>
        <rFont val="Times New Roman"/>
      </rPr>
      <t>Nilai SKM baik 2025, perlu peningkatan dan TNA difokuskan pada Orientasi pada hasil, Pelayanan Publik, Komunikasi, Kerja Sama, Mengelola Perubahan dan Integritas</t>
    </r>
  </si>
  <si>
    <r>
      <rPr>
        <sz val="11"/>
        <color rgb="FF000000"/>
        <rFont val="Times New Roman"/>
      </rPr>
      <t xml:space="preserve">20 JP per tahun yang dapat dipenuhi dengan kombinasi pelatihan formal/ </t>
    </r>
    <r>
      <rPr>
        <i/>
        <sz val="11"/>
        <color rgb="FF000000"/>
        <rFont val="Times New Roman"/>
      </rPr>
      <t>coaching</t>
    </r>
    <r>
      <rPr>
        <sz val="11"/>
        <color rgb="FF000000"/>
        <rFont val="Times New Roman"/>
      </rPr>
      <t xml:space="preserve">/ </t>
    </r>
    <r>
      <rPr>
        <i/>
        <sz val="11"/>
        <color rgb="FF000000"/>
        <rFont val="Times New Roman"/>
      </rPr>
      <t>mentoring</t>
    </r>
    <r>
      <rPr>
        <sz val="11"/>
        <color rgb="FF000000"/>
        <rFont val="Times New Roman"/>
      </rPr>
      <t>/ dialog kinerja/ FGD/Internalisasi/ Sosialisasi/ OJT/ sharing session dan lainnya</t>
    </r>
  </si>
  <si>
    <t>CPNS:
1. Orientasi pada hasil, 
2. Pelayanan Publik, 
3. Komunikasi, 
4. Kerja Sama, 
5. Mengelola Perubahan
6. Integritas</t>
  </si>
  <si>
    <t>Amridio Zulhilmi Saifinnuha, S.Kom
199601282025061008
Penata Muda / III/a</t>
  </si>
  <si>
    <r>
      <rPr>
        <sz val="11"/>
        <color rgb="FF000000"/>
        <rFont val="Times New Roman"/>
      </rPr>
      <t xml:space="preserve">20 JP per tahun yang dapat dipenuhi dengan kombinasi pelatihan formal/ </t>
    </r>
    <r>
      <rPr>
        <i/>
        <sz val="11"/>
        <color rgb="FF000000"/>
        <rFont val="Times New Roman"/>
      </rPr>
      <t>coaching</t>
    </r>
    <r>
      <rPr>
        <sz val="11"/>
        <color rgb="FF000000"/>
        <rFont val="Times New Roman"/>
      </rPr>
      <t xml:space="preserve">/ </t>
    </r>
    <r>
      <rPr>
        <i/>
        <sz val="11"/>
        <color rgb="FF000000"/>
        <rFont val="Times New Roman"/>
      </rPr>
      <t>mentoring</t>
    </r>
    <r>
      <rPr>
        <sz val="11"/>
        <color rgb="FF000000"/>
        <rFont val="Times New Roman"/>
      </rPr>
      <t>/ dialog kinerja/ FGD/Internalisasi/ Sosialisasi/ OJT/ sharing session dan lainnya terkait IT/ Pengolahan data dan informasi serta integritas</t>
    </r>
  </si>
  <si>
    <t>Ardhi Wisnu Nugraha, S.T.
199306182025061004
Penata Muda / III/a</t>
  </si>
  <si>
    <t>Aulia Hurin In, A.Md.
199812102025062013
Pengatur / II/c</t>
  </si>
  <si>
    <t>D3</t>
  </si>
  <si>
    <r>
      <rPr>
        <sz val="11"/>
        <color rgb="FF000000"/>
        <rFont val="Times New Roman"/>
      </rPr>
      <t xml:space="preserve">20 JP per tahun yang dapat dipenuhi dengan kombinasi pelatihan formal/ </t>
    </r>
    <r>
      <rPr>
        <i/>
        <sz val="11"/>
        <color rgb="FF000000"/>
        <rFont val="Times New Roman"/>
      </rPr>
      <t>coaching</t>
    </r>
    <r>
      <rPr>
        <sz val="11"/>
        <color rgb="FF000000"/>
        <rFont val="Times New Roman"/>
      </rPr>
      <t xml:space="preserve">/ </t>
    </r>
    <r>
      <rPr>
        <i/>
        <sz val="11"/>
        <color rgb="FF000000"/>
        <rFont val="Times New Roman"/>
      </rPr>
      <t>mentoring</t>
    </r>
    <r>
      <rPr>
        <sz val="11"/>
        <color rgb="FF000000"/>
        <rFont val="Times New Roman"/>
      </rPr>
      <t>/ dialog kinerja/ FGD/Internalisasi/ Sosialisasi/ OJT/ sharing session dan lainnya terkait tata persuratan dan arsip serta integritas</t>
    </r>
  </si>
  <si>
    <t>Chofifa Hidayati, S.Kom
200005242025062015
Penata Muda / III/a</t>
  </si>
  <si>
    <r>
      <rPr>
        <sz val="11"/>
        <color rgb="FF000000"/>
        <rFont val="Times New Roman"/>
      </rPr>
      <t xml:space="preserve">20 JP per tahun yang dapat dipenuhi dengan kombinasi pelatihan formal/ </t>
    </r>
    <r>
      <rPr>
        <i/>
        <sz val="11"/>
        <color rgb="FF000000"/>
        <rFont val="Times New Roman"/>
      </rPr>
      <t>coaching</t>
    </r>
    <r>
      <rPr>
        <sz val="11"/>
        <color rgb="FF000000"/>
        <rFont val="Times New Roman"/>
      </rPr>
      <t xml:space="preserve">/ </t>
    </r>
    <r>
      <rPr>
        <i/>
        <sz val="11"/>
        <color rgb="FF000000"/>
        <rFont val="Times New Roman"/>
      </rPr>
      <t>mentoring</t>
    </r>
    <r>
      <rPr>
        <sz val="11"/>
        <color rgb="FF000000"/>
        <rFont val="Times New Roman"/>
      </rPr>
      <t>/ dialog kinerja/ FGD/Internalisasi/ Sosialisasi/ OJT/ sharing session dan lainnya terkait IT/ Pengolahan data/ SDM dan integritas</t>
    </r>
  </si>
  <si>
    <t>Dahniar Achlis, S.Ars.
200004012025062021
Penata Muda / III/a</t>
  </si>
  <si>
    <t>Farah Rosa Bela Asnawi, S.Ars
199811192025062016
Penata Muda / III/a</t>
  </si>
  <si>
    <t>Lalu Yodit Dwi Anggara, S.Ars.
200106272025061012
Penata Muda / III/a</t>
  </si>
  <si>
    <t>Moh. Wildan Andhra Kusuma, S.T.
200106072025061010
Penata Muda / III/a</t>
  </si>
  <si>
    <t>Namiratus Syarifah, S.T.
200211182025062004
Penata Muda / III/a</t>
  </si>
  <si>
    <t>Pingkan Ernomo Putri, A.Md 
199701232025062017
Pengatur / II/c</t>
  </si>
  <si>
    <t>Rahmanda Rafsyanjani, S.Ak.
199909082025061013
Penata Muda / III/a</t>
  </si>
  <si>
    <r>
      <rPr>
        <sz val="11"/>
        <color rgb="FF000000"/>
        <rFont val="Times New Roman"/>
      </rPr>
      <t xml:space="preserve">20 JP per tahun yang dapat dipenuhi dengan kombinasi pelatihan formal/ </t>
    </r>
    <r>
      <rPr>
        <i/>
        <sz val="11"/>
        <color rgb="FF000000"/>
        <rFont val="Times New Roman"/>
      </rPr>
      <t>coaching</t>
    </r>
    <r>
      <rPr>
        <sz val="11"/>
        <color rgb="FF000000"/>
        <rFont val="Times New Roman"/>
      </rPr>
      <t xml:space="preserve">/ </t>
    </r>
    <r>
      <rPr>
        <i/>
        <sz val="11"/>
        <color rgb="FF000000"/>
        <rFont val="Times New Roman"/>
      </rPr>
      <t>mentoring</t>
    </r>
    <r>
      <rPr>
        <sz val="11"/>
        <color rgb="FF000000"/>
        <rFont val="Times New Roman"/>
      </rPr>
      <t>/ dialog kinerja/ FGD/Internalisasi/ Sosialisasi/ OJT/ sharing session dan lainnya terikait keuangan/ anggaran dan integritas</t>
    </r>
  </si>
  <si>
    <t>Richardo Pratama Uruilal, S.T.
200012162025061011
Penata Muda / III/a</t>
  </si>
  <si>
    <t>Shabira Almaas Yanaayuri, S.Sn.
199701202025062007
Penata Muda / III/a</t>
  </si>
  <si>
    <t xml:space="preserve">Dea Septiani, S.ST
199209222025212031
</t>
  </si>
  <si>
    <r>
      <rPr>
        <sz val="11"/>
        <color rgb="FF000000"/>
        <rFont val="Times New Roman"/>
      </rPr>
      <t xml:space="preserve">Maksimum 24 JP per tahun yang dapat dipenuhi dengan kombinasi pelatihan formal/ </t>
    </r>
    <r>
      <rPr>
        <i/>
        <sz val="11"/>
        <color rgb="FF000000"/>
        <rFont val="Times New Roman"/>
      </rPr>
      <t>coaching</t>
    </r>
    <r>
      <rPr>
        <sz val="11"/>
        <color rgb="FF000000"/>
        <rFont val="Times New Roman"/>
      </rPr>
      <t xml:space="preserve">/ </t>
    </r>
    <r>
      <rPr>
        <i/>
        <sz val="11"/>
        <color rgb="FF000000"/>
        <rFont val="Times New Roman"/>
      </rPr>
      <t>mentoring</t>
    </r>
    <r>
      <rPr>
        <sz val="11"/>
        <color rgb="FF000000"/>
        <rFont val="Times New Roman"/>
      </rPr>
      <t>/ dialog kinerja/ FGD/Internalisasi/ Sosialisasi/ OJT/ sharing session dan lainnya terkait BMN</t>
    </r>
  </si>
  <si>
    <t xml:space="preserve">Rudi Arifin
198406102025211053
</t>
  </si>
  <si>
    <t>SLTA</t>
  </si>
  <si>
    <t xml:space="preserve">Muklis Sugeng Hariadi
198207252025211025
</t>
  </si>
  <si>
    <t xml:space="preserve">Sapto Daryanto
197603282025212016
</t>
  </si>
  <si>
    <t xml:space="preserve">Budi Prayitno Utomo
199103282025211046
</t>
  </si>
  <si>
    <t xml:space="preserve">Wiji Putra Imaskadiyawanto
199301172025211033
</t>
  </si>
  <si>
    <t>*) hasil terdapat pada E-nominasi</t>
  </si>
  <si>
    <t>Keterangan: Berdasarkan Peraturan Kepala BKN Nomor 28 Tahun 2020</t>
  </si>
  <si>
    <t>Kepala Balai Pelaksana Pemilihan Jasa Konstruksi</t>
  </si>
  <si>
    <t>Wilayah Jawa Timur</t>
  </si>
  <si>
    <t>NIP. 196908221998031005</t>
  </si>
  <si>
    <t>DATA PEMENUHAN KOMPETENSI ASN BP2JK WILAYAH JAWA TIMUR</t>
  </si>
  <si>
    <t>NAMA PERSONIL</t>
  </si>
  <si>
    <t>NAMA DIKLAT</t>
  </si>
  <si>
    <t>TANGGAL PELAKSANAAN</t>
  </si>
  <si>
    <t>PELAKSANA DIKLAT</t>
  </si>
  <si>
    <t>JUMLAH JP</t>
  </si>
  <si>
    <t>JP</t>
  </si>
  <si>
    <t>TOTAL JP</t>
  </si>
  <si>
    <t>PEMENUHAN JP</t>
  </si>
  <si>
    <t>LINK BUKTI DUKUNG SERTIFIKAT</t>
  </si>
  <si>
    <t>Link kumpul data dukung:</t>
  </si>
  <si>
    <t>Sertifikat BP2JK Jatim</t>
  </si>
  <si>
    <t>Klinik BIM PU #43 - Transformasi Tata Kelola Dokumen
Proyek melalui Common Data Environment (CDE)</t>
  </si>
  <si>
    <t>14 Januri 2026</t>
  </si>
  <si>
    <t xml:space="preserve">Pusat Data dan Teknologi Informasi </t>
  </si>
  <si>
    <t>1169/STF/Sd/202</t>
  </si>
  <si>
    <t>1. Sertifikat CDE Ode.pdf</t>
  </si>
  <si>
    <t>Tadaa!:Tanya Pengadaan Episode 12- Pengadaan Barang/Jasa
Berkelanjutan: Dari Regulasi Menuju Implementasi di Kementerian
Pekerjaan Umum</t>
  </si>
  <si>
    <t>Direktorat Pengadaan Jasa Konstruksi Direktorat Jenderal Bina Konstruksi</t>
  </si>
  <si>
    <t>2153/STF/Kj/2026</t>
  </si>
  <si>
    <t>2. Sertifikat Tada eps 12 Ode.pdf</t>
  </si>
  <si>
    <t>Webinar Series Kepatuhan Intern dan Tata Kelola Bina Konstruksi (KITABina) dengan tema Pengendalian Gratifikasi di Hari Raya</t>
  </si>
  <si>
    <t xml:space="preserve">6261/STF/Ki/2026
</t>
  </si>
  <si>
    <t>3. Serifikat Gratifikasi Ode.pdf</t>
  </si>
  <si>
    <t>Bimbingan Teknis Pembinaan Kinerja melalui Coaching, Mentoring dan Counselling (CMC) untuk Pejabat Administrator dan Pejabat Pengawas di Kementerian PU Tahun 2026</t>
  </si>
  <si>
    <t>7 - 8 April 2026</t>
  </si>
  <si>
    <t>Pusat Pengelolaan Talenta</t>
  </si>
  <si>
    <t>193/STF/Km/2026</t>
  </si>
  <si>
    <t>4. Sertifikat CMC Ode.pdf</t>
  </si>
  <si>
    <t>Aparatur Sipil Negara (ASN) Berintegritas (E-Learning)</t>
  </si>
  <si>
    <t>6 - 10 April 2026</t>
  </si>
  <si>
    <t>Bapekom PU Wilayah VI Surabaya</t>
  </si>
  <si>
    <t>Proses</t>
  </si>
  <si>
    <t>Pengelolaan Manajemen Risiko (E-Learning)</t>
  </si>
  <si>
    <t>13-22 April 2026</t>
  </si>
  <si>
    <t>Bapekom PU Wilayah IX Jayapura</t>
  </si>
  <si>
    <t>Masih Berjalan</t>
  </si>
  <si>
    <t>DAFTAR PENGEMBANGAN KOMPETENSI SECARA MANDIRI BP2JK WILAYAH JAWA TIMUR</t>
  </si>
  <si>
    <t>Jenis Kompetensi (Teknis/ Manajerial)</t>
  </si>
  <si>
    <t>Metode (Coaching/ Mentoring/ Counseling)</t>
  </si>
  <si>
    <t>Nama Coach/ Mentor/ Counseler</t>
  </si>
  <si>
    <t>Judul Kegiatan</t>
  </si>
  <si>
    <t>Output yang dihasilkan</t>
  </si>
  <si>
    <t>Mentoring</t>
  </si>
  <si>
    <t>Mentor:
Husnan Tajrie, ST., MT.
Co Mentor:
Fadlilah Rohmadani, S.ST</t>
  </si>
  <si>
    <t>Batch 1 : 10 Juli 2025 s.d. 24 Oktober 2025</t>
  </si>
  <si>
    <r>
      <rPr>
        <sz val="10"/>
        <color rgb="FF000000"/>
        <rFont val="Arial"/>
      </rPr>
      <t xml:space="preserve">Pelatihan Dasar CPNS : 
</t>
    </r>
    <r>
      <rPr>
        <b/>
        <sz val="10"/>
        <color rgb="FF000000"/>
        <rFont val="Arial"/>
      </rPr>
      <t>PENYEDERHANAAN SOP PROSES PELAKSANAAN PEMILIHAN JASA KONSTRUKSI DAN PEMBUATAN FORMAT DOKUMEN SEBAGAI OUTPUT SOP DI BP2JK WILAYAH JAWA TIMUR</t>
    </r>
  </si>
  <si>
    <t>1. Usulan Perubahan/ Optimalisasi SOP Proses Pelaksanaan Pemilihan Penyedia Jasa Konstruksi 
2. Format/ Bentuk Dokumen yang menjadi output dalam usulan SOP</t>
  </si>
  <si>
    <t xml:space="preserve">Catatan pelaksanaan terlampir dalam laporan
https://puprtes-my.sharepoint.com/:f:/g/personal/richardo_pratama_uruilal_pu_go_id/IgAITomfXw_nTquGKQLvT8aAAcbkgq9yOeSXOmrfbX9g58k?e=tRrDt9
</t>
  </si>
  <si>
    <t>Mentor:
Husnan Tajrie, ST., MT.
Co Mentor:
Ode Siti Andini Ladamay, ST., MT</t>
  </si>
  <si>
    <r>
      <rPr>
        <sz val="10"/>
        <color rgb="FF000000"/>
        <rFont val="Arial"/>
      </rPr>
      <t xml:space="preserve">Pelatihan Dasar CPNS :
</t>
    </r>
    <r>
      <rPr>
        <b/>
        <sz val="10"/>
        <color rgb="FF000000"/>
        <rFont val="Arial"/>
      </rPr>
      <t>PENGELOLAAN KONTEN DIGITAL SESUAI KETENTUAN KEMENTERIAN PEKERJAAN UMUM</t>
    </r>
  </si>
  <si>
    <t>1. SOP Pengelolaan Konten Digital sesuai Ketentuan pada Kementerian PU
2. Format publikasi konten digital/ publikasi lainnya</t>
  </si>
  <si>
    <r>
      <rPr>
        <sz val="10"/>
        <color rgb="FF000000"/>
        <rFont val="Arial"/>
      </rPr>
      <t xml:space="preserve">Pelatihan Dasar CPNS :
</t>
    </r>
    <r>
      <rPr>
        <b/>
        <sz val="10"/>
        <color rgb="FF000000"/>
        <rFont val="Arial"/>
      </rPr>
      <t>PENERAPAN SISTEM DIGITALISASI DAN BACKUP ARSIP PROSES PEMILIHAN PENGADAAN BARANG/JASA MELALUI IMPLEMENTASI NETWORK ATTACHED STORAGE (NAS) DI BP2JK WILAYAH JAWA TIMUR</t>
    </r>
  </si>
  <si>
    <t>Network Attaced Storage (NAS) yang sudah digunakan dan dapet di akses dari manapun</t>
  </si>
  <si>
    <t>Mentor:
Husnan Tajrie, S.T., M.T.
Co Mentor:
Khairu Annisa Hariadi, S.T.,M.T.</t>
  </si>
  <si>
    <r>
      <rPr>
        <sz val="10"/>
        <color rgb="FF000000"/>
        <rFont val="Arial"/>
      </rPr>
      <t xml:space="preserve">Pelatihan Dasar CPNS:
</t>
    </r>
    <r>
      <rPr>
        <b/>
        <sz val="10"/>
        <color rgb="FF000000"/>
        <rFont val="Arial"/>
      </rPr>
      <t>Optimalisasi Standar Operasional Prosedur (SOP) Proses Pelaksanaan Pemilihan Penyedia Jasa Konsultansi Konstruksi dan Penyeragaman Format Dokumen Output SOP</t>
    </r>
  </si>
  <si>
    <t>1. Usulan Perubahan/ Optimalisasi SOP Proses Pelaksanaan Pemilihan Penyedia Jasa Konsultansi Konstruksi 
2. Format/ Bentuk Dokumen yang menjadi output dalam usulan SOP</t>
  </si>
  <si>
    <t>Batch 4 : XXX</t>
  </si>
  <si>
    <r>
      <rPr>
        <sz val="10"/>
        <color rgb="FF000000"/>
        <rFont val="Arial"/>
      </rPr>
      <t xml:space="preserve">Pelatihan Dasar CPNS:
</t>
    </r>
    <r>
      <rPr>
        <b/>
        <sz val="10"/>
        <color rgb="FF000000"/>
        <rFont val="Arial"/>
      </rPr>
      <t>OPTIMALISASI KLASIFIKASI ARSIP POKJA BERDASARKAN JENIS DOKUMEN, TAHUN, NOMOR, DAN NAMA PAKET PADA RUANG PENYIMPANAN DIGITAL</t>
    </r>
  </si>
  <si>
    <t>Arsip Pokja yang sudah disusun sesuai dengan ketentuan pada penyimpanan digital NAS BP2JK Wilayah Jawa Timur</t>
  </si>
  <si>
    <r>
      <rPr>
        <sz val="10"/>
        <color rgb="FF000000"/>
        <rFont val="Arial"/>
      </rPr>
      <t xml:space="preserve">Pelatihan Dasar CPNS:
</t>
    </r>
    <r>
      <rPr>
        <b/>
        <sz val="10"/>
        <color rgb="FF000000"/>
        <rFont val="Arial"/>
      </rPr>
      <t>PENGEMBANGAN SISTEM MONITORING PROGRES PEMILIHAN PBJ SECARA REAL-TIME DI BP2JK WILAYAH JAWA TIMUR</t>
    </r>
  </si>
  <si>
    <t>1. Aplikasi berbasis web terkait progres paket yang sedang berjalan
2. Dashboard rekapitulasi paket terkait jumlah paket tender dan persebaran pemenang</t>
  </si>
  <si>
    <t>Mentor:
Husnan Tajrie, ST., MT.
Co Mentor:
Fadlillah Rohmadani, S.ST</t>
  </si>
  <si>
    <r>
      <rPr>
        <sz val="10"/>
        <color rgb="FF000000"/>
        <rFont val="Arial"/>
      </rPr>
      <t xml:space="preserve">Pelatihan Dasar CPNS:
</t>
    </r>
    <r>
      <rPr>
        <b/>
        <sz val="10"/>
        <color rgb="FF000000"/>
        <rFont val="Arial"/>
      </rPr>
      <t>EVALUASI DAN USULAN PENYEDERHANAAN SOP PERSIAPAN PEMILIHAN PEKERJAAN KONSTRUKSI DI BP2JK WILAYAH JAWA TIMUR</t>
    </r>
  </si>
  <si>
    <t>1. Usulan SOP Persiapan Pemilihan Pekerjaan Konstruksi
2.  Format/ Bentuk Dokumen yang menjadi output dalam usulan SOP</t>
  </si>
  <si>
    <r>
      <rPr>
        <sz val="10"/>
        <color rgb="FF000000"/>
        <rFont val="Arial"/>
      </rPr>
      <t xml:space="preserve">Pelatihan Dasar CPNS:
</t>
    </r>
    <r>
      <rPr>
        <b/>
        <sz val="10"/>
        <color rgb="FF000000"/>
        <rFont val="Arial"/>
      </rPr>
      <t>USULAN PENYEDERHANAAN SOP PERSIAPAN PEMILIHAN PENYEDIA JASA KONSULTANSI KONSTRUKSI SEBAGAI UPAYA OPTIMALISASI PENGADAAN JASA KONSTRUKSI DI BP2JK WILAYAH JAWA TIMUR</t>
    </r>
  </si>
  <si>
    <t>1. Usulan SOP Persiapan Pemilihan Penyedia Jasa Konsultansi Konstruksi
2.  Format/ Bentuk Dokumen yang menjadi output dalam usulan SOP</t>
  </si>
  <si>
    <t>Mentor:
Husnan Tajrie, ST., MT.
Co Mentor:
Feby Lorentika, S.T.</t>
  </si>
  <si>
    <t>Batch 2 : 15 Juli 2025 s.d 31 Oktober 2025</t>
  </si>
  <si>
    <r>
      <rPr>
        <sz val="10"/>
        <color rgb="FF000000"/>
        <rFont val="Arial"/>
      </rPr>
      <t xml:space="preserve">Pelatihan Dasar CPNS :
</t>
    </r>
    <r>
      <rPr>
        <b/>
        <sz val="10"/>
        <color rgb="FF000000"/>
        <rFont val="Arial"/>
      </rPr>
      <t>USULAN PERUBAHAN SOP PROSES PELAKSANAAN PEMILIHAN KHUSUNYA UNTUK METODE REPEAT ORDER DAN PENUNJUKAN LANGSUNG BERSERTA FORMAT/BENTUK DOKUMEN OUTPUT</t>
    </r>
  </si>
  <si>
    <t>1. Usulan Perubahan SOP Pelaksanaan Pemilihan Metode Pemilihan Repeat Order dan Penunjukan Langsung
2. Format/ Bentuk Dokumen yang menjadi output dalam usulan SOP</t>
  </si>
  <si>
    <r>
      <rPr>
        <sz val="10"/>
        <color rgb="FF000000"/>
        <rFont val="Arial"/>
      </rPr>
      <t xml:space="preserve">Pelatihan Dasar CPNS:
</t>
    </r>
    <r>
      <rPr>
        <b/>
        <sz val="10"/>
        <color rgb="FF000000"/>
        <rFont val="Arial"/>
      </rPr>
      <t>PEMBUATAN USULAN PERUBAHAN SOP UNTUK TAHAP PERSIAPAN PEMILIHAN YANG JUGA MENGAKOMODASI  FORMAT/BENTUK DOKUMEN OUTPUT UNTUK METODE REPEAT ORDER DAN PENUNJUKAN LANGSUNG</t>
    </r>
  </si>
  <si>
    <t>1. Usulan Perubahan SOP Dokumen Persiapan Pengadaan Metode Pemilihan Repeat Order dan Penunjukan Langsung
2. Format/ Bentuk Dokumen yang menjadi output dalam usulan SOP</t>
  </si>
  <si>
    <r>
      <rPr>
        <sz val="10"/>
        <color rgb="FF000000"/>
        <rFont val="Arial"/>
      </rPr>
      <t xml:space="preserve">Pelatihan Dasar CPNS:
</t>
    </r>
    <r>
      <rPr>
        <b/>
        <sz val="10"/>
        <color rgb="FF000000"/>
        <rFont val="Arial"/>
      </rPr>
      <t>USULAN PERUBAHAN SOP PROSES PENDAMPINGAN OLEH TIM PENELITI UNTUK SELURUH METODE PELAKSANAAN PROSES PENGADAAN BARANG/JASA SERTA PENGAJUAN FORMAT/BENTUK DOKUMEN OUTPUT DARI TAHAPAN SOP DI BALAI PELAKSANA PEMILIHAN JASA KONSTRUKSI WILAYAH JAWA TIMUR</t>
    </r>
  </si>
  <si>
    <t>1. Usulan SOP Pelaksanaan Penelitian Proses Pemilihan Penyedia Melalui Tender/ Seleksi / Penunjukan Langsung (Untuk Pengadaan Pekerjaan Konstruksi / Jasa Konsultansi Konstruksi) 
2.  Format/ Bentuk Dokumen yang menjadi output dalam usulan SOP</t>
  </si>
  <si>
    <t>Pingkan Ernomo Putri, A.Md.</t>
  </si>
  <si>
    <r>
      <rPr>
        <sz val="10"/>
        <color rgb="FF000000"/>
        <rFont val="Arial"/>
      </rPr>
      <t xml:space="preserve">Pelatihan Dasar CPNS:
</t>
    </r>
    <r>
      <rPr>
        <b/>
        <sz val="10"/>
        <color rgb="FF000000"/>
        <rFont val="Arial"/>
      </rPr>
      <t xml:space="preserve">OPTIMALISASI PENYIMPANAN ARSIP SURAT SESUAI DENGAN PERATURAN MENTERI PUPR NO 16/PRT/M/2018 TENTANG KLASIFIKASI ARSIP
</t>
    </r>
  </si>
  <si>
    <t xml:space="preserve">Arsip Persuratan yang sudah diarsipkan sesuai dengan Permen PUPR NO 16/PRT/M/2018 </t>
  </si>
  <si>
    <t>Mentor:
Husnan Tajrie, ST., MT.
Co Mentor:
Esthy Dwinda Purwaningjati, SH</t>
  </si>
  <si>
    <t>Batch 3 : 28 Juli 2025 s.d. 14 November 2025</t>
  </si>
  <si>
    <r>
      <rPr>
        <sz val="10"/>
        <color rgb="FF000000"/>
        <rFont val="Arial"/>
      </rPr>
      <t xml:space="preserve">Pelatihan Dasar CPNS:
</t>
    </r>
    <r>
      <rPr>
        <b/>
        <sz val="10"/>
        <color rgb="FF000000"/>
        <rFont val="Arial"/>
      </rPr>
      <t>MODEL FORMAT KERANGKA ACUAN KERJA (KAK) BERBASIS INTEGRASI RENCANA KERJA DAN ANGGARAN KEMENTERIAN/LEMBAGA (RKAKL) UNTUK PENYUSUNAN DOKUMEN YANG EFEKTIF DAN TEPAT SASARAN</t>
    </r>
  </si>
  <si>
    <t>Format KAK yang sudah terintegrasi dan siap untuk digunakan</t>
  </si>
  <si>
    <r>
      <rPr>
        <sz val="10"/>
        <color rgb="FF000000"/>
        <rFont val="Arial"/>
      </rPr>
      <t xml:space="preserve">Pelatihan Dasar CPNS:
</t>
    </r>
    <r>
      <rPr>
        <b/>
        <sz val="10"/>
        <color rgb="FF000000"/>
        <rFont val="Arial"/>
      </rPr>
      <t>USULAN STANDAR OPERASIONAL PROSEDUR (SOP) PELAKSANAAN PENDAMPINGAN PENGADAAN BARANG/JASA DAN SOP PELAYANAN KONSULTASI PROSES PENGADAAN BARANG/JASA SERTA PEMBUATAN FORMAT DOKUMEN OUTPUT</t>
    </r>
  </si>
  <si>
    <t>1. Usulan SOP Pelaksanaan Pendampingan Pengadaan Barang/Jasa dan SOP Pelayanan Konsultasi Proses Pengadaan Barang/Jasa
2.  Format/ Bentuk Dokumen yang menjadi output dalam usulan SOP</t>
  </si>
  <si>
    <r>
      <rPr>
        <sz val="10"/>
        <color rgb="FF000000"/>
        <rFont val="Arial"/>
      </rPr>
      <t xml:space="preserve">Pelatihan Dasar CPNS:
</t>
    </r>
    <r>
      <rPr>
        <b/>
        <sz val="10"/>
        <color rgb="FF000000"/>
        <rFont val="Arial"/>
      </rPr>
      <t>PENGEMBANGAN KONTEN KREATIF DAN VARIATIF (OPTIMALISASI STRATEGI KONTEN UNTUK MENINGKATKAN ENGAGEMENT MEDIA SOSIAL BP2JK WILAYAH JAWA TIMUR)</t>
    </r>
  </si>
  <si>
    <t>Jadwal rencana konten dan realisasi</t>
  </si>
  <si>
    <t>kebutuhan</t>
  </si>
  <si>
    <t>Pengisian</t>
  </si>
  <si>
    <t>pbj 5 org</t>
  </si>
  <si>
    <t>1. a</t>
  </si>
  <si>
    <t>pbj</t>
  </si>
  <si>
    <t>b'</t>
  </si>
  <si>
    <t>USULAN DIKLAT PENINGKATAN KOMPETENSI BP2JK WILAYAH JAWA TIMUR</t>
  </si>
  <si>
    <t>WAKTU PELAKSANAAN</t>
  </si>
  <si>
    <t>PELAKSANA</t>
  </si>
  <si>
    <t>NAMA PERSONIL YANG DIUSULKAN</t>
  </si>
  <si>
    <t>HASIL PELAKSANAAN DIKLAT</t>
  </si>
  <si>
    <t>KETERANGAN</t>
  </si>
  <si>
    <t>Lulus</t>
  </si>
  <si>
    <t>Pengelolaan BMN E-Learning-A</t>
  </si>
  <si>
    <t>20-29 April 2026</t>
  </si>
  <si>
    <t>Tidak Lulus</t>
  </si>
  <si>
    <t>Tidak Diikuti</t>
  </si>
  <si>
    <t>Sistem Akuntansi Instansi
Distance Learning-A</t>
  </si>
  <si>
    <t>8-18 Juni 2026</t>
  </si>
  <si>
    <t>Bapekom PU Wilayah I Medan</t>
  </si>
  <si>
    <t xml:space="preserve">E-Learning Manajemen Pengembangan SDM-А
</t>
  </si>
  <si>
    <t>2-11 Februari 2026</t>
  </si>
  <si>
    <t>Bapekom PU Wilayah V Yogyakarta</t>
  </si>
  <si>
    <t>3. Peta Potensi Benturan Kepentingan Hubungan Afiliasi Alumni Pendidikan di Unit Kerja/UPT/Balai</t>
  </si>
  <si>
    <t>UNIT KERJA/ UPT/BALAI</t>
  </si>
  <si>
    <t>NIP/ NRP / KTP</t>
  </si>
  <si>
    <t>ALUMNI D1</t>
  </si>
  <si>
    <t>ALUMNI D3</t>
  </si>
  <si>
    <t>ALUMNI S1</t>
  </si>
  <si>
    <t>ALUMNI S2</t>
  </si>
  <si>
    <t>ALUMNI S3</t>
  </si>
  <si>
    <t>BP2JK WILAYAH JAWA TIMUR</t>
  </si>
  <si>
    <t>Institut Teknologi Nasional Malang</t>
  </si>
  <si>
    <t>Institut Teknologi Sepuluh Nopember</t>
  </si>
  <si>
    <t xml:space="preserve">Plt. Kepala Sub Bagian Umum dan Tata Usaha </t>
  </si>
  <si>
    <t>Institut Teknologi Sepuluh Nopember Surabaya</t>
  </si>
  <si>
    <t>Universitas Narotama Surabaya</t>
  </si>
  <si>
    <t>Bendahara Pengeluaran</t>
  </si>
  <si>
    <t>Universitas Yos Sudarso Surabaya</t>
  </si>
  <si>
    <t>Universitas Gadjah Mada</t>
  </si>
  <si>
    <t>Politeknik Keuangan Negara STAN</t>
  </si>
  <si>
    <t>Politeknik Elektronika Negeri Surabaya</t>
  </si>
  <si>
    <t>Akademi Teknik Kupang</t>
  </si>
  <si>
    <t>Universitas Katolik Widya Mandira Kupang</t>
  </si>
  <si>
    <t>Universitas Al-Falah Surabaya</t>
  </si>
  <si>
    <t>Pembina Jasa Konstruksi Ahli Pertama</t>
  </si>
  <si>
    <t>Institut Teknologi Bandung</t>
  </si>
  <si>
    <t>Universitas Tabanan</t>
  </si>
  <si>
    <t>Universitas Airlangga</t>
  </si>
  <si>
    <t>Universitas Syiah Kuala</t>
  </si>
  <si>
    <t>Universitas Jember</t>
  </si>
  <si>
    <t>Universitas Brawijaya</t>
  </si>
  <si>
    <t>Universitas Diponegoro</t>
  </si>
  <si>
    <t>Universitas Indonesia</t>
  </si>
  <si>
    <t>Universitas Sebelas Maret</t>
  </si>
  <si>
    <t>Nagoya University</t>
  </si>
  <si>
    <t>199510242020121003</t>
  </si>
  <si>
    <t>198606102010122002</t>
  </si>
  <si>
    <t>199507152020121006</t>
  </si>
  <si>
    <t>STISIPOL Kartika Bangsa Yogyakarta</t>
  </si>
  <si>
    <t>STIE YAPAN Surabaya</t>
  </si>
  <si>
    <t>Universitas Muhammadiyah Malang</t>
  </si>
  <si>
    <t>POLITEKNIK NEGERI MALANG</t>
  </si>
  <si>
    <t>Universitas Pembangunan Nasional Veteran Jawa Timur</t>
  </si>
  <si>
    <t>200109082025061007</t>
  </si>
  <si>
    <t>Universitas Negeri Surabaya</t>
  </si>
  <si>
    <t>199904102025062014</t>
  </si>
  <si>
    <t>Universitas Islam Negeri Sunan Ampel Surabaya</t>
  </si>
  <si>
    <t>199601282025061008</t>
  </si>
  <si>
    <t>199306182025061004</t>
  </si>
  <si>
    <t>199812102025062013</t>
  </si>
  <si>
    <t>200005242025062015</t>
  </si>
  <si>
    <t>200004012025062021</t>
  </si>
  <si>
    <t>199811192025062016</t>
  </si>
  <si>
    <t>200106272025061012</t>
  </si>
  <si>
    <t>200106072025061010</t>
  </si>
  <si>
    <t>200211182025062004</t>
  </si>
  <si>
    <t>Universitas Negeri Malang</t>
  </si>
  <si>
    <t>199701232025062017</t>
  </si>
  <si>
    <t xml:space="preserve">Universitas Negeri Surabaya </t>
  </si>
  <si>
    <t>199909082025061013</t>
  </si>
  <si>
    <t>200012162025061011</t>
  </si>
  <si>
    <t>199701202025062007</t>
  </si>
  <si>
    <t>Institut Seni Indonesia Surakarta</t>
  </si>
  <si>
    <t>Politeknik Negeri Bandung</t>
  </si>
  <si>
    <t>Universitas UNTAG Surabaya</t>
  </si>
  <si>
    <t>Regi Putra</t>
  </si>
  <si>
    <t>Dimas Al Hakim</t>
  </si>
  <si>
    <t>199501012020121010</t>
  </si>
  <si>
    <t>Universitas Sebelas Maret Surakarta</t>
  </si>
  <si>
    <t>IDENTIFIKASI POTENSI BENTURAN KEPENTINGAN</t>
  </si>
  <si>
    <r>
      <rPr>
        <b/>
        <sz val="14"/>
        <color rgb="FF000000"/>
        <rFont val="Arial"/>
      </rPr>
      <t>Peta Potensi benturan kepentingan (</t>
    </r>
    <r>
      <rPr>
        <b/>
        <i/>
        <sz val="14"/>
        <color rgb="FF000000"/>
        <rFont val="Arial"/>
      </rPr>
      <t>conflict of interest -CoI</t>
    </r>
    <r>
      <rPr>
        <b/>
        <sz val="14"/>
        <color rgb="FF000000"/>
        <rFont val="Arial"/>
      </rPr>
      <t xml:space="preserve">) </t>
    </r>
  </si>
  <si>
    <r>
      <rPr>
        <sz val="14"/>
        <color rgb="FF000000"/>
        <rFont val="Arial"/>
      </rPr>
      <t>Potensi benturan kepentingan (</t>
    </r>
    <r>
      <rPr>
        <i/>
        <sz val="14"/>
        <color rgb="FF000000"/>
        <rFont val="Arial"/>
      </rPr>
      <t>CoI</t>
    </r>
    <r>
      <rPr>
        <sz val="14"/>
        <color rgb="FF000000"/>
        <rFont val="Arial"/>
      </rPr>
      <t xml:space="preserve">) dapat terjadi di dalam internal maupun dengan pihak eksternal unit kerja/UPT/balai. 
Potensi benturan kepentingan (CoI) di internal adalah adanya hubungan afiliasi yang terjadi di antara pegawai satu unit kerja/UPT/balai. 
Potensi benturan kepentingan (CoI) dengan pihak eksternal adalah adanya hubungan afiliasi yang terjadi antara pegawai suatu unit kerja/UPT/balai dengan pihak eksternal unit kerja/UPT/balai. Pihak eksternal dapat berupa unit kerja/UPT/Balai di Unor lain, penyedia jasa, mitra kerja, dan pihak eksternal lainnya yang berada di wilayah kerja yang sama.
Potensi benturan kepentingan  </t>
    </r>
    <r>
      <rPr>
        <i/>
        <sz val="14"/>
        <color rgb="FF000000"/>
        <rFont val="Arial"/>
      </rPr>
      <t>(conflict of interest)</t>
    </r>
    <r>
      <rPr>
        <sz val="14"/>
        <color rgb="FF000000"/>
        <rFont val="Arial"/>
      </rPr>
      <t xml:space="preserve"> dapat berupa hubungan afiliasi, diantaranya: 
1. hubungan keluarga/ kekerabatan (orang tua/ mertua/ paman/ bibi/ saudara/ sepupu/ keponakan/ ipar); dan
2. hubungan pertemanan alumni pendidikan/ angkatan kerja di UPT/Balai.
Penelusuran potensi benturan kepentingan (CoI) dapat dilakukan melalui pernyataan individu pegawai yang sifatnya sukarela</t>
    </r>
  </si>
  <si>
    <t xml:space="preserve">1. Peta Potensi Benturan Kepentingan Hubungan Kekerabatan - Internal Unit Kerja/UPT/Balai </t>
  </si>
  <si>
    <t>Unit Kerja/UPT/ Balai : BP2JK Wilayah Jawa Timur</t>
  </si>
  <si>
    <t>NIP/ NRP/KTP</t>
  </si>
  <si>
    <t>JABATAN/TUGAS</t>
  </si>
  <si>
    <t>STATUS KEPEGAWAIAN
(ASN/NON ASN)</t>
  </si>
  <si>
    <t>STATUS HUBUNGAN KEKERABATAN</t>
  </si>
  <si>
    <t>ASN</t>
  </si>
  <si>
    <t>Tidak terdapat status Hubungan kekerabatan didalam Internal Unit Kerja Balai Pelaksana Pemilihan Jasa Konstruksi Wilayah Jawa Timur</t>
  </si>
  <si>
    <t>Non ASN</t>
  </si>
  <si>
    <t>RENCANA PENGEMBANGAN KARIR DAN KOMPETENSI PEGAWAI</t>
  </si>
  <si>
    <t>NO.</t>
  </si>
  <si>
    <t>PROFIL PNS</t>
  </si>
  <si>
    <t>PENILAIAN KOMPETENSI (ASESMEN)</t>
  </si>
  <si>
    <t>PNS YANG AKAN DIKEMBANGKAN KARIRNYA</t>
  </si>
  <si>
    <t>PNS YANG AKAN DIKEMBANGKAN KOMPETENSINYA</t>
  </si>
  <si>
    <t>Data Personal</t>
  </si>
  <si>
    <t>Kualifikasi</t>
  </si>
  <si>
    <t>Rekam Jejak Jabatan</t>
  </si>
  <si>
    <t>Ya</t>
  </si>
  <si>
    <t>Staf Sekretariat Jenderal</t>
  </si>
  <si>
    <t>STAF SUBBAG TATA USAHA, BALAI PENDIDIKAN DAN PELATIHAN PEKERJAAN UMUM WILAYAH VIII BANJARMASIN</t>
  </si>
  <si>
    <t>STAF BALAI PENDIDIKAN DAN PELATIHAN PEKERJAAN UMUM WILAYAH VIII BANJARMASIN</t>
  </si>
  <si>
    <t>Kepala KEPALA SEKSI PENGAJARAN BALAI PENDIDIKAN DAN PELATIHAN PEKERJAAN UMUM WILAYAH VIII BANJARMASIN</t>
  </si>
  <si>
    <t>KEPALA SEKSI PENYELENGGARAAN, BALAI DIKLAT PU WILAYAH VIII BANJARMASIN</t>
  </si>
  <si>
    <t>Kepala Balai Pendidikan dan Pelatihan Pekerjaan Umum dan Perumahan Rakyat VIII, Badan Pengembangan Sumber Daya Manusia</t>
  </si>
  <si>
    <t>Kepala Balai Pendidikan dan Pelatihan Pekerjaan Umum dan Perumahan Rakyat Wilayah VII Banjarmasin, Badan Pengembangan Sumber Daya Manusia</t>
  </si>
  <si>
    <t>KEPALA BAGIAN ANGGARAN DAN UMUM, PUSAT PENDIDIKAN DAN PELATIHAN MANAJEMEN DAN PENGEMBANGAN JABATAN FUNGSIONAL, BADAN PENGEMBANGAN SUMBER DAYA MANUSIA</t>
  </si>
  <si>
    <t>Kepala Balai Pelaksana Pemilihan Jasa Konstruksi Wilayah Kalimantan Selatan</t>
  </si>
  <si>
    <t>Analis Pengelolaan Keuangan APBN Ahli Madya, Balai Pelaksana Pemilihan Jasa Konstruksi Wilayah Kalimantan Selatan</t>
  </si>
  <si>
    <t>Kepala Balai Pelaksana Pemilihan Jasa Konstruksi Wilayah Jambi</t>
  </si>
  <si>
    <t>STAF SEKRETARIAT DITJEN BINA MARGA</t>
  </si>
  <si>
    <t>STAF BALAI BESAR PELAKSANAAN JALAN NASIONAL X ,DITJEN BINA MARGA</t>
  </si>
  <si>
    <t>PENGADMINISTRASI UMUM PENGOLAH SISTEM MANAJEMEN JATAN BIDANG PELAKSANAAN II BALAI BESAR PELAKSANAAN JALAN NASIONAL V</t>
  </si>
  <si>
    <t>Teknik Jalan Dan Jembatan Ahli Pertama BALAI BESAR PELAKSANAAN JALAN NASIONAL V (JATENG, DIY, JATIM) DI SURABAYA, Balai Besar Pelaksanaan Jalan Nasional VIII Surabaya</t>
  </si>
  <si>
    <t>TEKNIK JALAN DAN JEMBATAN PERTAMA SEKSI PRESERVASI DAN PERALATAN JEMBATAN I, BIDANG PRESERVASI DAN PERALATAN I, BALAI BESAR PELAKSANAAN JALAN NASIONAL VIII SURABAYA</t>
  </si>
  <si>
    <t>Teknik Jalan Dan Jembatan Pertama PERENCANAAN DAN PENGAWASAN JALAN NASIONAL PROVINSI JAWATIMUR, Balai Besar Pelaksanaan Jalan Nasional VIII Surabaya</t>
  </si>
  <si>
    <t>Teknik Jalan Dan Jembatan Ahli Pertama Balai Pelaksana Pemilihan Jasa Konstruksi Wilayah Jawa Timur</t>
  </si>
  <si>
    <t>Teknik Jalan Dan Jembatan Ahli Muda Balai Pelaksana Pemilihan Jasa Konstruksi Wilayah Jawa Timur</t>
  </si>
  <si>
    <t>PLT. Kepala Subbagian Umum dan Tata Usaha, Balai Pelaksana Pemilihan Jasa Konstruksi Wilayah Jawa Timur</t>
  </si>
  <si>
    <t>Pejabat Pembuat Komitmen Mandiri, Balai Pelaksana Pemilihan Jasa Konstruksi Wilayah Jawa Timur, Subdirektorat Sistem Pengadaan Jasa Konstruksi</t>
  </si>
  <si>
    <t>Kepala Subbagian Umum dan Tata Usaha, Balai Pelaksana Pemilihan Jasa Konstruksi Wilayah Jawa Timur</t>
  </si>
  <si>
    <t>STAF SUBBAG TATA USAHA KEPEGAWAIAN, BAGIAN KEPEGAWAIAN, SEKRETARIAT DITJEN. BINA MARGA</t>
  </si>
  <si>
    <t>STAF SUBBAG HUKUM DAN PERUNDANG-UNDANGAN, SEKRETARIAT DITJEN. BINA MARGA</t>
  </si>
  <si>
    <t>STAF BALAI BESAR PELAKSANAAN JALAN NASIONAL V</t>
  </si>
  <si>
    <t>PENELAAH PENGADAAN TANAH SATUAN KERJA PERENCANAAN DAN PENGAWASAN JALAN NASIONAL PROVINSI JAWA TIMUR, BALAI BESAR PELAKSANAAN JALAN NASIONAL V</t>
  </si>
  <si>
    <t>PELAKSANA DIREKTORAT BINA TEKNIK ,DITJEN BINA MARGA</t>
  </si>
  <si>
    <t>PENELAAH PENGADAAN TANAH,INVENTARISASI DAN PENGADAAN LAHAN PPK PENGADAAN TANAH JALAN TOL SURABAYA - MOJOKERTO I DIREKTORAT JALAN BEBAS HAMBATAN, PERKOTAAN DAN FASILITASI JALAN DAERAH</t>
  </si>
  <si>
    <t>PENATA TEKNIK PELAKSANAAN JALAN NASIONAL WILAYAH II PROVINSI JATIM, BALAI BESAR PELAKSANAAN JALAN NASIONAL VIII SURABAYA</t>
  </si>
  <si>
    <t>PENATA KEUANGAN PPK KERTOSONO - KEDIRI - TULUNGAGUNG - BTS. KAB. TRENGGALEK, PELAKSANAAN JALAN NASIONAL WILAYAH II PROVINSI JAWA TIMUR, BALAI BESAR PELAKSANAAN JALAN NASIONAL VIII SURABAYA</t>
  </si>
  <si>
    <t>Penata Keuangan PPK 2.2, PELAKSANAAN JALAN NASIONAL WILAYAH II PROVINSI JATIM, Balai Besar Pelaksanaan Jalan Nasional VIII Surabaya</t>
  </si>
  <si>
    <t>Bendahara Subbagian Tata Usaha, Balai Pelaksana Pemilihan Jasa Konstruksi Wilayah Jawa Timur</t>
  </si>
  <si>
    <t>Pranata Keuangan APBN Penyelia, Balai Pelaksana Pemilihan Jasa Konstruksi Wilayah Jawa Timur</t>
  </si>
  <si>
    <t>STAF BIRO KEPEGAWAIAN DAN ORGANISASI TATALAKSANA, SETJEN DEP. PU</t>
  </si>
  <si>
    <t>STAF PUSAT LITBANG SUMBER DAYA AIR, BALITBANG DEP. PU</t>
  </si>
  <si>
    <t>STAF PUSAT PENELITIAN DAN PENGEMBANGAN SUMBER DAYA AIR, BALITBANG KEMENTERIAN PU</t>
  </si>
  <si>
    <t xml:space="preserve">2. Peta Potensi Benturan Kepentingan Hubungan Kekerabatan dengan Pihak Eksternal yang berada dalam 1 (satu) wilayah Provinsi/Regional yang sama </t>
  </si>
  <si>
    <t>NAMA PEGAWAI DI UKER/UPT/BALAI BP2JK WILAYAH JAWA TIMUR</t>
  </si>
  <si>
    <t>STATUS KEPEGAWAIAN (ASN/NON ASN)</t>
  </si>
  <si>
    <t>PIHAK EKSTERNAL</t>
  </si>
  <si>
    <t>UNIT KERJA/ UPT/ BALAI/ INSTANSI</t>
  </si>
  <si>
    <t>STATUS INSTANSI PIHAK EKSTERNAL</t>
  </si>
  <si>
    <t>Balai Jasa Konstruksi Wilayah IV Surabaya</t>
  </si>
  <si>
    <t>Esthy Dwinda Praptaningjati, S. Sos, MT</t>
  </si>
  <si>
    <t>197811212008122001</t>
  </si>
  <si>
    <t>Kasi Pelaksanaan</t>
  </si>
  <si>
    <t>Saudara Kandung</t>
  </si>
  <si>
    <t xml:space="preserve"> -</t>
  </si>
  <si>
    <t>Unit Layanan Pengadaan Pemerintah Kabupaten Jombang</t>
  </si>
  <si>
    <t>M. Arif Cahyo Saputro</t>
  </si>
  <si>
    <t>198509132011011004</t>
  </si>
  <si>
    <t>Pengelola Pengadaan Barang dan Jasa Ahli Muda</t>
  </si>
  <si>
    <t>Suami dari Ratri Ayu Rahmayanti</t>
  </si>
  <si>
    <t>PT. Saburnaya</t>
  </si>
  <si>
    <t>Dhian Martha Fitriyanti</t>
  </si>
  <si>
    <t>3578235603910001</t>
  </si>
  <si>
    <t>Direktur</t>
  </si>
  <si>
    <t>Istri dari Bima Sakti Prayitno</t>
  </si>
  <si>
    <t>Penyedia Jasa</t>
  </si>
  <si>
    <t>Pusat Pengendalian Lumpur Sidoarjo</t>
  </si>
  <si>
    <t>Arif Setiawan, ST., M. Eng.</t>
  </si>
  <si>
    <t>198304302010121003</t>
  </si>
  <si>
    <t>Analis Pengelolaan Sumber Daya Air</t>
  </si>
  <si>
    <t>Suami dari Fauzianggi Rahmi Fitri</t>
  </si>
  <si>
    <t>Rico Prasetyo Cahyoindro, S.IP</t>
  </si>
  <si>
    <t>G14061980092018001</t>
  </si>
  <si>
    <t>Pengelola Data dan Informasi</t>
  </si>
  <si>
    <t>Suami dari Risa Monika</t>
  </si>
  <si>
    <t>Balai Besar Wilayah Sungai Brantas</t>
  </si>
  <si>
    <t>Novita Dewi Kumalasari</t>
  </si>
  <si>
    <t>C26111995092018001</t>
  </si>
  <si>
    <t>Pengadministrasi Umum</t>
  </si>
  <si>
    <t>Istri dari Reski Aditya</t>
  </si>
  <si>
    <t>Vedhayana Mardhika</t>
  </si>
  <si>
    <t>C17081991092018001</t>
  </si>
  <si>
    <t>Suami dari Dea Septiani</t>
  </si>
  <si>
    <t>Arinda Nur Maslakhah, S.E.</t>
  </si>
  <si>
    <t>199701052020122004</t>
  </si>
  <si>
    <t>Pengelola Pengadaan Barang dan Jasa Ahli Pertama</t>
  </si>
  <si>
    <t>Istri dari Dimas Al Hakim</t>
  </si>
  <si>
    <t>REKAP EVALUASI MUTASI/ PENEMPATAN PEGAWAI BP2JK WILAYAH JAWA TIMUR</t>
  </si>
  <si>
    <t>JK</t>
  </si>
  <si>
    <t>ESELON</t>
  </si>
  <si>
    <t>PENUGASAN DI BP2JK JATIM</t>
  </si>
  <si>
    <t>Posisi TA 2024</t>
  </si>
  <si>
    <t>MUTASI ASAL/ TUJUAN</t>
  </si>
  <si>
    <t>TMT 
(PUPR menjadi PU)</t>
  </si>
  <si>
    <t>KETERANGAN MUTASI/ TINDAK LANJUT</t>
  </si>
  <si>
    <t>Pengaruh Mutasi terhadap Capaian Kinerja Organisasi</t>
  </si>
  <si>
    <t>Pengelola Pengadaan Barang/Jasa Ahli Madya</t>
  </si>
  <si>
    <t>L</t>
  </si>
  <si>
    <t>Plt. Kepala BP2JK Wilayah Jawa Timur</t>
  </si>
  <si>
    <t>BP2JK Wilayah Jawa Timur - Direktorat Kepatuhan Intern (Jafung)</t>
  </si>
  <si>
    <t>Pindah 17 Juli 2025</t>
  </si>
  <si>
    <t>Rotasi Jabatan Persiapan Masa Pensiun</t>
  </si>
  <si>
    <t>196908221998031000</t>
  </si>
  <si>
    <t>Pembina Tingkat I</t>
  </si>
  <si>
    <t>Sudah terisi</t>
  </si>
  <si>
    <t>BP2JK Wilayah Jambi - BP2JK Wilayah Jawa Timur</t>
  </si>
  <si>
    <t>18 Juli 2025</t>
  </si>
  <si>
    <t>Rotasi Jabatan untuk penyegaran/ pengembangan pengalaman</t>
  </si>
  <si>
    <t>Seluruh capaian kinerja tercapai terhadap target kecuali BMN sehingga perlu pengelolaan lebih baik tahun 2026</t>
  </si>
  <si>
    <t>P</t>
  </si>
  <si>
    <t>IV</t>
  </si>
  <si>
    <t>PLT</t>
  </si>
  <si>
    <t>13 Oktober 2025</t>
  </si>
  <si>
    <t>Rotasi Jabatan untuk Promosi dari Jafung Jalan dan Jembatan Ahli Muda</t>
  </si>
  <si>
    <t>Sudah terisi dan tercukupi</t>
  </si>
  <si>
    <t>13 November 2019</t>
  </si>
  <si>
    <t>Capaian kinerja terhadap tindak lanjut LHP dan Nilai Indikator Kinerja Pelaksanaan Anggaran tercapai lebih dari target</t>
  </si>
  <si>
    <t>1 Mei 2019</t>
  </si>
  <si>
    <t>Petugas BMN</t>
  </si>
  <si>
    <t>25 Maret 2019</t>
  </si>
  <si>
    <t>Perlu adanya mutasi jabatan dari pengelolaan perkantoran untuk pengelolaan BMN karena capaian tidak sesuai target</t>
  </si>
  <si>
    <t>Kepegawaian dan keuangan</t>
  </si>
  <si>
    <t>Sudah terisi tetapi diisi oleh pengelola PBJ/ bukan jafung bidang kepegawaian</t>
  </si>
  <si>
    <t>1 Agustus 2020</t>
  </si>
  <si>
    <t>Usulan jafung bidang kepegawaian ke Sekretariat Jenderal Bina Konstruksi</t>
  </si>
  <si>
    <t>Saat ini capaian kinerja tidak terpengaruh karena capaian 100% tetapi data pengelolaan kepegawaian bukan data yang tersedia setiap saat (butuh pengelolaan terlebih dahulu)</t>
  </si>
  <si>
    <t>Bagian Keuangan</t>
  </si>
  <si>
    <t>Nilai Indikator Kinerja Pelaksanaan Anggaran tercapai lebih dari target</t>
  </si>
  <si>
    <t>11 September 2023</t>
  </si>
  <si>
    <t>Pokja Pemilihan &amp; Tim Peneliti</t>
  </si>
  <si>
    <t>BP2JK Wilayah Jawa Timur - BP2JK Wilayah NTT</t>
  </si>
  <si>
    <t>Promosi per 13 Oktober 2025</t>
  </si>
  <si>
    <t>Rotasi Jabatan untuk Promosi</t>
  </si>
  <si>
    <t>Pengembangan Karir</t>
  </si>
  <si>
    <t>Pokja Pemilihan</t>
  </si>
  <si>
    <t>9 September 2024</t>
  </si>
  <si>
    <t>Tingkat Kinerja Layanan Pemilihan Jasa Konstruksi tercapai</t>
  </si>
  <si>
    <t>14 Desember 2023</t>
  </si>
  <si>
    <t>Penata</t>
  </si>
  <si>
    <t>Tim Pelaksana</t>
  </si>
  <si>
    <t>12 November 2019</t>
  </si>
  <si>
    <t>15 November 2019</t>
  </si>
  <si>
    <t>1 Maret 2020</t>
  </si>
  <si>
    <t>15 September 2021</t>
  </si>
  <si>
    <t>2 Mei 2023</t>
  </si>
  <si>
    <t>1 Februari 2022</t>
  </si>
  <si>
    <t>17 Februari 2022</t>
  </si>
  <si>
    <t>15 November 2022</t>
  </si>
  <si>
    <t>BP2JK Wilayah Jawa Timur - Direktorat Pengadaan</t>
  </si>
  <si>
    <t>8 Desember 2025</t>
  </si>
  <si>
    <t>Mutasi Horizontal - Mutasi antar unit kerja untuk optimalisasi organisasi</t>
  </si>
  <si>
    <t>4 Januari 2020</t>
  </si>
  <si>
    <t>BP2JK Wilayah Papua Barat - BP2JK Wilayah Jawa Timur</t>
  </si>
  <si>
    <t>1 Februari 2025</t>
  </si>
  <si>
    <t>24 Januari 2024</t>
  </si>
  <si>
    <t>BP2JK Wilayah Kalimantan Selatan - BP2JK Wilayah Jawa Timur</t>
  </si>
  <si>
    <t>4 Agustus 2025</t>
  </si>
  <si>
    <t>BP2JK Wilayah Kepri - BP2JK Wilayah Jawa Timur</t>
  </si>
  <si>
    <t>BP2JK Wilayah Aceh - BP2JK Wilayah Jawa Timur</t>
  </si>
  <si>
    <t>1 Oktober 2025</t>
  </si>
  <si>
    <t>P3K-Tim Pelaksana</t>
  </si>
  <si>
    <t>1 November 2023</t>
  </si>
  <si>
    <t>Humas (Info Publik) dan Pengelola Sosmed</t>
  </si>
  <si>
    <t>Sudah terisi dan belum mencukupi</t>
  </si>
  <si>
    <t>1 Juli 2023</t>
  </si>
  <si>
    <t>199512172024211000</t>
  </si>
  <si>
    <t>P3K-Pengelola data dan Informasi (IT)</t>
  </si>
  <si>
    <t>BP2JK Wilayah Jawa Timur - Satker Prasarana Strategis</t>
  </si>
  <si>
    <t>Transformasi digital unit kerja tercapai</t>
  </si>
  <si>
    <t>1 Maret 2024</t>
  </si>
  <si>
    <t>CPNS JF PBJ dan Tim Pelaksana</t>
  </si>
  <si>
    <t>Pengadaan CPNS Tahun 2024</t>
  </si>
  <si>
    <t>1 Juni 2025</t>
  </si>
  <si>
    <t>Penambahan personil untuk optimalisasi organisasi</t>
  </si>
  <si>
    <t>CPNS Humas (Info Publik) dan Pengelola Sosmed</t>
  </si>
  <si>
    <t>CPNS Pengelola data dan Informasi (IT)</t>
  </si>
  <si>
    <t>Pengatur</t>
  </si>
  <si>
    <t>CPNS Arsiparis Terampil</t>
  </si>
  <si>
    <t>Belum terisi</t>
  </si>
  <si>
    <t>Capaian kearsipan tercapai</t>
  </si>
  <si>
    <t>CPNS Arsiparis Terampil dan Sekretaris</t>
  </si>
  <si>
    <t>CPNS JF APK APBN</t>
  </si>
  <si>
    <t>Petugas BMN dan Sekretaris</t>
  </si>
  <si>
    <t>Pengangkatan PPPK</t>
  </si>
  <si>
    <t>Rotasi Jabatan ke PPPK</t>
  </si>
  <si>
    <t>1. Capaian arsip tercapai
2. Perlu adanya mutasi jabatan dari pengelolaan perkantoran untuk pengelolaan BMN karena capaian tidak sesuai target</t>
  </si>
  <si>
    <t>Rotasi Jabatan ke PPPK dan penugasan pengelolaan kearsipan</t>
  </si>
  <si>
    <t>Rotasi Jabatan ke PPPK untuk penugasan pengelolaan BMN untuk pencapaian BMN</t>
  </si>
  <si>
    <t>Budi Prayitno Utomo, ST</t>
  </si>
  <si>
    <t>Rotasi Jabatan ke PPPK dan penugasan pengelolaan BMN</t>
  </si>
  <si>
    <t>Petugas pengolah data PBJ, Penerima paket PBJ, admin sakti dan SAKIP</t>
  </si>
  <si>
    <t>Sudah terisi dan belum tercukupi</t>
  </si>
  <si>
    <t xml:space="preserve">Rotasi Jabatan ke PPPK </t>
  </si>
  <si>
    <t>1. Capaian Nilai SAKIP tercapai
2. Nilai Indikator Kinerja Pelaksanaan Anggaran tercapai lebih dari target</t>
  </si>
  <si>
    <t>Kelas Jabatan</t>
  </si>
  <si>
    <t>Eksisting Pegawai</t>
  </si>
  <si>
    <t>Kebutuhan Pegawai</t>
  </si>
  <si>
    <t>Deviasi</t>
  </si>
  <si>
    <t>Pegawai yang mengisi Jabatan</t>
  </si>
  <si>
    <t>Penempatan terhadap Capaian Kinerja BP2JK</t>
  </si>
  <si>
    <t>Capaian Kinerja Individu</t>
  </si>
  <si>
    <t>Tindak Lanjut</t>
  </si>
  <si>
    <t>Kepala BP2JK/UPTPBJ</t>
  </si>
  <si>
    <t>1. Ir. Agus Kurniawan</t>
  </si>
  <si>
    <t>1. Paket tender tepat waktu 100% dari target 98%
2. Sanggah Tidak Benar 100% dari target 99%
3. Pengaduan Tidak Benar 100% dari target 99%
4. Penetapan Pemenang yang ditolak PPK dan terbukti Tidak Benar 100% dari target 95%
5. Ketersediaan Data Kinerja Penyedia Jasa Konstruksi dengan Kntrak SYC di PU 100% dari target 100%
6. Tingkat Pemenuhan Layanan Pelaksanaan Pemilihan Jasa Konstruksi 98.5% dari target 98.5% untuk 1 Layanan</t>
  </si>
  <si>
    <t>Baik</t>
  </si>
  <si>
    <t>Target capaian organisasi sudah tercapai. Kinerja diipertahankan bahkan ditingkatkan di Triwulan berikutnya</t>
  </si>
  <si>
    <t>PLT. Kasubag Umum dan Tata Usaha</t>
  </si>
  <si>
    <t>1. Ode Siti Andini Ladamay,ST., MT</t>
  </si>
  <si>
    <t>Sangat Baik</t>
  </si>
  <si>
    <t>akan terisi dari Pengelola Pengadaan Barang/Jasa Ahli Muda</t>
  </si>
  <si>
    <t>1. Fadlila Rohmadani, SST</t>
  </si>
  <si>
    <t>1. Paket tender tepat waktu 100% dari target 98%
2. Sanggah Tidak Benar 100% dari target 99%
3. Pengaduan Tidak Benar 100% dari target 99%
4. Penetapan Pemenang yang ditolak PPK dan terbukti Tidak Benar 100% dari target 95%</t>
  </si>
  <si>
    <t>2. Masruro Tufani Ahmad, S.Kom., MT</t>
  </si>
  <si>
    <t>3. Dyah Kusumaning Putri, SE</t>
  </si>
  <si>
    <t>1. Agnesia Margaretha G, S.IAN</t>
  </si>
  <si>
    <t>2. Agus Hakim, SE</t>
  </si>
  <si>
    <t>3. Wan Achmad Reza Rinatha, ST., MT</t>
  </si>
  <si>
    <t>4. Daffah Ulfi Rahmatilah, SH</t>
  </si>
  <si>
    <t>5. Teddy Marza Kurniawan, S.H</t>
  </si>
  <si>
    <t>6. Sasetyo Gilang Kusumo, S.H</t>
  </si>
  <si>
    <t>7. Arie Ardiansyah, SH</t>
  </si>
  <si>
    <t>8. Rani Fajar Nestiti, S.T</t>
  </si>
  <si>
    <t>9. Bima Sakti Prayitno, ST, MT</t>
  </si>
  <si>
    <t>10. Febrian Sandhi Festanto, SH</t>
  </si>
  <si>
    <t>11. Rendra Proysa, ST</t>
  </si>
  <si>
    <t>12. Deinald Yuferson Damaledo, S.T</t>
  </si>
  <si>
    <t>13. Maya Puspita Maharani, S.H.,LL.M</t>
  </si>
  <si>
    <t>14. Rifqatin Ulya, SH., MH</t>
  </si>
  <si>
    <t>15. Elly Sulistyowati, SE</t>
  </si>
  <si>
    <t>16. Maryam Amin, SE</t>
  </si>
  <si>
    <t>17. Risa Monika, SIP</t>
  </si>
  <si>
    <t>18. Dhina Tri Hendriani, SE</t>
  </si>
  <si>
    <t>19. Dhian Martha Fitriyanti, ST., M.MT</t>
  </si>
  <si>
    <t>20. Hardiansyah, ST., MT</t>
  </si>
  <si>
    <t>21. Diah Putri Rahmawati, STr.T</t>
  </si>
  <si>
    <t>22. Khairu Annisa Hariadi, ST., MT</t>
  </si>
  <si>
    <t>1. Feby Lorentika, ST</t>
  </si>
  <si>
    <t>1. Sanggah Tidak Benar 100% dari target 99%
2. Pengaduan Tidak Benar 100% dari target 99%</t>
  </si>
  <si>
    <t xml:space="preserve">Belum Terisi dan Belum Tercukupi </t>
  </si>
  <si>
    <t>Penelaah Pengadaan Barang/Jasa</t>
  </si>
  <si>
    <t>1. Gunawan Arif Wibowo, SAP., MT</t>
  </si>
  <si>
    <t xml:space="preserve">2. Ratri Ayu Rahmayanti, SIP., MT </t>
  </si>
  <si>
    <t>3. Victor Frederick, ST., MT</t>
  </si>
  <si>
    <t>Analis Pengelola APBN Keuangan Ahli Muda</t>
  </si>
  <si>
    <t>Analis Pengelola APBN Keuangan Ahli Pertama</t>
  </si>
  <si>
    <t>Pranata Keuangan APBN Penyelia (PPSPM)</t>
  </si>
  <si>
    <t>1. Esthy Dwinda Purwaningjati, SH</t>
  </si>
  <si>
    <t>Nilai IKPA baik</t>
  </si>
  <si>
    <t>Perlu peningkatan di TW berikutnya</t>
  </si>
  <si>
    <t>Pranata Keuangan APBN Mahir</t>
  </si>
  <si>
    <t>akan terisi dari Penata Keuangan</t>
  </si>
  <si>
    <t>Pranata Keuangan APBN Terampil</t>
  </si>
  <si>
    <t>Analis SDM Ahli Muda</t>
  </si>
  <si>
    <t>Belum Terisi dan Belum Tercukupi</t>
  </si>
  <si>
    <t>Analis SDM Ahli Pertama</t>
  </si>
  <si>
    <t>Pranata Humas Ahli Pertama</t>
  </si>
  <si>
    <t>1. Siti Jauharoh Kartika Sari, S.I.Kom.</t>
  </si>
  <si>
    <t>Laporan PPID disampaikan tepat waktu</t>
  </si>
  <si>
    <t>dipertahankan</t>
  </si>
  <si>
    <t>1. Reski Aditya Desyawan, S.ST.</t>
  </si>
  <si>
    <t>Ketersediaan Data Kinerja Penyedia Jasa Konstruksi dengan Kntrak SYC di PU 100% dari target 100%</t>
  </si>
  <si>
    <t>1. Budiasih Dyah Saraswati, S.Kom</t>
  </si>
  <si>
    <t>Arsiparis Penyelia</t>
  </si>
  <si>
    <t>Arsiparis Mahir</t>
  </si>
  <si>
    <t>1. Isti Puji Rahayu, ST</t>
  </si>
  <si>
    <t>Penata Keuangan</t>
  </si>
  <si>
    <t>1. Putri Oktaviana A.P.Kb.N</t>
  </si>
  <si>
    <t>2. Edi Pramono, ST</t>
  </si>
  <si>
    <t>3. Dea Septiani, S.ST</t>
  </si>
  <si>
    <t>1. Paket Tender Tepat Waktu 99% dari target 98%
2. Sanggah Tidak Benar 94.7% dari target 99%
3. Pengaduan Tidak Benar 100% dari target 99%
4. Penetapan Pemenang yang ditolak PPK dan terbukti Tidak Benar 100% dari target 95%
5. Ketersediaan Data Kinerja Penyedia Jasa Konstruksi dengan Kntrak SYC di PU 100% dari target 100%
6. Tingkat Pemenuhan Layanan Pelaksanaan Pemilihan Jasa Konstruksi 98.5% dari target 98.5% untuk 1 Layanan</t>
  </si>
  <si>
    <t>Perlu peningkatan pengawasan terhadap penyusunan dokumen dan evaluasi tender/ seleksi sehingga sanggah benar berkurang</t>
  </si>
  <si>
    <t>akan terisi dari Pengelola Pengadaan Barang/ Jasa Ahli Muda</t>
  </si>
  <si>
    <t>19. Diah Putri Rahmawati, STr. T</t>
  </si>
  <si>
    <t>20. Khairu Annisa Hariadi, ST., MT</t>
  </si>
  <si>
    <t>1. Sanggah Tidak Benar 94.7% dari target 99%
2. Pengaduan Tidak Benar 100% dari target 99%</t>
  </si>
  <si>
    <t xml:space="preserve">Capaian Kinerja Individu </t>
  </si>
  <si>
    <t>1. Husnan Tajrie, ST., MT</t>
  </si>
  <si>
    <t>1. Tingkat Kinerja Layanan Pemilihan Jasa Konstruksi 97.47% dari target 80.50%
2. Tingkat Dukungan Manajemen Satuan Kerja Balai 0.88 dari target 1 Layanan</t>
  </si>
  <si>
    <t>Sudah terisi dan tercukupi dari Pengelola Pengadaan Barang/Jasa Ahli Pertama</t>
  </si>
  <si>
    <t>4. Khairu Annisa Hariadi, ST., MT</t>
  </si>
  <si>
    <t>5. Fauzianggi Rahmi Fitri, SE., MT</t>
  </si>
  <si>
    <t>20. Dwi Ananta Irwinsyah Putra, SE</t>
  </si>
  <si>
    <t>21. Dimas Al Hakim, SH</t>
  </si>
  <si>
    <t>22. Ahnaf Dzaky Rheinanda, S.H</t>
  </si>
  <si>
    <t xml:space="preserve">23. Ardhi Wisnu Nugraha, S.T </t>
  </si>
  <si>
    <t>24. Dahniar Achlis, S.Ars</t>
  </si>
  <si>
    <t>25. Farah Rosa Bela Asnawi, S.Ars</t>
  </si>
  <si>
    <t>26. Lalu Yodit Dwi Anggara, S.Ars</t>
  </si>
  <si>
    <t>27. Moh. Wildan Andhra Kusuma, ST</t>
  </si>
  <si>
    <t>28. Namiratus Syarifah, S.T</t>
  </si>
  <si>
    <t>29. Richardo Pratama Uruilal, ST</t>
  </si>
  <si>
    <t>Sudah terisi dan tercukupi dari Analis Pengelola APBN Keuangan Ahli Pertama</t>
  </si>
  <si>
    <t>1. Rahmanda Rafsyanjani, S.Ak</t>
  </si>
  <si>
    <t>akan ditindaklanjuti dengan usulan kebutuhan SDM ke Setditjen Bina Konstruksi</t>
  </si>
  <si>
    <t xml:space="preserve">1. Siti Jauharoh Kartika Sari, S.I.Kom </t>
  </si>
  <si>
    <t>2. Aisyah Nihayah Nimah, S.IKom</t>
  </si>
  <si>
    <t>3. Shabira Almaas Yanaayuri, S.Sn</t>
  </si>
  <si>
    <t>1. Chofifa Hidayati, S.Kom</t>
  </si>
  <si>
    <t>2.Amridio Zulhilmi Saifinnuha, S.Kom</t>
  </si>
  <si>
    <t>Pranata Komputer Penyelia</t>
  </si>
  <si>
    <t>Saat ini capaian kinerja masih bisa dipenuhi oleh Pranata Komputer Ahli Pertama</t>
  </si>
  <si>
    <t>Pranata Komputer Mahir</t>
  </si>
  <si>
    <t>Pranata Komputer Terampil</t>
  </si>
  <si>
    <t>Pranata Laksana Barang Penyelia</t>
  </si>
  <si>
    <t>Pranata Laksana Barang Mahir</t>
  </si>
  <si>
    <t>Pranata Laksana Barang Terampil</t>
  </si>
  <si>
    <t>Tingkat Dukungan Manajemen Satuan Kerja Balai 0.88 dari target 1 Layanan</t>
  </si>
  <si>
    <t>Perlu perbaikan untuk peningkatan capaian dukungan manajemen Satker</t>
  </si>
  <si>
    <t>Arsiparis Ahli Muda</t>
  </si>
  <si>
    <t>Arsiparis Ahli Pertama</t>
  </si>
  <si>
    <t>Sudah terisi dan tercukupi dari Arsiparis Terampil</t>
  </si>
  <si>
    <t>1. Pingkan Ernomo Putri, A.Md</t>
  </si>
  <si>
    <t>2. Aulia Hurin In, A.Md</t>
  </si>
  <si>
    <t>1. Penugasan Balai Tingkat Kualitas Pembinaan Pengadaan Barang dan Jasa dengan output 3 Laporan terkait PE ITKP dan e-Purchasing, PE Tertib Proses Pemilihan dan PE SIPBJ 3 Laporan dari target 3 Laporan
2. Tingkat Kinerja Layanan Pemilihan Jasa Konstruksi 97.71% dari target 80.50%
3. Tingkat Dukungan Manajemen Satuan Kerja Balai 87.34% dari target 74.58%</t>
  </si>
  <si>
    <t>Target capaian organisasi sudah tercapai. Kinerja diipertahankan bahkan ditingkatkan di Tahun Anggaran berikutnya</t>
  </si>
  <si>
    <t>1. Maya Puspita Maharani, S.H.,LL.M</t>
  </si>
  <si>
    <t>6. Rifqatin Ulya, SH., MH</t>
  </si>
  <si>
    <t>13. Elly Sulistyowati, SE</t>
  </si>
  <si>
    <t>14. Maryam Amin, SE</t>
  </si>
  <si>
    <t>15. Risa Monika, SIP</t>
  </si>
  <si>
    <t>16. Dhina Tri Hendriani, SE</t>
  </si>
  <si>
    <t>17. Diah Putri Rahmawati, STr. T</t>
  </si>
  <si>
    <t>18. Dwi Ananta Irwinsyah Putra, SE</t>
  </si>
  <si>
    <t>19. Dimas Al Hakim, SH</t>
  </si>
  <si>
    <t>20. Ahnaf Dzaky Rheinanda, S.H</t>
  </si>
  <si>
    <t xml:space="preserve">21. Ardhi Wisnu Nugraha, S.T </t>
  </si>
  <si>
    <t>22. Dahniar Achlis, S.Ars</t>
  </si>
  <si>
    <t>23. Farah Rosa Bela Asnawi, S.Ars</t>
  </si>
  <si>
    <t>24. Lalu Yodit Dwi Anggara, S.Ars</t>
  </si>
  <si>
    <t>25. Moh. Wildan Andhra Kusuma, ST</t>
  </si>
  <si>
    <t>26. Namiratus Syarifah, S.T</t>
  </si>
  <si>
    <t>27. Richardo Pratama Uruilal, ST</t>
  </si>
  <si>
    <t>Tingkat Dukungan Manajemen Satuan Kerja Balai 87.34% dari target 74.58%</t>
  </si>
  <si>
    <t>Masih bisa tercukupi oleh arsiparis terampil yang ada</t>
  </si>
  <si>
    <t xml:space="preserve">1. Dea Septiani, S, ST </t>
  </si>
  <si>
    <t>2. Wiji Putra Imaskadyawanto, S.Kom</t>
  </si>
  <si>
    <t>3. Budi Prayitno Utomo, S.T.</t>
  </si>
  <si>
    <t>1. Rudi Arifin</t>
  </si>
  <si>
    <t xml:space="preserve">2. Muklis Sugeng Hariadi </t>
  </si>
  <si>
    <t xml:space="preserve">3. Sapto Daryanto </t>
  </si>
  <si>
    <t>KEBUTUHAN PEGAWAI BP2JK WILAYAH JAWA TIMUR</t>
  </si>
  <si>
    <t>KELAS JABATAN</t>
  </si>
  <si>
    <t>EKSISTING PEGAWAI</t>
  </si>
  <si>
    <t>KEBUTUHAN PEGAWAI</t>
  </si>
  <si>
    <t>DEVIASI</t>
  </si>
  <si>
    <t>NAMA PEGAWAI</t>
  </si>
  <si>
    <t>PLT KEPALA BALAI PELAKSANA PEMILIHAN JASA KONSTRUKSI WILAYAH JAWA TIMUR</t>
  </si>
  <si>
    <t>Ir. Agus Kurniawan
NIP 196708181992031011
(IV/c - S1)</t>
  </si>
  <si>
    <t xml:space="preserve">KASUBBAG UMUM DAN TATA USAHA                </t>
  </si>
  <si>
    <t xml:space="preserve">Ode Siti Andini Ladamay, ST.,MT 	
NIP. 198501222010122002	
(III/d - S2)	</t>
  </si>
  <si>
    <t>Analis Sumber Daya Manusia Ahli Muda</t>
  </si>
  <si>
    <t>Analis Sumber Daya Manusia Ahli Pertama</t>
  </si>
  <si>
    <t>Analis Pengelolaan Keuangan APBN Ahli Muda</t>
  </si>
  <si>
    <t>Pranata Keuangan APBN Penyelia (PPSPM )</t>
  </si>
  <si>
    <t>Esthy Dwinda Purwaningjati, SH
NIP. 197811212005022001</t>
  </si>
  <si>
    <t>Putri Oktaviana, A.P, KbN</t>
  </si>
  <si>
    <t>NIP. 200010302019122001</t>
  </si>
  <si>
    <t>NIP. 197202092014121003</t>
  </si>
  <si>
    <t>Dea Septiani, S.ST (Non PNS)</t>
  </si>
  <si>
    <t>NRP. C22091992092018002</t>
  </si>
  <si>
    <t>Reski Aditya Desyawan</t>
  </si>
  <si>
    <t>NIP. 199512172024212008</t>
  </si>
  <si>
    <t>Siti Jauharoh Kartika Sari, S.I.Kom</t>
  </si>
  <si>
    <t>NIP. 199404022023212032</t>
  </si>
  <si>
    <t>NIP. 198809092010122002</t>
  </si>
  <si>
    <t>NIP. 198601132008122001</t>
  </si>
  <si>
    <t>Penelaah PBJ</t>
  </si>
  <si>
    <t>Gunawan Arif Wibowo, SAP., MT</t>
  </si>
  <si>
    <t>NIP. 198711072010121001</t>
  </si>
  <si>
    <t>Ratri Ayu Rahmayanti, SIP., MT</t>
  </si>
  <si>
    <t>NIP. 198606102010122004</t>
  </si>
  <si>
    <t>NIP. 196703092008121002</t>
  </si>
  <si>
    <t>Pengemudi (NRP)</t>
  </si>
  <si>
    <t>NRP. G10061984092018001</t>
  </si>
  <si>
    <t>NRP. A25071982092018001</t>
  </si>
  <si>
    <t>Sapto Daryanto (NRP)</t>
  </si>
  <si>
    <t>NRP. G28031976092018001</t>
  </si>
  <si>
    <t>Wiji Putra Imaskadyawanto</t>
  </si>
  <si>
    <t>NRP. G17011993092018001</t>
  </si>
  <si>
    <t>NRP. G28031991092018001</t>
  </si>
  <si>
    <t>Pengelola PBJ Ahli Pertama</t>
  </si>
  <si>
    <t>Agnesia Margaretha G, S.IAN</t>
  </si>
  <si>
    <t>NIP. 199403092020122005</t>
  </si>
  <si>
    <t>NIP. 197103072007011001</t>
  </si>
  <si>
    <t>Wan Achmad Reza Rinatha, ST., MT</t>
  </si>
  <si>
    <t>NIP. 198901072020121015</t>
  </si>
  <si>
    <t>Daffah Ulfi Rahmatilah, SH</t>
  </si>
  <si>
    <t>NIP. 199609182019032008</t>
  </si>
  <si>
    <t>NIP. 199103092019031009</t>
  </si>
  <si>
    <t>Sasetyo Gilang Kusumo, S.H</t>
  </si>
  <si>
    <t>NIP. 199104052019031011</t>
  </si>
  <si>
    <t>NIP. 199407312019031006</t>
  </si>
  <si>
    <t>NIP. 199503292020122006</t>
  </si>
  <si>
    <t>Bima Sakti Prayitno, ST, MT</t>
  </si>
  <si>
    <t>NIP. 199510242020121003</t>
  </si>
  <si>
    <t>NIP. 198902192019031006</t>
  </si>
  <si>
    <t>NIP. 197711252014101002</t>
  </si>
  <si>
    <t>NIP. 198006112007011008</t>
  </si>
  <si>
    <t>NIP. 199209262020122006</t>
  </si>
  <si>
    <t>Rifqatin Ulya, SH., MH</t>
  </si>
  <si>
    <t>NIP. 199505132020122004</t>
  </si>
  <si>
    <t>NIP. 198405252023212045</t>
  </si>
  <si>
    <t>NIP. 197402022023212011</t>
  </si>
  <si>
    <t>Risa Monika, SIP</t>
  </si>
  <si>
    <t>NIP. 198804212023212057</t>
  </si>
  <si>
    <t>NIP. 197809102024212004</t>
  </si>
  <si>
    <t>Dhian Martha Fitriyanti, ST., M.MT</t>
  </si>
  <si>
    <t>NIP. 199103162020122010</t>
  </si>
  <si>
    <t>Hardiansyah, ST., MT</t>
  </si>
  <si>
    <t>NIP. 198807292020121005</t>
  </si>
  <si>
    <t>Diah Putri Rahmawati, STr.T</t>
  </si>
  <si>
    <t>NIP. 199703062020122005</t>
  </si>
  <si>
    <t>Pengelola PBJ Ahli Muda</t>
  </si>
  <si>
    <t>Fadlila Rohmadani, SST</t>
  </si>
  <si>
    <t>NIP. 198806012010121004</t>
  </si>
  <si>
    <t>Masruro Tufani Ahmad, S.Kom., MT</t>
  </si>
  <si>
    <t>NIP. 198808272010122003</t>
  </si>
  <si>
    <t>Khairu Annisa Hariadi, ST., MT</t>
  </si>
  <si>
    <t>NIP. 199211052020122005</t>
  </si>
  <si>
    <t>Dyah Kusumaning Putri, SE</t>
  </si>
  <si>
    <t>NIP. 198405012010122005</t>
  </si>
  <si>
    <t>Pengelola PBJ Ahli Madya</t>
  </si>
  <si>
    <t>Jafung Pembina Jakon Ahli Madya</t>
  </si>
  <si>
    <t>NIP. 196806031997031004</t>
  </si>
  <si>
    <t>Jafung Pembina Jakon Ahli Muda</t>
  </si>
  <si>
    <t>NIP. 199102142018022001</t>
  </si>
  <si>
    <t>Jafung Pembina Jakon Ahli Pertama</t>
  </si>
  <si>
    <t>KEPALA BALAI PELAKSANA PEMILIHAN JASA KONSTRUKSI WILAYAH JAWA TIMUR</t>
  </si>
  <si>
    <t>Husnan Tajrie, ST., MT
NIP. 196908221998031005
(IV/b - S 2)</t>
  </si>
  <si>
    <t xml:space="preserve">PLT KASUBBAG UMUM DAN TATA USAHA                </t>
  </si>
  <si>
    <t>Rahmanda Rafsyanjani
NIP. 199909082025061013</t>
  </si>
  <si>
    <t>Chofifa Hidayati
NIP. 200005242025062015</t>
  </si>
  <si>
    <t>Amridio Zulhilmi Saifinnuha
NIP. 199601282025061008</t>
  </si>
  <si>
    <t xml:space="preserve">Pranata  Hubungan Masyarakat Ahli Pertama </t>
  </si>
  <si>
    <t xml:space="preserve">Siti Jauharoh Kartika Sari, S.I.Kom </t>
  </si>
  <si>
    <t>Aisyah Nihayah Nimah</t>
  </si>
  <si>
    <t>NIP. 199904102025062014</t>
  </si>
  <si>
    <t>Shabira Almaas Yanaayuri</t>
  </si>
  <si>
    <t>NIP. 199701202025062007</t>
  </si>
  <si>
    <t>Penelaah Teknis Kebijakan (Bendahara)</t>
  </si>
  <si>
    <t>Penelaah Teknis Kebijakan (Penyusun Rencana Kegiatan dan Anggaran)</t>
  </si>
  <si>
    <t xml:space="preserve">Arsiparis Terampil </t>
  </si>
  <si>
    <t>Pingkan Ernomo Putri</t>
  </si>
  <si>
    <t>NIP. 199701232025062017</t>
  </si>
  <si>
    <t>Aulia Hurin In</t>
  </si>
  <si>
    <t>NIP. 199812102025062013</t>
  </si>
  <si>
    <t xml:space="preserve">Dea Septiani, S, ST </t>
  </si>
  <si>
    <t>Rudi Arifin (Non PNS)</t>
  </si>
  <si>
    <t>Muklis Sugeng Hariadi (Non PNS)</t>
  </si>
  <si>
    <t>Sapto Daryanto (Non PNS)</t>
  </si>
  <si>
    <t xml:space="preserve">Daffah Ulfi Rahmatilah, SH </t>
  </si>
  <si>
    <t xml:space="preserve">Sasetyo Gilang Kusumo, S.H </t>
  </si>
  <si>
    <t xml:space="preserve">Arie Ardiansyah, SH </t>
  </si>
  <si>
    <t xml:space="preserve">Febrian Sandhi Festanto, SH </t>
  </si>
  <si>
    <t>Dwi Ananta Irwinsyah Putra, SE</t>
  </si>
  <si>
    <t>NIP. 199507152020121006</t>
  </si>
  <si>
    <t>Dimas Al Hakim, SH</t>
  </si>
  <si>
    <t>NIP. 199501012020121010</t>
  </si>
  <si>
    <t>Ahnaf Dzaky Rheinanda, S.H</t>
  </si>
  <si>
    <t>NIP. 200109082025061007</t>
  </si>
  <si>
    <t xml:space="preserve">Ardhi Wisnu Nugraha, S.T </t>
  </si>
  <si>
    <t>NIP. 199306182025061004</t>
  </si>
  <si>
    <t>Dahniar Achlis, S.Ars</t>
  </si>
  <si>
    <t>NIP. 200004012025062021</t>
  </si>
  <si>
    <t>NIP. 199811192025062016</t>
  </si>
  <si>
    <t>Lalu Yodit Dwi Anggara, S.Ars</t>
  </si>
  <si>
    <t>NIP. 200106272025061012</t>
  </si>
  <si>
    <t>Moh. Wildan Andhra Kusuma, ST</t>
  </si>
  <si>
    <t>NIP. 200106072025061010</t>
  </si>
  <si>
    <t>Namiratus Syarifah, S.T</t>
  </si>
  <si>
    <t>NIP. 200211182025062004</t>
  </si>
  <si>
    <t>Richardo Pratama Uruilal, ST</t>
  </si>
  <si>
    <t>NIP. 200012162025061011</t>
  </si>
  <si>
    <t>Fauzianggi Rahmi Fitri, SE., MT</t>
  </si>
  <si>
    <t>NIP. 198606102010122002</t>
  </si>
  <si>
    <t xml:space="preserve">Ratri Ayu Rahmayanti, SIP., MT </t>
  </si>
  <si>
    <t xml:space="preserve">Feby Lorentika, S
</t>
  </si>
  <si>
    <t>KEBUTUHAN SELEKSI PENGADAAN CALON PEGAWAI NEGERI SIPIL DI BALAI PELAKSANA PEMILIHAN JASA KONSTRUKSI WILAYAH JAWA TIMUR
KEMENTERIAN PEKERJAAN UMUM DAN PERUMAHAN RAKYAT TAHUN 2024</t>
  </si>
  <si>
    <t>N0</t>
  </si>
  <si>
    <t xml:space="preserve">JABATAN </t>
  </si>
  <si>
    <t>PROGRAM STUDI</t>
  </si>
  <si>
    <t xml:space="preserve">ALOKASI KEBUTUHAN </t>
  </si>
  <si>
    <t>REALISASI</t>
  </si>
  <si>
    <t>JENIS KEBUTUHAN</t>
  </si>
  <si>
    <t xml:space="preserve">UNIT KERJA PENEMPATAN </t>
  </si>
  <si>
    <t>JUMLAH</t>
  </si>
  <si>
    <t>ANALIS PENGELOLAAN KEUANGAN APBN AHLI PERTAMA</t>
  </si>
  <si>
    <t>- D-IV MANAJEMEN KEUANGAN SEKTOR PUBLIK 
- D-IV KEUANGAN PUBLIK 
- D-IV AKUNTANSI PERPAJAKAN 
- D-IV KEBIJAKAN DAN MANAJEMEN PAJAK 
- D-IV PERBANKAN DAN KEUANGAN DIGITAL 
- S-1 KEUANGAN ISLAM 
- S-1 AKUNTANSI 
- S-1 EKONOMI 
- S-1 MANAJEMEN 
- D-IV AKUNTANSI SEKTOR PUBLIK 
- S-1 EKONOMI, KEUANGAN, DAN PERBANKAN 
- S-1 ADMINISTRASI BISNIS 
- S-1 EKONOMI PEMBANGUNAN 
- S-1 EKONOMI SYARIAH</t>
  </si>
  <si>
    <t>UMUM</t>
  </si>
  <si>
    <t>Direktorat Jenderal Bina Konstruksi | Balai Pelaksana Pemilihan Jasa Konstruksi Wilayah Jawa Timur</t>
  </si>
  <si>
    <t xml:space="preserve">1 Pegawai
1. RAHMANDA RAFSYANJANI  (S-1 AKUNTANSI)
</t>
  </si>
  <si>
    <t>PENGELOLA PENGADAAN BARANG/JASA AHLI PERTAMA</t>
  </si>
  <si>
    <t>- S-1 SISTEM INFORMASI 
- S-1 ILMU INFORMATIKA 
- S-1 EKONOMI 
- S-1 MANAJEMEN 
- S-1 TEKNIK SIPIL 
- S-1 ARSITEKTUR 
- S-1 HUKUM 
- S-1 ILMU KOMPUTER 
- S-1 EKONOMI PEMBANGUNAN 
- S-1 ARSITEKTUR LANSKAP</t>
  </si>
  <si>
    <t>LULUSAN TERBAIK</t>
  </si>
  <si>
    <t xml:space="preserve">1 Pegawai
1. FARAH ROSA BELA ASNAWI (S-1 ARSITEKTUR)
</t>
  </si>
  <si>
    <t>- S-1 SISTEM INFORMASI 
- S-1 ILMU INFORMATIKA 
- S-1 EKONOMI 
- S-1 MANAJEMEN 
- S-1 TEKNIK SIPIL 
- S-1 ARSITEKTUR 
- S-1 HUKUM 
- S-1 ILMU KOMPUTER 
- S-1 EKONOMI PEMBANGUNAN 
- S-1 ARSITEKTUR LANSKA</t>
  </si>
  <si>
    <t xml:space="preserve">7 Pegawai
1. DAHNIAR ACHLIS (S-1 ARSITEKTUR)
2. MOH. WILDAN ANDHRA KUSUMA (S-1 TEKNIK SIPIL)
3. RICHARDO PRATAMA URUILAL (S-1 TEKNIK SIPIL)
4. ARDHI WISNU NUGRAHA (S-1 TEKNIK SIPIL)
5. AHNAF DZAKY RHEINANDA (S-1 HUKUM)
6. NAMIRATUS SYARIFAH (S-1 TEKNIK SIPIL)
7. LALU YODIT DWI ANGGARA (S-1 ARSITEKTUR)
</t>
  </si>
  <si>
    <t>PRANATA HUBUNGAN MASYARAKAT AHLI PERTAMA</t>
  </si>
  <si>
    <t>- D-IV DESAIN GRAFIS 
- D-IV HUBUNGAN MASYARAKAT 
- D-IV DESAIN KOMUNIKASI VISUAL 
- D-IV KOMUNIKASI MASSA 
- D-IV MANAJEMEN INFORMASI DAN KOMUNIKASI 
- S-1 MANAJEMEN KOMUNIKASI 
- S-1 FILM DAN TELEVISI 
- S-1 DESAIN KOMUNIKASI VISUAL 
- S-1 ILMU KOMUNIKASI 
- S-1 JURNALISTIK 
- S-1 HUBUNGAN MASYARAKAT</t>
  </si>
  <si>
    <t xml:space="preserve">2 Pegawai
1. AISYAH NIHAYAH NIMAH (S-1 ILMU KOMUNIKASI)
2. SHABIRA ALMAAS YANAAYURI (S-1 FILM DAN TELEVISI)
</t>
  </si>
  <si>
    <t>PRANATA KOMPUTER AHLI PERTAMA</t>
  </si>
  <si>
    <t>- D-IV TEKNIK INFORMATIKA 
- S-1 SISTEM DAN TEKNOLOGI INFORMASI
- S-1 SISTEM INFORMASI 
- S-1 ILMU INFORMATIKA 
- S-1 TEKNIK INFORMATIKA 
- S-1 ILMU KOMPUTER 
- S-1 TEKNOLOGI INFORMASI</t>
  </si>
  <si>
    <t>2 Pegawai
1. CHOFIFA HIDAYATI (S-1 TEKNOLOGI INFORMASI)
2. AMRIDIO ZULHILMI SAIFINNUHA (S-1 TEKNIK INFORMATIKA)</t>
  </si>
  <si>
    <t>ARSIPARIS TERAMPIL</t>
  </si>
  <si>
    <t>- D-III KESEKRETARIATAN 
- D-III MANAJEMEN 
- D-III ADMINISTRASI PERKANTORAN 
- D-III PERPUSTAKAAN 
- D-III KEARSIPAN 
- D-III ADMINISTRASI NEGARA 
- D-III ADMINISTRASI PUBLIK</t>
  </si>
  <si>
    <t xml:space="preserve">2 Pegawai
1. PINGKAN ERNOMO PUTRI (D-III ADMINISTRASI NEGARA)
2. AULIA HURIN IN  (D-III ADMINISTRASI NEGARA)
</t>
  </si>
  <si>
    <t>IDENTIFIKASI KEBUTUHAN AKAN PENGEMBANGAN KOMPETENSI MANAJEMEN TA. 2026</t>
  </si>
  <si>
    <t>PUSAT PENGEMBANGAN KOMPETENSI MANAJEMEN</t>
  </si>
  <si>
    <t>Unit Organisasi : Balai Pelaksana Pemilihan Jasa Konstruksi Wilayah Jawa Timur</t>
  </si>
  <si>
    <t>Nama Pelatihan/Bimtek/Webinar</t>
  </si>
  <si>
    <r>
      <rPr>
        <b/>
        <i/>
        <sz val="11"/>
        <color rgb="FF000000"/>
        <rFont val="Calibri"/>
        <scheme val="minor"/>
      </rPr>
      <t>Check List</t>
    </r>
    <r>
      <rPr>
        <b/>
        <sz val="11"/>
        <color rgb="FF000000"/>
        <rFont val="Calibri"/>
        <scheme val="minor"/>
      </rPr>
      <t xml:space="preserve"> Kebutuhan</t>
    </r>
  </si>
  <si>
    <t>Prioritas Pelatihan (Mendesak/ Biasa)</t>
  </si>
  <si>
    <t>Jumlah Perkiraan Peserta</t>
  </si>
  <si>
    <t>(1)</t>
  </si>
  <si>
    <t>(2)</t>
  </si>
  <si>
    <t>(3)</t>
  </si>
  <si>
    <t>(4)</t>
  </si>
  <si>
    <t>(5)</t>
  </si>
  <si>
    <t>MANAJERIAL</t>
  </si>
  <si>
    <t>Pelatihan Kepemimpinan Nasional Tingkat II (PKN II)</t>
  </si>
  <si>
    <t>Pelatihan Kepemimpinan Administrator (PKA)</t>
  </si>
  <si>
    <t>Pelatihan Kepemimpinan Pengawas (PKP)</t>
  </si>
  <si>
    <t>Biasa</t>
  </si>
  <si>
    <t>FUNGSIONAL</t>
  </si>
  <si>
    <t>Teknis Fungsional Pengelolaan Keuangan APBN</t>
  </si>
  <si>
    <t>Dasar Fungsional Pembina Jasa Konstruksi</t>
  </si>
  <si>
    <t>Fungsional Pembina Jasa Konstruksi Ahli Muda</t>
  </si>
  <si>
    <t>Fungsional Pengelola Pengadaan Barang/Jasa</t>
  </si>
  <si>
    <t>Fungsional Perencana</t>
  </si>
  <si>
    <t>Fungsional Pranata SDM Aparatur</t>
  </si>
  <si>
    <t>Fungsional Analis SDM Aparatur</t>
  </si>
  <si>
    <t>Fungsional Assesor SDM Aparatur</t>
  </si>
  <si>
    <t>Fungsional Arsiparis</t>
  </si>
  <si>
    <t>Fungsional Analis Kebijakan</t>
  </si>
  <si>
    <t>Fungsional Teknis Pranata Komputer</t>
  </si>
  <si>
    <t>Fungsional Pranata Humas</t>
  </si>
  <si>
    <t>Fungsional Widyaiswara</t>
  </si>
  <si>
    <t>Manajemen Pengembangan SDM</t>
  </si>
  <si>
    <t>Kepatuhan Internal</t>
  </si>
  <si>
    <t>Pengelolaan Manajemen Risiko</t>
  </si>
  <si>
    <t>Pengelolaan Barang Milik Negara (BMN)</t>
  </si>
  <si>
    <t>Tata Persuratan dan Kearsipan</t>
  </si>
  <si>
    <t>Pelaksanaan Anggaran</t>
  </si>
  <si>
    <t>Perencanaan Anggaran</t>
  </si>
  <si>
    <t>Sistem Akuntansi Instansi (SAI)</t>
  </si>
  <si>
    <t>Pengelolaan Pinjaman dan Hibah Luar Negeri (PHLN)</t>
  </si>
  <si>
    <t>Policy Brief</t>
  </si>
  <si>
    <t>Penyusunan Kurikulum dan Modul</t>
  </si>
  <si>
    <t>Data Science</t>
  </si>
  <si>
    <t>Training of Trainer (TOT) bagi Pengajar</t>
  </si>
  <si>
    <t>Management of Training (MoT)</t>
  </si>
  <si>
    <t>Training Officer Course (TOC)</t>
  </si>
  <si>
    <t>KONSTRUKSI</t>
  </si>
  <si>
    <t>Pengadaan Barang/Jasa (PBJ) Pemerintah Level-1</t>
  </si>
  <si>
    <t>Mendesak</t>
  </si>
  <si>
    <t>Pengadaan Barang/Jasa (PBJ) Pemerintah Level-2 (untuk PPK Tipe C)</t>
  </si>
  <si>
    <t>Pengadaan Barang/Jasa (PBJ) Pemerintah Level-3 (untuk PPK Tipe B)</t>
  </si>
  <si>
    <t>Sistem Manajemen Keselamatan Konstruksi (SMKK) Ahli Muda</t>
  </si>
  <si>
    <t>Sistem Manajemen Keselamatan Konstruksi (SMKK) Ahli Madya</t>
  </si>
  <si>
    <t>Pengawas Pekerjaan Konstruksi</t>
  </si>
  <si>
    <t>Manajemen Kosntruksi</t>
  </si>
  <si>
    <t>Hukum Kontrak Kerja Konstruksi (HKKK)</t>
  </si>
  <si>
    <t>Pelaksanaan Konstruksi Terintegrasi Rancang dan Bangun</t>
  </si>
  <si>
    <t>Penyelenggaraan Proyek Infrastruktur PU dengan Metodologi Building Information Modelling (BIM)</t>
  </si>
  <si>
    <t>Identifikasi Kegagalan Bangunan</t>
  </si>
  <si>
    <t>Estimasi Biaya Konstruksi</t>
  </si>
  <si>
    <t>Studi Kelayakan Proyek Infrastruktur</t>
  </si>
  <si>
    <t>Manajemen Resiko Infrastruktur</t>
  </si>
  <si>
    <r>
      <rPr>
        <sz val="11"/>
        <color rgb="FF000000"/>
        <rFont val="Calibri"/>
        <scheme val="minor"/>
      </rPr>
      <t>Ahli Rekayasa Nilai (</t>
    </r>
    <r>
      <rPr>
        <i/>
        <sz val="11"/>
        <color rgb="FF000000"/>
        <rFont val="Calibri"/>
        <scheme val="minor"/>
      </rPr>
      <t>Value Engineering</t>
    </r>
    <r>
      <rPr>
        <sz val="11"/>
        <color rgb="FF000000"/>
        <rFont val="Calibri"/>
        <scheme val="minor"/>
      </rPr>
      <t>)</t>
    </r>
  </si>
  <si>
    <t>Manajemen Rantai Pasok</t>
  </si>
  <si>
    <t>:</t>
  </si>
  <si>
    <t>Kolom 1</t>
  </si>
  <si>
    <t>: Nomor urut</t>
  </si>
  <si>
    <t>Kolom 2</t>
  </si>
  <si>
    <t>: Daftar Pelatihan/Bimtek/Webinar</t>
  </si>
  <si>
    <t>Kolom 3</t>
  </si>
  <si>
    <t>: Diisi ✓ (Ya) dan X (Tidak)</t>
  </si>
  <si>
    <t>Kolom 4</t>
  </si>
  <si>
    <t>: Diisi sesuai kebutuhan (mendesak atau biasa)</t>
  </si>
  <si>
    <t>Kolom 5</t>
  </si>
  <si>
    <t>: Diisi perkiraan jumlah peserta yang akan diikutsertakan</t>
  </si>
  <si>
    <t>Januari</t>
  </si>
  <si>
    <t>Februari</t>
  </si>
  <si>
    <t>Maret</t>
  </si>
  <si>
    <t>April</t>
  </si>
  <si>
    <t>Mei</t>
  </si>
  <si>
    <t>Juni</t>
  </si>
  <si>
    <t>Juli</t>
  </si>
  <si>
    <t>Agustus</t>
  </si>
  <si>
    <t>September</t>
  </si>
  <si>
    <t>Oktober</t>
  </si>
  <si>
    <t>November</t>
  </si>
  <si>
    <t>Desember</t>
  </si>
  <si>
    <t>Rekap</t>
  </si>
  <si>
    <t>Alpa (Hari)</t>
  </si>
  <si>
    <t>TL (Menit)</t>
  </si>
  <si>
    <t>PSW (Menit)</t>
  </si>
  <si>
    <t>Total KJK (Menit)</t>
  </si>
  <si>
    <t>Ir. Achmad Darmawijaya</t>
  </si>
  <si>
    <t xml:space="preserve"> Victor Frederick S.T., M.T.,</t>
  </si>
  <si>
    <t>DAFTAR TIM PENELITI 2025</t>
  </si>
  <si>
    <t>Fadlila Rohmadani, S.S.T</t>
  </si>
  <si>
    <t>Daffah Ulfi Rahmatillah, SH</t>
  </si>
  <si>
    <t>Dewi Rochmawati, ST</t>
  </si>
  <si>
    <t>197902242009112001</t>
  </si>
  <si>
    <t>Ode Siti Andini Ladamay, ST., MT</t>
  </si>
  <si>
    <t>Firda Ramadhani Nuzula, S.T., M.Eng</t>
  </si>
  <si>
    <t>198605252010122002</t>
  </si>
  <si>
    <t>SEMULA</t>
  </si>
  <si>
    <t>MENJADI</t>
  </si>
  <si>
    <t>Khairu Annisa Hariadi, S.T., M.T</t>
  </si>
  <si>
    <t>Fauzianggi Rahmi Fitri, S.E., M.T</t>
  </si>
  <si>
    <t>Dwi Ananta Irwinsyah Putra, S.E</t>
  </si>
  <si>
    <t>DAFTAR TIM PENELITI 2026</t>
  </si>
  <si>
    <t>199010082020121004</t>
  </si>
  <si>
    <t>Galih Indra Prasetya, S.M</t>
  </si>
  <si>
    <t>199409142020121002</t>
  </si>
  <si>
    <t>Data Kinerja Pokja Pemilihan</t>
  </si>
  <si>
    <t>DATA PEMENANG</t>
  </si>
  <si>
    <t>NAMA PAKET</t>
  </si>
  <si>
    <t>UNOR</t>
  </si>
  <si>
    <t>PAGU PENGADAAN 
(Rp Ribu)</t>
  </si>
  <si>
    <t>HPS</t>
  </si>
  <si>
    <t>JENIS PENGADAAN</t>
  </si>
  <si>
    <t>SYC/MYC</t>
  </si>
  <si>
    <t>Sumber Dana</t>
  </si>
  <si>
    <t>Nama PPK dan Kontak Person</t>
  </si>
  <si>
    <t>TAHAPAN PEMILIHAN SAAT INI</t>
  </si>
  <si>
    <t>Nama Personil Pokja Pemilihan</t>
  </si>
  <si>
    <t>TIM PELAKSANA</t>
  </si>
  <si>
    <t>TIM PENILITI</t>
  </si>
  <si>
    <t>Tgl. Tayang</t>
  </si>
  <si>
    <t>Tgl. Penetapan
(Rencana)</t>
  </si>
  <si>
    <t>Durasi Sampai tgl rencana penetapan</t>
  </si>
  <si>
    <t>Durasi Paket Per Hari Ini</t>
  </si>
  <si>
    <t>Tanggal penetapan aktual</t>
  </si>
  <si>
    <t>Durasi sampai penetapan aktual</t>
  </si>
  <si>
    <t>Keterangan Durasi Paket</t>
  </si>
  <si>
    <t>Sisa Hari Agar Paket Tidak Terlambat</t>
  </si>
  <si>
    <t>Tanggal Mulai Evaluasi</t>
  </si>
  <si>
    <t>Tanggal selesai evaluasi</t>
  </si>
  <si>
    <t>Jumlah Hari Evaluasi Per Hari Ini</t>
  </si>
  <si>
    <t>JUMLAH HARI EVALUASI TOTAL</t>
  </si>
  <si>
    <t>SUDAH MENGAJUKAN PENELITIAN/ BELUM</t>
  </si>
  <si>
    <t>KRONOLOGI PAKET</t>
  </si>
  <si>
    <t>Kendala yang dapat mengurangi waktu pelaksanaan pekerjaan</t>
  </si>
  <si>
    <t>KETEPATAN WAKTU TERHADAP KEBUTUHAN VALIDASI 
(JK = 60HK; PK = 45HK)</t>
  </si>
  <si>
    <t>TOTAL HARI PELAKSANAAN SETELAH DIKURANGI KENDALA</t>
  </si>
  <si>
    <t>SISA HARI PELAKSANAAN SETELAH DIKURANGI KENDALA</t>
  </si>
  <si>
    <t>STATUS</t>
  </si>
  <si>
    <t>NAMA PERUSAHAAN</t>
  </si>
  <si>
    <t>NAMA DIREKTUR</t>
  </si>
  <si>
    <t>ALAMAT LENGKAP SAMPAI KOTA DAN PROVINSI</t>
  </si>
  <si>
    <t>NPWP</t>
  </si>
  <si>
    <t>EMAIL</t>
  </si>
  <si>
    <t>NO TLP</t>
  </si>
  <si>
    <t>NILAI PENAWARAN TERKOREKSI/ HARGA NEGO (Rp)</t>
  </si>
  <si>
    <t>LOKAL/ TIDAK</t>
  </si>
  <si>
    <t>Prosentase Penawaran</t>
  </si>
  <si>
    <t>Tanggal penyerahan BAHP</t>
  </si>
  <si>
    <t>SUDAH PENETAPAN/ BELUM</t>
  </si>
  <si>
    <t>Jenis Pengadaan</t>
  </si>
  <si>
    <t>JUMLAH PAKET TW I</t>
  </si>
  <si>
    <t>JUMLAH PAKET TW II</t>
  </si>
  <si>
    <t>PROSES</t>
  </si>
  <si>
    <t>BAHP</t>
  </si>
  <si>
    <t>SPPBJ</t>
  </si>
  <si>
    <t>KONTRAK</t>
  </si>
  <si>
    <t>SUDAH PENETAPAN</t>
  </si>
  <si>
    <t>SDA</t>
  </si>
  <si>
    <t>BM</t>
  </si>
  <si>
    <t>CK</t>
  </si>
  <si>
    <t>PS</t>
  </si>
  <si>
    <t>TOTAL</t>
  </si>
  <si>
    <t>Pendampingan</t>
  </si>
  <si>
    <t>SIPBJ</t>
  </si>
  <si>
    <t>PEKERJAAN JASA KONSULTANSI</t>
  </si>
  <si>
    <t>1</t>
  </si>
  <si>
    <t>JASA OPERASIONAL SMKS JEMBATAN SURAMADU</t>
  </si>
  <si>
    <t>DJBM</t>
  </si>
  <si>
    <t>SYC</t>
  </si>
  <si>
    <t>APBN</t>
  </si>
  <si>
    <t>Intan Yuanita, S.T., M.T. (+62 813-3133-8889)</t>
  </si>
  <si>
    <t>18 Terkontrak</t>
  </si>
  <si>
    <t>Agnesia Margaretha Gunawan, S.IAN.</t>
  </si>
  <si>
    <t>Feby Lorentika, ST
Victor Frederick, S.T., M.T.
Risa Monika, S.IP</t>
  </si>
  <si>
    <t>Khairu Annisa Hariadi, S.T.,M.T
Daffah Ulfi Rahmatillah,SH
Fadlila Rohmadani, S.ST</t>
  </si>
  <si>
    <t>Selesai</t>
  </si>
  <si>
    <r>
      <rPr>
        <b/>
        <sz val="12"/>
        <color rgb="FF000000"/>
        <rFont val="Arial"/>
      </rPr>
      <t xml:space="preserve">Hari Libur Nasional: </t>
    </r>
    <r>
      <rPr>
        <sz val="12"/>
        <color rgb="FF000000"/>
        <rFont val="Arial"/>
      </rPr>
      <t xml:space="preserve">1. Isra' Mi' raj dan imlek, 27-29 jan 25 (3HK)
</t>
    </r>
    <r>
      <rPr>
        <b/>
        <sz val="12"/>
        <color rgb="FF000000"/>
        <rFont val="Arial"/>
      </rPr>
      <t xml:space="preserve">Kendala Sistem: </t>
    </r>
    <r>
      <rPr>
        <sz val="12"/>
        <color rgb="FF000000"/>
        <rFont val="Arial"/>
      </rPr>
      <t xml:space="preserve">Tidak Ada
</t>
    </r>
    <r>
      <rPr>
        <b/>
        <sz val="12"/>
        <color rgb="FF000000"/>
        <rFont val="Arial"/>
      </rPr>
      <t xml:space="preserve">Proses Klarifikasi: </t>
    </r>
    <r>
      <rPr>
        <sz val="12"/>
        <color rgb="FF000000"/>
        <rFont val="Arial"/>
      </rPr>
      <t>Tidak Ada</t>
    </r>
  </si>
  <si>
    <t>PT. ANUGERAH KRIDAPRADANA</t>
  </si>
  <si>
    <t>Gunawan Wibisono</t>
  </si>
  <si>
    <t>JL. Petogogan II No.45 Keb. Baru, Jakarta Selatan - Jakarta Selatan (Kota) - DKI Jakarta</t>
  </si>
  <si>
    <t>01.333.888.4-064.000</t>
  </si>
  <si>
    <t>pt_anugerah_kridapradana@yahoo.com</t>
  </si>
  <si>
    <t>02172794150</t>
  </si>
  <si>
    <t>NON LOKAL</t>
  </si>
  <si>
    <t>REPEAT ORDER</t>
  </si>
  <si>
    <t>2</t>
  </si>
  <si>
    <t>SID Rehabilitasi Jaringan Irigasi DI Delta Brantas Kab. Sidoarjo; 1 Dokumen; 1 Dokumen; NF; K; SYC</t>
  </si>
  <si>
    <t>DJSDA</t>
  </si>
  <si>
    <t>KHOLIVIA DESI EKASARI, ST.MT. (+62 813-5742-0434)</t>
  </si>
  <si>
    <t>Diah Putri Rahmawati, S.Tr.T.</t>
  </si>
  <si>
    <t>Feby Lorentika, ST
Maryam Amin, SE
Dhina Tri Hendriani, SE</t>
  </si>
  <si>
    <t>Dyah Kusumaning Putri, S.E
Daffah Ulfi Rahmatillah,SH
Agnesia Margaretha Gunawan, S.IAN</t>
  </si>
  <si>
    <r>
      <rPr>
        <b/>
        <sz val="12"/>
        <color rgb="FF000000"/>
        <rFont val="Arial"/>
      </rPr>
      <t xml:space="preserve">Kendala Libur Nasional
</t>
    </r>
    <r>
      <rPr>
        <sz val="12"/>
        <color rgb="FF000000"/>
        <rFont val="Arial"/>
      </rPr>
      <t xml:space="preserve">1. Libur Isra Mi'raj, cuti bersama dan tahun baru imlek 27 - 29 Januari 2025 </t>
    </r>
    <r>
      <rPr>
        <b/>
        <sz val="12"/>
        <color rgb="FF000000"/>
        <rFont val="Arial"/>
      </rPr>
      <t xml:space="preserve">(3HK)
Kendala Sistem
</t>
    </r>
    <r>
      <rPr>
        <sz val="12"/>
        <color rgb="FF000000"/>
        <rFont val="Arial"/>
      </rPr>
      <t xml:space="preserve">1. Kendala layanan LPJK berdasarkan surat Kepala LPJK No: UM 0102-Lk/100, tanggal 14 Februari 2025, tentang Pemberitahuan Operasional Sistem Layanan LPJK, bahwa terdapat gangguan layanan sehingga evaluasi tidak dapat dilaksanakan pada 10 - 14 Februari 2025 </t>
    </r>
    <r>
      <rPr>
        <b/>
        <sz val="12"/>
        <color rgb="FF000000"/>
        <rFont val="Arial"/>
      </rPr>
      <t xml:space="preserve">(5HK)
</t>
    </r>
    <r>
      <rPr>
        <sz val="12"/>
        <color rgb="FF000000"/>
        <rFont val="Arial"/>
      </rPr>
      <t xml:space="preserve">2. Terdapat kendala LPSE sesuai dengan surat Plt. Direktur Sistem Pengadaan Digital LKPP nomor 5393/D.2.2/03/2025 tanggal 7 Maret 2025 hal Pemberitahuan Gangguan Layanan Aplikasi SPSE telah terjadi gangguan layanan aplikasi SPSE pada hari Kamis, 6 Maret 2025 pukul 18.00 WIB sampai dengan Jumat, 7 Maret 2025 pukul 08.45 WIB yang menyebabkan penyedia tidak dapat login  </t>
    </r>
    <r>
      <rPr>
        <b/>
        <sz val="12"/>
        <color rgb="FF000000"/>
        <rFont val="Arial"/>
      </rPr>
      <t>(2HK)</t>
    </r>
  </si>
  <si>
    <t>PT. YODYA KARYA (Persero) Cabang Surabaya</t>
  </si>
  <si>
    <t>Taqdir Ali Syabana, ST.</t>
  </si>
  <si>
    <t>Perum Deltasari indah blok.AJ - 04 - Sidoarjo (Kab.) - Jawa Timur</t>
  </si>
  <si>
    <t xml:space="preserve">01.001.616.0-643.001 </t>
  </si>
  <si>
    <t>yokasby@gmail.com</t>
  </si>
  <si>
    <t>031 – 8539363</t>
  </si>
  <si>
    <t>LOKAL</t>
  </si>
  <si>
    <t>Belum kontrak karena dana masih diblokir</t>
  </si>
  <si>
    <t>SELEKSI</t>
  </si>
  <si>
    <t>3</t>
  </si>
  <si>
    <t>DED dan Dokling Pembangunan Kolam Retensi Kawasan Bandara Dhoho Kab. Kediri; 1 Dokumen; 1 Dokumen; NF; K; SYC</t>
  </si>
  <si>
    <t>RPM</t>
  </si>
  <si>
    <t>Dyah Kusumaning Putri, SE.</t>
  </si>
  <si>
    <t>Victor Frederick, S.T., M.T.
Risa Monika, S.IP
Elly Sulistyowati, SE</t>
  </si>
  <si>
    <t>Wan Achmad Reza Rinatha, ST, MT
Daffah Ulfi Rahmatillah,SH
Agnesia Margaretha Gunawan, S.IAN</t>
  </si>
  <si>
    <r>
      <rPr>
        <b/>
        <sz val="12"/>
        <color rgb="FF000000"/>
        <rFont val="Arial"/>
      </rPr>
      <t xml:space="preserve">Kendala Sistem
</t>
    </r>
    <r>
      <rPr>
        <sz val="12"/>
        <color rgb="FF000000"/>
        <rFont val="Arial"/>
      </rPr>
      <t xml:space="preserve">1. Kendala layanan LPJK berdasarkan surat Kepala LPJK No: UM 0102-Lk/100, tanggal 14 Februari 2025, tentang Pemberitahuan Operasional Sistem Layanan LPJK, bahwa terdapat gangguan layanan sehingga evaluasi tidak dapat dilaksanakan pada 10 - 14 Februari 2025 </t>
    </r>
    <r>
      <rPr>
        <b/>
        <sz val="12"/>
        <color rgb="FF000000"/>
        <rFont val="Arial"/>
      </rPr>
      <t xml:space="preserve">(5HK)
</t>
    </r>
    <r>
      <rPr>
        <sz val="12"/>
        <color rgb="FF000000"/>
        <rFont val="Arial"/>
      </rPr>
      <t xml:space="preserve">2. Terdapat kendala LPSE sesuai dengan surat Plt. Direktur Sistem Pengadaan Digital LKPP nomor 5393/D.2.2/03/2025 tanggal 7 Maret 2025 hal Pemberitahuan Gangguan Layanan Aplikasi SPSE telah terjadi gangguan layanan aplikasi SPSE pada hari Kamis, 6 Maret 2025 pukul 18.00 WIB sampai dengan Jumat, 7 Maret 2025 pukul 08.45 WIB yang menyebabkan penyedia tidak dapat login </t>
    </r>
    <r>
      <rPr>
        <b/>
        <sz val="12"/>
        <color rgb="FF000000"/>
        <rFont val="Arial"/>
      </rPr>
      <t>(2HK)</t>
    </r>
    <r>
      <rPr>
        <sz val="12"/>
        <color rgb="FF000000"/>
        <rFont val="Arial"/>
      </rPr>
      <t xml:space="preserve">(https://lpse.pu.go.id/eproc4/pengumuman/10001269000)Pokja memberikan perpanjangan waktu pemasukan dokumen penawaran mulai dari Jumat, 7 Maret 2025 s.d. Senin, 10 Maret 2025 pukul 09:00 WIB
</t>
    </r>
    <r>
      <rPr>
        <b/>
        <sz val="12"/>
        <color rgb="FF000000"/>
        <rFont val="Arial"/>
      </rPr>
      <t xml:space="preserve">Proses Klarifikasi
</t>
    </r>
    <r>
      <rPr>
        <sz val="12"/>
        <color rgb="FF000000"/>
        <rFont val="Arial"/>
      </rPr>
      <t xml:space="preserve">1. Klarifikasi terhadap 4 tenaga ahli yang diusulkan (status dosen tetap, ASN, dan pensiunan) sampai dengan Senin, 17 Maret 2025
</t>
    </r>
    <r>
      <rPr>
        <b/>
        <sz val="12"/>
        <color rgb="FF000000"/>
        <rFont val="Arial"/>
      </rPr>
      <t xml:space="preserve">Kendala Libur Nasional
</t>
    </r>
    <r>
      <rPr>
        <sz val="12"/>
        <color rgb="FF000000"/>
        <rFont val="Arial"/>
      </rPr>
      <t xml:space="preserve">1. Libur Isra Mi'raj, cuti bersama dan tahun baru imlek 27 - 29 Januari 2025 </t>
    </r>
    <r>
      <rPr>
        <b/>
        <sz val="12"/>
        <color rgb="FF000000"/>
        <rFont val="Arial"/>
      </rPr>
      <t>(3HK)</t>
    </r>
  </si>
  <si>
    <t>PT. Sarana Bagja Bumi</t>
  </si>
  <si>
    <t>Ceceng Suryatman</t>
  </si>
  <si>
    <t>Jl. Srigalih No. 1 Kota Bandung - Bandung (Kota) - Jawa Barat</t>
  </si>
  <si>
    <t>01.548.389.4-441.000</t>
  </si>
  <si>
    <t>sbb.pt.02@gmail.com
pt.saranabagjabumi@yahoo.com</t>
  </si>
  <si>
    <t>022-5200345</t>
  </si>
  <si>
    <t>4</t>
  </si>
  <si>
    <t>DED Penanganan Abrasi Pantai Kec. Modung, Kec. Socah, Kec. Tanjung Bumi Kab . Bangkalan; 1 Dokumen; 1 Dokumen; NF; K; SYC</t>
  </si>
  <si>
    <t>Victor Frederick, S.T., M.T.
Elly Sulistyowati, SE
Risa Monika, S.IP</t>
  </si>
  <si>
    <t>Diah Putri Rahmawati, S.Tr.T
Dyah Kusumaning Putri, S.E
Khairu Annisa Hariadi, S.T.,M.T</t>
  </si>
  <si>
    <r>
      <rPr>
        <b/>
        <sz val="12"/>
        <color rgb="FF000000"/>
        <rFont val="Arial"/>
      </rPr>
      <t xml:space="preserve">Kendala Sistem 
</t>
    </r>
    <r>
      <rPr>
        <sz val="12"/>
        <color rgb="FF000000"/>
        <rFont val="Arial"/>
      </rPr>
      <t xml:space="preserve">1. Kendala layanan LPJK berdasarkan surat Kepala LPJK No: UM 0102-Lk/100, tanggal 14 Februari 2025, tentang Pemberitahuan Operasional Sistem Layanan LPJK, bahwa terdapat gangguan layanan sehingga evaluasi tidak dapat dilaksanakan pada 10 - 14 Februari 2025 </t>
    </r>
    <r>
      <rPr>
        <b/>
        <sz val="12"/>
        <color rgb="FF000000"/>
        <rFont val="Arial"/>
      </rPr>
      <t xml:space="preserve">(5HK)
</t>
    </r>
    <r>
      <rPr>
        <sz val="12"/>
        <color rgb="FF000000"/>
        <rFont val="Arial"/>
      </rPr>
      <t xml:space="preserve">2. Terdapat kendala LPSE sesuai dengan surat Plt. Direktur Sistem Pengadaan Digital LKPP nomor 5393/D.2.2/03/2025 tanggal 7 Maret 2025 hal Pemberitahuan Gangguan Layanan Aplikasi SPSE telah terjadi gangguan layanan aplikasi SPSE pada hari Kamis, 6 Maret 2025 pukul 18.00 WIB sampai dengan Jumat, 7 Maret 2025 pukul 08.45 WIB yang menyebabkan penyedia tidak dapat login </t>
    </r>
    <r>
      <rPr>
        <b/>
        <sz val="12"/>
        <color rgb="FF000000"/>
        <rFont val="Arial"/>
      </rPr>
      <t xml:space="preserve">(2HK)
Kendala Libur Nasional
</t>
    </r>
    <r>
      <rPr>
        <sz val="12"/>
        <color rgb="FF000000"/>
        <rFont val="Arial"/>
      </rPr>
      <t>1. Libur Isra Mi'raj, cuti bersama dan tahun baru imlek 27 - 29 Januari 2025 (3HK)</t>
    </r>
  </si>
  <si>
    <t>PT. IKA ADYA PERKASA</t>
  </si>
  <si>
    <t>Hari Tjahjono,</t>
  </si>
  <si>
    <t>Jl. Simpang Bondowoso I/Ruko No.1A - Malang (Kota) - Jawa Timur</t>
  </si>
  <si>
    <t>01.840.554.8-623.000</t>
  </si>
  <si>
    <t>ikaadya@yahoo.co.id</t>
  </si>
  <si>
    <t>0341-580834</t>
  </si>
  <si>
    <t>5</t>
  </si>
  <si>
    <t>Pemutakhiran Peta Daerah Irigasi Kewenangan Pusat diluar WS Brantas; 1 Dokumen; 1 Dokumen; NF; K; SYC</t>
  </si>
  <si>
    <t>Febrian Sandhi Festanto, SH.</t>
  </si>
  <si>
    <t>Gunawan Arif Wibowo, S.AP., M.T
Maryam Amin, SE
Elly Sulistyowati, SE</t>
  </si>
  <si>
    <t>Arie Ardiansyah, SH
Dyah Kusumaning Putri, S.E
Teddy Marza Kurniawan, S.H</t>
  </si>
  <si>
    <r>
      <rPr>
        <sz val="12"/>
        <color rgb="FF000000"/>
        <rFont val="Arial"/>
      </rPr>
      <t xml:space="preserve">1. Kendala layanan LPJK berdasarkan surat Kepala LPJK No: UM 0102-Lk/100, tanggal 14 Februari 2025, tentang Pemberitahuan Operasional Sistem Layanan LPJK, bahwa terdapat gangguan layanan sehingga evaluasi tidak dapat dilaksanakan pada 10 - 14 Februari 2025 </t>
    </r>
    <r>
      <rPr>
        <b/>
        <sz val="12"/>
        <color rgb="FF000000"/>
        <rFont val="Arial"/>
      </rPr>
      <t xml:space="preserve">(5HK)
</t>
    </r>
    <r>
      <rPr>
        <sz val="12"/>
        <color rgb="FF000000"/>
        <rFont val="Arial"/>
      </rPr>
      <t xml:space="preserve">2. Libur Isra Mi'raj, cuti bersama dan tahun baru imlek 27 - 29 Januari 2025 </t>
    </r>
    <r>
      <rPr>
        <b/>
        <sz val="12"/>
        <color rgb="FF000000"/>
        <rFont val="Arial"/>
      </rPr>
      <t xml:space="preserve">(3HK)
</t>
    </r>
    <r>
      <rPr>
        <sz val="12"/>
        <color rgb="FF000000"/>
        <rFont val="Arial"/>
      </rPr>
      <t>3. Terdapat kendala LPSE sesuai dengan surat Plt. Direktur Sistem Pengadaan Digital LKPP nomor 5393/D.2.2/03/2025 tanggal 7 Maret 2025 hal Pemberitahuan Gangguan Layanan Aplikasi SPSE telah terjadi gangguan layanan aplikasi SPSE pada hari Kamis, 6 Maret 2025 pukul 18.00 WIB sampai dengan Jumat, 7 Maret 2025 pukul 08.45 WIB yang menyebabkan penyedia tidak dapat login</t>
    </r>
    <r>
      <rPr>
        <b/>
        <sz val="12"/>
        <color rgb="FF000000"/>
        <rFont val="Arial"/>
      </rPr>
      <t xml:space="preserve"> (2HK)
</t>
    </r>
    <r>
      <rPr>
        <sz val="12"/>
        <color rgb="FF000000"/>
        <rFont val="Arial"/>
      </rPr>
      <t xml:space="preserve">4. Libur dan cuti bersama Nyepi dan Idul fitri </t>
    </r>
    <r>
      <rPr>
        <b/>
        <sz val="12"/>
        <color rgb="FF000000"/>
        <rFont val="Arial"/>
      </rPr>
      <t>(11 HK)</t>
    </r>
  </si>
  <si>
    <t>PT. WAHANA ADYA KSO PT. YODYA KARYA KSO PT. PARAMA KRIDA PRATAMA</t>
  </si>
  <si>
    <t>Ir. Sugeng Puji Waluyo</t>
  </si>
  <si>
    <t>Jl. Candi Panggung Barat Perum Tmn Indah Soekarno-Hatta Kav. 65 Kota Malang - Malang (Kota) - Jawa Timur</t>
  </si>
  <si>
    <t>01.235.896.6-651.000</t>
  </si>
  <si>
    <t>wahana_pusat@yahoo.com</t>
  </si>
  <si>
    <t>0341-480620</t>
  </si>
  <si>
    <t>6</t>
  </si>
  <si>
    <t>Penyusunan Desain Jaringan Irigasi Tersier Kewenangan Pusat di BBWS Brantas; 1 Dokumen; 1 Dokumen; NF; K; SYC</t>
  </si>
  <si>
    <t>Gunawan Arif Wibowo, S.AP., M.T
Dhina Tri Hendriani, SE
Elly Sulistyowati, SE</t>
  </si>
  <si>
    <t>mo</t>
  </si>
  <si>
    <r>
      <rPr>
        <b/>
        <sz val="11"/>
        <color rgb="FF000000"/>
        <rFont val="Arial"/>
      </rPr>
      <t xml:space="preserve">Tahap Persiapan: </t>
    </r>
    <r>
      <rPr>
        <sz val="11"/>
        <color rgb="FF000000"/>
        <rFont val="Arial"/>
      </rPr>
      <t xml:space="preserve">Penerbitan SK Pokja tanggal 10 Januari 2025 dan Reviu Dokumen Persiapan tanggal 10 Januari 2025
</t>
    </r>
    <r>
      <rPr>
        <b/>
        <sz val="11"/>
        <color rgb="FF000000"/>
        <rFont val="Arial"/>
      </rPr>
      <t xml:space="preserve">Tahap Kualifikasi
</t>
    </r>
    <r>
      <rPr>
        <sz val="11"/>
        <color rgb="FF000000"/>
        <rFont val="Arial"/>
      </rPr>
      <t xml:space="preserve">1. Pengumuman Prakualifikasi 22 Januari 2025, terdapat perubahan/ Addendum Dukumen Kualifikasi 30 Januari 2025
2. Pembukaan dokumen kualifikasi 8 Maret 2025, pembukaan penawaran setelah data tambahan 8 Maret 2025 . Terdapat 18 </t>
    </r>
    <r>
      <rPr>
        <b/>
        <sz val="11"/>
        <color rgb="FF000000"/>
        <rFont val="Arial"/>
      </rPr>
      <t xml:space="preserve">penawaran
3. Evaluasi : tanggal 8 Maret 2025 sd 18 Maret 2025
Tahap Pelaksanaan Seleksi
</t>
    </r>
    <r>
      <rPr>
        <sz val="11"/>
        <color rgb="FF000000"/>
        <rFont val="Arial"/>
      </rPr>
      <t xml:space="preserve">1. Pengumuman Seleksi tanggal 24 Maret 2025, terdapat perubahan/ Addendum tanggal 27 Maret 2025
2. Pembukaan dokumen penawaran tanggal 8 April 2025, . Terdapat 7 penawaran yang masuk
3. Evaluasi : tanggal 8 April 2025 sd 14 April 2025
4. Penetapan dan pengumuman tanggal 14 April 2025. Tidak ada sanggahan
5. BAHP disampaikan ke PPK tanggal 24 April 2025
</t>
    </r>
  </si>
  <si>
    <r>
      <rPr>
        <b/>
        <sz val="12"/>
        <color rgb="FF000000"/>
        <rFont val="Arial"/>
      </rPr>
      <t xml:space="preserve">Kendala Libur
</t>
    </r>
    <r>
      <rPr>
        <sz val="12"/>
        <color rgb="FF000000"/>
        <rFont val="Arial"/>
      </rPr>
      <t>1. Libur dan Cuti Bersama Hari Raya Imlek 27-29 Januari 2025</t>
    </r>
    <r>
      <rPr>
        <b/>
        <sz val="12"/>
        <color rgb="FF000000"/>
        <rFont val="Arial"/>
      </rPr>
      <t xml:space="preserve"> (3 Hari Kalender)
</t>
    </r>
    <r>
      <rPr>
        <sz val="12"/>
        <color rgb="FF000000"/>
        <rFont val="Arial"/>
      </rPr>
      <t xml:space="preserve">2. Libur dan Cuti Bersama Hari Raya Idul Fitri 28 Maret - 7 April 2025 2025 </t>
    </r>
    <r>
      <rPr>
        <b/>
        <sz val="12"/>
        <color rgb="FF000000"/>
        <rFont val="Arial"/>
      </rPr>
      <t xml:space="preserve">(11 Hari Kalender)
Kendala Sistem
</t>
    </r>
    <r>
      <rPr>
        <sz val="12"/>
        <color rgb="FF000000"/>
        <rFont val="Arial"/>
      </rPr>
      <t>1. Kendala layanan LPJK berdasarkan surat Kepala LPJK No: UM 0102-Lk/100, tanggal 14 Februari 2025, tentang Pemberitahuan Operasional Sistem Layanan LPJK, bahwa terdapat gangguan layanan sehingga evaluasi tidak dapat dilaksanakan pada 10 - 14 Februari 2025</t>
    </r>
    <r>
      <rPr>
        <b/>
        <sz val="12"/>
        <color rgb="FF000000"/>
        <rFont val="Arial"/>
      </rPr>
      <t xml:space="preserve"> (5 HK)
Proses Klarifikasi: </t>
    </r>
    <r>
      <rPr>
        <sz val="12"/>
        <color rgb="FF000000"/>
        <rFont val="Arial"/>
      </rPr>
      <t xml:space="preserve">Klarifikasi Tenaga Ahli 11 April - 14 April 2025 </t>
    </r>
    <r>
      <rPr>
        <b/>
        <sz val="12"/>
        <color rgb="FF000000"/>
        <rFont val="Arial"/>
      </rPr>
      <t>(3 Hari Kalender)</t>
    </r>
  </si>
  <si>
    <t>PT. Wahana Adya</t>
  </si>
  <si>
    <t>7</t>
  </si>
  <si>
    <t>CT Core Team Perencanaan dan Pengawasan Jalan Nasional Provinsi Jawa Timur</t>
  </si>
  <si>
    <t>I Gede Agus Punarta, ST (+62 852-3723-3084)</t>
  </si>
  <si>
    <t>Dhina Tri Hendriani, SE
Maryam Amin, SE
Elly Sulistyowati, SE</t>
  </si>
  <si>
    <t>Diah Putri Rahmawati, S.Tr.T
Wan Achmad Reza Rinatha, ST, MT
Daffah Ulfi Rahmatillah,SH</t>
  </si>
  <si>
    <t>Tidak ada kendala</t>
  </si>
  <si>
    <t>PT ARIA JASA REKSATAMA</t>
  </si>
  <si>
    <t>Arif Rachman, ST</t>
  </si>
  <si>
    <t>GRAHA INDAH WISESA JL GAYUNG KEBONSARI 44B/B7 - Surabaya (Kota) - Jawa Timur</t>
  </si>
  <si>
    <t>01.203.046.6-609.000</t>
  </si>
  <si>
    <t>aria_jasa@yahoo.co.id</t>
  </si>
  <si>
    <t>081233411666</t>
  </si>
  <si>
    <t>8</t>
  </si>
  <si>
    <t>Penyusunan DED Optimalisasi SPAM Gili Iyang Kabupaten Sumenep Tahap 2</t>
  </si>
  <si>
    <t>DJCK</t>
  </si>
  <si>
    <t>Mike Yuanita (+62 857-2371-6752)</t>
  </si>
  <si>
    <t>Sasetyo Gilang Kusumo, SH.</t>
  </si>
  <si>
    <t>Dhina Tri Hendriani, SE
Gunawan Arif Wibowo, S.AP., M.T
Feby Lorentika, ST</t>
  </si>
  <si>
    <t>Teddy Marza Kurniawan, S.H
Fadlila Rohmadani, S.ST
Wan Achmad Reza Rinatha, ST, MT</t>
  </si>
  <si>
    <t>1. Libur dan cuti bersama Nyepi dan Idul Fitri (11 HK : 28 Maret - 7 April 2025)
2. Libur dan cuti Wafat Isa Al Masih (1 HK : 18 April 2025)
3. Libur dan cuti Hari Buruh (1HK : 1 Mei 2025)
4. Libur dan cuti bersama Waisak dan Kenaikan Isa Al-Masih (2 HK : 11-12 Mei 2025)</t>
  </si>
  <si>
    <t>CV. Cipta Suramadu Consultant</t>
  </si>
  <si>
    <t>Taufik Hidayat, S.T., M.T.</t>
  </si>
  <si>
    <t>Jl. Keputih Tegal Timur III-B No 19 RT 05 RW 02, Kel. Keputih, Kec. Sukolilo, Surabaya, Jawa Timur</t>
  </si>
  <si>
    <t>02.793.096.5-606.000</t>
  </si>
  <si>
    <t>csc_jatim@yahoo.com</t>
  </si>
  <si>
    <t>9</t>
  </si>
  <si>
    <t>Supervisi Rehabilitasi Jaringan Irigasi DI Delta Brantas; 1 Dokumen; 1 Dokumen; NF; K; SYC</t>
  </si>
  <si>
    <t>Indriani, ST.,MT. (+62 811-3459-889)</t>
  </si>
  <si>
    <t>Risa Monika, S.IP
Victor Frederick, S.T., M.T.
Maryam Amin, SE</t>
  </si>
  <si>
    <t>Rani Fajar Nestiti, S.T
Rifqathin Ulya, S.H.,M.H
Fadlila Rohmadani, S.ST</t>
  </si>
  <si>
    <r>
      <rPr>
        <sz val="12"/>
        <color rgb="FF000000"/>
        <rFont val="Arial"/>
      </rPr>
      <t xml:space="preserve">1. Libur dan cuti bersama Nyepi dan Idul fitri </t>
    </r>
    <r>
      <rPr>
        <b/>
        <sz val="12"/>
        <color rgb="FF000000"/>
        <rFont val="Arial"/>
      </rPr>
      <t xml:space="preserve">(11 HK)
</t>
    </r>
    <r>
      <rPr>
        <sz val="12"/>
        <color rgb="FF000000"/>
        <rFont val="Arial"/>
      </rPr>
      <t>2.  Libur Hari buruh</t>
    </r>
    <r>
      <rPr>
        <b/>
        <sz val="12"/>
        <color rgb="FF000000"/>
        <rFont val="Arial"/>
      </rPr>
      <t xml:space="preserve"> (1HK)
</t>
    </r>
    <r>
      <rPr>
        <sz val="12"/>
        <color rgb="FF000000"/>
        <rFont val="Arial"/>
      </rPr>
      <t>3. Libur Hari Waisak +Cuti bersama</t>
    </r>
    <r>
      <rPr>
        <b/>
        <sz val="12"/>
        <color rgb="FF000000"/>
        <rFont val="Arial"/>
      </rPr>
      <t xml:space="preserve"> (2HK)</t>
    </r>
  </si>
  <si>
    <t>PT. ALLES KLAR PRIMA</t>
  </si>
  <si>
    <t>Goentono</t>
  </si>
  <si>
    <t>Jalan Suka Tari No. 14, Medan - Medan (Kota) - Sumatera Utara</t>
  </si>
  <si>
    <t>15540420121000</t>
  </si>
  <si>
    <t>alles_klarprima@yahoo.co.id</t>
  </si>
  <si>
    <t>(061) 7879517</t>
  </si>
  <si>
    <t>10</t>
  </si>
  <si>
    <t>INSPEKSI (SURVEI) DATA KONDISI JARINGAN JALAN PROVINSI JAWA TIMUR</t>
  </si>
  <si>
    <t>SIFA UDUKHA, ST. MT</t>
  </si>
  <si>
    <t>Fadlila Rohmadani, S.ST.</t>
  </si>
  <si>
    <t>Sasetyo Gilang Kusumo, SH
Rifqathin Ulya, S.H.,M.H
Wan Achmad Reza Rinatha, ST, MT</t>
  </si>
  <si>
    <t>PT MONO HEKSA</t>
  </si>
  <si>
    <t>Henni Ratnawati, ST</t>
  </si>
  <si>
    <t>JL KUTISARI UTARA III NO 29, SURABAYA - Surabaya (Kota) - Jawa Timur</t>
  </si>
  <si>
    <t>24769994615000</t>
  </si>
  <si>
    <t>mono_heksa@yahoocom</t>
  </si>
  <si>
    <t>11</t>
  </si>
  <si>
    <t>Pemutakhiran Peta Daerah Irigasi Kewenangan Pusat WS.Brantas; 1 Dokumen; 1 Dokumen; NF; K; SYC</t>
  </si>
  <si>
    <t>Masruro Tufani Ahmad, S.Kom., MT.</t>
  </si>
  <si>
    <t>Feby Lorentika, ST
Risa Monika, S.IP
Maryam Amin, SE</t>
  </si>
  <si>
    <t>Agnesia Margaretha Gunawan, S.IAN
Diah Putri Rahmawati, S.Tr.T
Khairu Annisa Hariadi, S.T.,M.T</t>
  </si>
  <si>
    <r>
      <rPr>
        <b/>
        <sz val="12"/>
        <color rgb="FF000000"/>
        <rFont val="Arial"/>
      </rPr>
      <t xml:space="preserve">Tahap Persiapan: </t>
    </r>
    <r>
      <rPr>
        <sz val="12"/>
        <color rgb="FF000000"/>
        <rFont val="Arial"/>
      </rPr>
      <t xml:space="preserve">Penerbitan SK Pokja tanggal 10 Januari 2025 dan Reviu Dokumen Persiapan tanggal 11 April 2025
</t>
    </r>
    <r>
      <rPr>
        <b/>
        <sz val="12"/>
        <color rgb="FF000000"/>
        <rFont val="Arial"/>
      </rPr>
      <t xml:space="preserve">Tahap Pelaksanaan Kualifikasi
</t>
    </r>
    <r>
      <rPr>
        <sz val="12"/>
        <color rgb="FF000000"/>
        <rFont val="Arial"/>
      </rPr>
      <t xml:space="preserve">1. Pengumuman Prakualifikasi tanggal 11 April 2025
2. Pembukaan dokumen kualifikasi tanggal 21 April 2025, terdapat 30 peserta kualifikasi (56 perusahaan);
3. Kirim pesan tambahan data kualifikasi tanggal 25 April 2025, tambahan data sampai tanggal 29 April 2025.
4. Evaluasi : 21 April - 30 Mei 2025, Pembuktian Kualifikasi tanggal 2 &amp; 5 Mei 2025 dan Paparan Penelitian PQ 6 Mei 2025
5. Penetapan dan pengumuman tanggal 8 Mei 2025 dan Masa Sanggah 8 Mei - 14 Mei 2025, Tidak ada sanggahan.
</t>
    </r>
    <r>
      <rPr>
        <b/>
        <sz val="12"/>
        <color rgb="FF000000"/>
        <rFont val="Arial"/>
      </rPr>
      <t xml:space="preserve">Tahap Pelaksanaan Seleksi
</t>
    </r>
    <r>
      <rPr>
        <sz val="12"/>
        <color rgb="FF000000"/>
        <rFont val="Arial"/>
      </rPr>
      <t>1. Pengumuman Seleksi tanggal 15 Mei 2025
2. Perubahan/ Addendum 19 Mei 2025 dan Pembukaan dokumen penawaran tanggal 23 Mei 2025, terdapat 7 penawaran.
3. Evaluasi : 23 Mei - 3 Juni 2025 dan Paparan Penelitian Sampul I 4 Juni 2025
4. Penetapan dan pengumuman tanggal 4 Juni 2025 dan Masa Sanggah 4 Juni - 10 Juni 2025, Tidak ada sanggahan
5. Klarifikasi Nego Teknis dan Biaya 11 Juni 2025</t>
    </r>
  </si>
  <si>
    <r>
      <rPr>
        <sz val="12"/>
        <color rgb="FF000000"/>
        <rFont val="Arial"/>
      </rPr>
      <t>1. Berdasarkan Surat Direktur Pengadaan Jasa Konstruksi Nomor PA 0110-Kj/127 tanggal 11 Februari 2025 hal Arahan Tindak Lanjut Paket – Paket Pekerjaan yang Terdampak Gangguan Layanan LPJK dan jadwal pembukaan paket setelah dilakukan permintaan tambahan kekurangan data hasil evaluasi dokumen peserta adalah tanggal 10 Februari 2025 pukul 14:01 WIB, maka paket dilakukan Seleksi Ulang dan tayang kembali pada tanggal 17 Februari 2025;
2. Seleksi gagal karena terdapat kesalahan dokumen, kemudian ditindaklanjuti dengan Seleksi Ulang dan tayang kembali pada tanggal 11 April 2025
3. Libur 18 April (Wafat Yesus Kristus) (</t>
    </r>
    <r>
      <rPr>
        <b/>
        <sz val="12"/>
        <color rgb="FF000000"/>
        <rFont val="Arial"/>
      </rPr>
      <t>1 HK</t>
    </r>
    <r>
      <rPr>
        <sz val="12"/>
        <color rgb="FF000000"/>
        <rFont val="Arial"/>
      </rPr>
      <t>)
4. Libur 1 Mei (Hari Buruh) (</t>
    </r>
    <r>
      <rPr>
        <b/>
        <sz val="12"/>
        <color rgb="FF000000"/>
        <rFont val="Arial"/>
      </rPr>
      <t>1 HK</t>
    </r>
    <r>
      <rPr>
        <sz val="12"/>
        <color rgb="FF000000"/>
        <rFont val="Arial"/>
      </rPr>
      <t>)
5. Libur 12-13 Mei (Waisak) (</t>
    </r>
    <r>
      <rPr>
        <b/>
        <sz val="12"/>
        <color rgb="FF000000"/>
        <rFont val="Arial"/>
      </rPr>
      <t>2HK</t>
    </r>
    <r>
      <rPr>
        <sz val="12"/>
        <color rgb="FF000000"/>
        <rFont val="Arial"/>
      </rPr>
      <t>)
6. Libur 29-30 Mei (Kenaikan Isa Almasih) (</t>
    </r>
    <r>
      <rPr>
        <b/>
        <sz val="12"/>
        <color rgb="FF000000"/>
        <rFont val="Arial"/>
      </rPr>
      <t>2 HK</t>
    </r>
    <r>
      <rPr>
        <sz val="12"/>
        <color rgb="FF000000"/>
        <rFont val="Arial"/>
      </rPr>
      <t>)</t>
    </r>
  </si>
  <si>
    <t>PT. RAYAKONSULT</t>
  </si>
  <si>
    <t>Dwi Andra Moedjiantoro</t>
  </si>
  <si>
    <t>JALAN SURYA SUMANTRI NO. 37, KEL. SUKAWARNA KEC. SUKAJADI - Bandung (Kota) - Jawa Barat</t>
  </si>
  <si>
    <t>01.131.029.9-441.000</t>
  </si>
  <si>
    <t>rayakonsult@bdg.centrin.net.id</t>
  </si>
  <si>
    <t>0222008100</t>
  </si>
  <si>
    <t>12</t>
  </si>
  <si>
    <t>INSPEKSI (SURVEI) DATA KONDISI JARINGAN JALAN PROVINSI BALI</t>
  </si>
  <si>
    <t>Khairu Annisa Hariadi, ST., MT.</t>
  </si>
  <si>
    <t>Elly Sulistyowati, SE
Feby Lorentika, ST
Victor Frederick, S.T., M.T.</t>
  </si>
  <si>
    <t>Dyah Kusumaning Putri, S.E
Agnesia Margaretha Gunawan, S.IAN
Rani Fajar Nestiti, S.T</t>
  </si>
  <si>
    <r>
      <rPr>
        <b/>
        <sz val="12"/>
        <color rgb="FF000000"/>
        <rFont val="Arial"/>
      </rPr>
      <t xml:space="preserve">Tahap Persiapan
</t>
    </r>
    <r>
      <rPr>
        <sz val="12"/>
        <color rgb="FF000000"/>
        <rFont val="Arial"/>
      </rPr>
      <t xml:space="preserve">1. Penerbitan SK Pokja tanggal 19 Maret 2025
2. Reviu Dokumen Persiapan 9 April 2025 (PPK menginfokan masih menyiapkan/perbaikan dokumen sebelum SOP4 karena nilai paket yang diusulkan awal 2,2M &lt; 2,5M kualifikasi menengah, sedangkan penyedia yang ditunjuk memiliki kualifikasi usaha besar) (Revisi s.d. tanggal 15 April 2025). 
</t>
    </r>
    <r>
      <rPr>
        <b/>
        <sz val="12"/>
        <color rgb="FF000000"/>
        <rFont val="Arial"/>
      </rPr>
      <t xml:space="preserve">Tahap Pelaksanaan Repeat Order
</t>
    </r>
    <r>
      <rPr>
        <sz val="12"/>
        <color rgb="FF000000"/>
        <rFont val="Arial"/>
      </rPr>
      <t>1. Pengumuman RO tanggal 15 April 2025
2. Perubahan/ Addendum tanggal 16 April 2025 (Perubahan dokumen Bab IV. LDP, Bab V. KAK, Bab VI. LKE, Bab VIII. Rancangan Kontrak, SSUK, SSKK)
3. Pembukaan dokumen penawaran tanggal 21 April 2025. Terdapat 1 penawaran yang masuk
4. Penetapan dan pengumuman tanggal 25 April 2025 dan BAHP disampaikan ke PPK tanggal 25 April 2025.</t>
    </r>
  </si>
  <si>
    <t>PT DIANTAMA REKANUSA</t>
  </si>
  <si>
    <t>Andrew Wibowo, S.E., Ak</t>
  </si>
  <si>
    <t>JL Cikutra Baru XI No 15 Bandung - Bandung (Kota) - Jawa Barat</t>
  </si>
  <si>
    <t>01.524.861.0-441.000</t>
  </si>
  <si>
    <t>diantamarekanusapt@gmail.com</t>
  </si>
  <si>
    <t>081221555554</t>
  </si>
  <si>
    <t>13</t>
  </si>
  <si>
    <t>Sertifikasi OP Bendungan Nipah ; 1 Dokumen; 1 Dokumen; NF; S; SYC</t>
  </si>
  <si>
    <t>TAMI ADININGTYAS (+62 823-3620-7078)</t>
  </si>
  <si>
    <t>Dhina Tri Hendriani, SE
Elly Sulistyowati, SE
Maryam Amin, SE</t>
  </si>
  <si>
    <t>Khairu Annisa Hariadi, S.T.,M.T
Wan Achmad Reza Rinatha, ST, MT
Rani Fajar Nestiti, S.T</t>
  </si>
  <si>
    <r>
      <rPr>
        <b/>
        <sz val="12"/>
        <color rgb="FF000000"/>
        <rFont val="Arial"/>
      </rPr>
      <t xml:space="preserve">Tahap Persiapan: </t>
    </r>
    <r>
      <rPr>
        <sz val="12"/>
        <color rgb="FF000000"/>
        <rFont val="Arial"/>
      </rPr>
      <t xml:space="preserve">Penerbitan SK Pokja tanggal 9 April 2025 dan reviu Dokumen Persiapan tanggal 11 April 2025
</t>
    </r>
    <r>
      <rPr>
        <b/>
        <sz val="12"/>
        <color rgb="FF000000"/>
        <rFont val="Arial"/>
      </rPr>
      <t xml:space="preserve">Tahap Kualifikasi
</t>
    </r>
    <r>
      <rPr>
        <sz val="12"/>
        <color rgb="FF000000"/>
        <rFont val="Arial"/>
      </rPr>
      <t>1. Pengumuman Prakualifikasi 18 April 2025
2. Pembukaan dokumen kualifikasi 28 April 2025, pembukaan setelah data tambahan 14 Mei 2025. Terdapat 13 penawaran
3. Penetapan Hasil Kualifikasi 27 Mei 2025 dan Masa Sanggah PQ (27 Mei - 2 Juni 2025)</t>
    </r>
    <r>
      <rPr>
        <b/>
        <sz val="12"/>
        <color rgb="FF000000"/>
        <rFont val="Arial"/>
      </rPr>
      <t xml:space="preserve">      
Tahap Pelaksanaan Seleksi
</t>
    </r>
    <r>
      <rPr>
        <sz val="12"/>
        <color rgb="FF000000"/>
        <rFont val="Arial"/>
      </rPr>
      <t xml:space="preserve">1. Pengumuman Seleksi tanggal 3 Juni 2025
2. Pembukaan dokumen penawaran tanggal 13 Juni 2025, . Terdapat 6 penawaran yang masuk
3. Evaluasi : tanggal 13 Juni 2025 sd 20 Juni 2025, Penetapan dan pengumuman tanggal 20 Juni 2025
4. Tidak ada sanggahan pada paket ini dan BAHP disampaikan ke PPK tanggal 26 Juni 2025
</t>
    </r>
  </si>
  <si>
    <t xml:space="preserve">
1. Libur dan cuti Hari Buruh (1HK : 1 Mei 2025)
2. Libur dan cuti bersama Waisak dan Kenaikan Isa Al-Masih (2 HK : 12- 
   13 Mei 2025)
3. Libur dan Cuti bersama kenaikan isa almasih (2 HK : 29-30 Mei 2025)
4. Libur dan Cuti bersama Hari Raya Idul Fitri (4 HK : 6-9 Juni 2025)</t>
  </si>
  <si>
    <t>Drs. Isbandi, MM</t>
  </si>
  <si>
    <t>Jalan Simpang Bondowoso I / Ruko 1 A Malang _x000D_</t>
  </si>
  <si>
    <t>14</t>
  </si>
  <si>
    <t>PW. Preservasi Jalan dan Jembatan Kota Tuban</t>
  </si>
  <si>
    <t>Mayda Citra (+62 821-7212-5388)</t>
  </si>
  <si>
    <t>Risa Monika, S.IP
Gunawan Arif Wibowo, S.AP., M.T
Maryam Amin, SE</t>
  </si>
  <si>
    <t>Dyah Kusumaning Putri, S.E
Arie Ardiansyah, SH
Rani Fajar Nestiti, S.T</t>
  </si>
  <si>
    <r>
      <rPr>
        <b/>
        <sz val="12"/>
        <color rgb="FF000000"/>
        <rFont val="Arial"/>
      </rPr>
      <t xml:space="preserve">Tahap Persiapan: </t>
    </r>
    <r>
      <rPr>
        <sz val="12"/>
        <color rgb="FF000000"/>
        <rFont val="Arial"/>
      </rPr>
      <t xml:space="preserve">Penerbitan SK Pokja 15 April 2025 dan Reviu Dokumen Persiapan 17 April 2025 (Revisi s.d. tanggal 21 April 2025). 
</t>
    </r>
    <r>
      <rPr>
        <b/>
        <sz val="12"/>
        <color rgb="FF000000"/>
        <rFont val="Arial"/>
      </rPr>
      <t xml:space="preserve">Tahap Pelaksanaan Repeat Order
</t>
    </r>
    <r>
      <rPr>
        <sz val="12"/>
        <color rgb="FF000000"/>
        <rFont val="Arial"/>
      </rPr>
      <t>1. Pengumuman RO tanggal 21 April 2025
2. Perubahan/ Addendum tanggal 24 April 2025 (Perubahan dokumen Bab VI. LKE, Bab VIII. Rancangan Kontrak dan SSKK)
3. Pembukaan dokumen penawaran tanggal 28 April 2025. Terdapat 1 penawaran yang masuk
4. Evaluasi : tidak ada kendala. Penetapan dan pengumuman tanggal 30 April 2025
5. Tidak ada masa sanggah (paket RO) dan BAHP disampaikan ke PPK tanggal 30 April 2025.</t>
    </r>
  </si>
  <si>
    <t>Tidak ada kendala: Repeat Order</t>
  </si>
  <si>
    <t>PT. MOJOPAHIT AGUNG KONSULTAN</t>
  </si>
  <si>
    <t>Revi Dwi Yuliansyah</t>
  </si>
  <si>
    <t>Jl Pucang Sewu 10 - Surabaya (Kota) - Jawa Timur</t>
  </si>
  <si>
    <t>02.175.959.2-606.000</t>
  </si>
  <si>
    <t>macons_indonesia@yahoo.com</t>
  </si>
  <si>
    <t>031-5018150</t>
  </si>
  <si>
    <t>15</t>
  </si>
  <si>
    <t>PW. Preservasi Jalan dan Jembatan PJN 2 Jatim</t>
  </si>
  <si>
    <t>Risa Monika, S.IP
Gunawan Arif Wibowo, S.AP., M.T
Dhina Tri Hendriani, SE</t>
  </si>
  <si>
    <t>Rani Fajar Nestiti, S.T
Agnesia Margaretha Gunawan, S.IAN
Sasetyo Gilang Kusumo, SH</t>
  </si>
  <si>
    <t>PT ARCI PRATAMA KONSULTAN</t>
  </si>
  <si>
    <t>Ir. H. REZKI, ST.,MT,IPM</t>
  </si>
  <si>
    <t>JL RSI FAISAL RAYA II NO 15 MAKASSAR - Makassar (Kota) - Sulawesi Selatan</t>
  </si>
  <si>
    <t>81.089.101.0-805.000</t>
  </si>
  <si>
    <t>arcipratama88@gmail.com</t>
  </si>
  <si>
    <t>(0411) 8122 490
0811460108</t>
  </si>
  <si>
    <t>PT. GARIS PUTIH SEJAJAR KSO PT. MOJOPAHIT AGUNG KONSULTAN KSO PT. ADHIMASCIPTA DWIPANTARA</t>
  </si>
  <si>
    <t>16</t>
  </si>
  <si>
    <t>PW. Penggantian Jembatan Modangan</t>
  </si>
  <si>
    <t>Maya Puspita Maharani, SH., LL.M.</t>
  </si>
  <si>
    <t>Dhina Tri Hendriani, SE
Gunawan Arif Wibowo, S.AP., M.T
Elly Sulistyowati, SE</t>
  </si>
  <si>
    <t>Rifqathin Ulya, S.H.,M.H
Khairu Annisa Hariadi, S.T.,M.T
Teddy Marza Kurniawan, S.H</t>
  </si>
  <si>
    <t>Ir. Sidharta Chatyajoganindita</t>
  </si>
  <si>
    <t>Taman Kopo Indah I blok O no 74, Bandung - Bandung (Kab.) - Jawa Barat</t>
  </si>
  <si>
    <t>01.622.248.1-445.000</t>
  </si>
  <si>
    <t>pt.garisputihsejajar@yahoo.com</t>
  </si>
  <si>
    <t>022-5410805</t>
  </si>
  <si>
    <t>KSO DENGAN LOKAL</t>
  </si>
  <si>
    <t>17</t>
  </si>
  <si>
    <t>PW. Duplikasi Jembatan Manyar No.10 B CS</t>
  </si>
  <si>
    <t>Dhina Tri Hendriani, SE
Feby Lorentika, ST
Elly Sulistyowati, SE</t>
  </si>
  <si>
    <t>Wan Achmad Reza Rinatha, ST, MT
Rani Fajar Nestiti, S.T
Diah Putri Rahmawati, S.Tr.T</t>
  </si>
  <si>
    <t>PT ARKITRON</t>
  </si>
  <si>
    <t>Medy Pujioko, ST</t>
  </si>
  <si>
    <t>Jl Kutisari Utara III No 29 - Surabaya (Kota) - Jawa Timur</t>
  </si>
  <si>
    <t>01.122.266.8-615.000</t>
  </si>
  <si>
    <t>arkitron.pt@gmail.com
arkitron_pt@yahoo.co.id</t>
  </si>
  <si>
    <t>031-8494191</t>
  </si>
  <si>
    <t>18</t>
  </si>
  <si>
    <t>PW. Preservasi Jalan dan Jembatan Kota Pasuruan - Bangil - Gempol</t>
  </si>
  <si>
    <t>Maryam Amin, SE
Feby Lorentika, ST
Elly Sulistyowati, SE</t>
  </si>
  <si>
    <t>Rani Fajar Nestiti, S.T
Khairu Annisa Hariadi, S.T.,M.T
Diah Putri Rahmawati, S.Tr.T</t>
  </si>
  <si>
    <r>
      <rPr>
        <b/>
        <sz val="12"/>
        <color rgb="FF000000"/>
        <rFont val="Arial"/>
      </rPr>
      <t xml:space="preserve">Tahap Persiapan: </t>
    </r>
    <r>
      <rPr>
        <sz val="12"/>
        <color rgb="FF000000"/>
        <rFont val="Arial"/>
      </rPr>
      <t xml:space="preserve">Penerbitan SK Pokja tanggal 15 April 2025 dan Reviu Dokumen Persiapan tanggal 22 April 2025 (Menunggu perbaikan dokumen PPK)
</t>
    </r>
    <r>
      <rPr>
        <b/>
        <sz val="12"/>
        <color rgb="FF000000"/>
        <rFont val="Arial"/>
      </rPr>
      <t xml:space="preserve">Tahap Pelaksanaan Repeat Order
</t>
    </r>
    <r>
      <rPr>
        <sz val="12"/>
        <color rgb="FF000000"/>
        <rFont val="Arial"/>
      </rPr>
      <t>1. Pengumuman RO tanggal 24 April 2025 dan Pembukaan dokumen penawaran tanggal 2 Mei 2025 09:01
2. Penetapan dan pengumuman tanggal 9 Mei 2025, Tidak ada masa sanggah untuk untuk paket Repeat Order
3. BAHP disampaikan ke PPK tanggal 15 Mei 2025 (Ada Libur Hari Raya Waisak &amp; Cuti Bersama)</t>
    </r>
  </si>
  <si>
    <t>PT CIRIATAMA NUSAWIDYA CONSULT</t>
  </si>
  <si>
    <t>Rindra Scorino Putra</t>
  </si>
  <si>
    <t>Jl Kemang Utara IX 35 No C3A Duren Tiga Pancoran Jakarta Selatan - Jakarta Selatan (Kota) - DKI Jakarta</t>
  </si>
  <si>
    <t>15464290061000</t>
  </si>
  <si>
    <t>pt_ciriatama@yahoo.co.id</t>
  </si>
  <si>
    <t>021-7985347, 021-7990983, 021-79199647</t>
  </si>
  <si>
    <t>19</t>
  </si>
  <si>
    <t>PW. Preservasi Jalan dan Jembatan PJN 1 Jatim</t>
  </si>
  <si>
    <t>Maryam Amin, SE
Gunawan Arif Wibowo, S.AP., M.T
Dhina Tri Hendriani, SE</t>
  </si>
  <si>
    <t>Sasetyo Gilang Kusumo, SH
Rifqathin Ulya, S.H.,M.H
Agnesia Margaretha Gunawan, S.IAN</t>
  </si>
  <si>
    <t>PT. SEECONS</t>
  </si>
  <si>
    <t>Agus Kurniawan</t>
  </si>
  <si>
    <t>Komplek Muara Sari, Jln Muara Sari III No 10, Bandung 40235 - Bandung (Kota) - Jawa Barat</t>
  </si>
  <si>
    <t>11278041441000</t>
  </si>
  <si>
    <t>seecons@yahoocom</t>
  </si>
  <si>
    <t>(022) 521 1106</t>
  </si>
  <si>
    <t>20</t>
  </si>
  <si>
    <t>Supervisi Rehabilitasi Jaringan Irigasi Daerah Irigasi Bajulmati; 1 Dokumen; 1 Dokumen; NF; K; SYC</t>
  </si>
  <si>
    <t>agung purnayudha, ST (+62 812-8958-4383)</t>
  </si>
  <si>
    <t>Gunawan Arif Wibowo, S.AP., M.T
Elly Sulistyowati, SE
Maryam Amin, SE</t>
  </si>
  <si>
    <t>Arie Ardiansyah, SH
Diah Putri Rahmawati, S.Tr.T
Rani Fajar Nestiti, S.T</t>
  </si>
  <si>
    <r>
      <rPr>
        <b/>
        <sz val="12"/>
        <color rgb="FF000000"/>
        <rFont val="Arial"/>
      </rPr>
      <t xml:space="preserve">Tahap Persiapan: </t>
    </r>
    <r>
      <rPr>
        <sz val="12"/>
        <color rgb="FF000000"/>
        <rFont val="Arial"/>
      </rPr>
      <t xml:space="preserve">Penerbitan SK Pokja tanggal 15 April 2025 dan reviu Dokumen Persiapan tanggal 24 April 2025
</t>
    </r>
    <r>
      <rPr>
        <b/>
        <sz val="12"/>
        <color rgb="FF000000"/>
        <rFont val="Arial"/>
      </rPr>
      <t xml:space="preserve">Tahap Kualifikasi
</t>
    </r>
    <r>
      <rPr>
        <sz val="12"/>
        <color rgb="FF000000"/>
        <rFont val="Arial"/>
      </rPr>
      <t xml:space="preserve">1.	Pengumuman Prakualifikasi 24 April 2025
2.	Pembukaan dokumen kualifikasi 5 Mei 2025, pembukaan setelah data tambahan 14 Mei 2025 . Terdapat 12 penawaran.
4.	Evaluasi : tanggal 14 Mei 2025 sd 22 Mei 2025
</t>
    </r>
    <r>
      <rPr>
        <b/>
        <sz val="12"/>
        <color rgb="FF000000"/>
        <rFont val="Arial"/>
      </rPr>
      <t xml:space="preserve">Tahap Pelaksanaan Seleksi
</t>
    </r>
    <r>
      <rPr>
        <sz val="12"/>
        <color rgb="FF000000"/>
        <rFont val="Arial"/>
      </rPr>
      <t xml:space="preserve">1.	Pengumuman Seleksi tanggal 28 Mei 2025 terdapat perubahan/ Addendum tanggal 2 Juni 2025
2.	Pembukaan dokumen penawaran tanggal 10 Juni 2025, terdapat 5 penawaran yang masuk
3.	Evaluasi: 10 Juni 2025 sd 18 Juni 2025, Penetapan dan pengumuman 18 Juni 2025, Tidak ada sanggahan pada paket ini
4.	BAHP disampaikan ke PPK tanggal 24 Juni 2025
</t>
    </r>
  </si>
  <si>
    <r>
      <rPr>
        <b/>
        <sz val="12"/>
        <color rgb="FF000000"/>
        <rFont val="Arial"/>
      </rPr>
      <t xml:space="preserve">Kendala Libur Nasional
</t>
    </r>
    <r>
      <rPr>
        <sz val="12"/>
        <color rgb="FF000000"/>
        <rFont val="Arial"/>
      </rPr>
      <t>1. Libur Hari buruh</t>
    </r>
    <r>
      <rPr>
        <b/>
        <sz val="12"/>
        <color rgb="FF000000"/>
        <rFont val="Arial"/>
      </rPr>
      <t xml:space="preserve"> (1HK)
</t>
    </r>
    <r>
      <rPr>
        <sz val="12"/>
        <color rgb="FF000000"/>
        <rFont val="Arial"/>
      </rPr>
      <t xml:space="preserve">2. Libur Hari Waisak +Cuti bersama </t>
    </r>
    <r>
      <rPr>
        <b/>
        <sz val="12"/>
        <color rgb="FF000000"/>
        <rFont val="Arial"/>
      </rPr>
      <t xml:space="preserve">(2HK)
Kendala Sistem: </t>
    </r>
    <r>
      <rPr>
        <sz val="12"/>
        <color rgb="FF000000"/>
        <rFont val="Arial"/>
      </rPr>
      <t xml:space="preserve">Tidak Ada
</t>
    </r>
    <r>
      <rPr>
        <b/>
        <sz val="12"/>
        <color rgb="FF000000"/>
        <rFont val="Arial"/>
      </rPr>
      <t xml:space="preserve">
Proses Klarifikasi: </t>
    </r>
    <r>
      <rPr>
        <sz val="12"/>
        <color rgb="FF000000"/>
        <rFont val="Arial"/>
      </rPr>
      <t>Tidak Ada</t>
    </r>
  </si>
  <si>
    <t>PT. PUSER BUMI MEKON</t>
  </si>
  <si>
    <t>Jl. HOS. Cokroaminoto No. 15 Yogyakarta - Yogyakarta (Kota) - DI Yogyakarta</t>
  </si>
  <si>
    <t>01.145.304.0-541.000</t>
  </si>
  <si>
    <t>21</t>
  </si>
  <si>
    <t>Supervisi Pengaliran Lumpur ke Kali Porong; Kab. Sidoarjo; Jawa Timur; 1 Dokumen; 1 Dokumen; NF; K; SYC</t>
  </si>
  <si>
    <t>DEDY WIJANARKO, ST (+62 813-2812-1837)</t>
  </si>
  <si>
    <t>Rani Fajar Nestiti, ST</t>
  </si>
  <si>
    <t>Gunawan Arif Wibowo, S.AP., M.T
Dhina Tri Hendriani, SE
Maryam Amin, SE</t>
  </si>
  <si>
    <t>Fadlila Rohmadani, S.ST
Khairu Annisa Hariadi, S.T.,M.T
Daffah Ulfi Rahmatillah,SH</t>
  </si>
  <si>
    <r>
      <rPr>
        <b/>
        <sz val="12"/>
        <color rgb="FF000000"/>
        <rFont val="Arial"/>
      </rPr>
      <t xml:space="preserve">Tahap Persiapan: </t>
    </r>
    <r>
      <rPr>
        <sz val="12"/>
        <color rgb="FF000000"/>
        <rFont val="Arial"/>
      </rPr>
      <t xml:space="preserve">Penerbitan SK Pokja 17 April 2025 dan Reviu Dokumen Persiapan 24 April 2025
</t>
    </r>
    <r>
      <rPr>
        <b/>
        <sz val="12"/>
        <color rgb="FF000000"/>
        <rFont val="Arial"/>
      </rPr>
      <t xml:space="preserve">Tahap Kualifikasi
</t>
    </r>
    <r>
      <rPr>
        <sz val="12"/>
        <color rgb="FF000000"/>
        <rFont val="Arial"/>
      </rPr>
      <t xml:space="preserve">1. Pengumuman Prakualifikasi 25 April 2025
2. Pembukaan dokumen kualifikasi 16 Mei 2025, pembukaan setelah data tambahan 19 Mei 2025 . Terdapat 18 kualifikasi yang masuk
4. Evaluasi : tanggal 16 Mei 2025 sd 28 Mei 2025
</t>
    </r>
    <r>
      <rPr>
        <b/>
        <sz val="12"/>
        <color rgb="FF000000"/>
        <rFont val="Arial"/>
      </rPr>
      <t xml:space="preserve">Tahap Pelaksanaan Seleksi
</t>
    </r>
    <r>
      <rPr>
        <sz val="12"/>
        <color rgb="FF000000"/>
        <rFont val="Arial"/>
      </rPr>
      <t xml:space="preserve">1. Pengumuman Seleksi tanggal 3 Juni 2025
2. Pembukaan dokumen penawaran tanggal 10 Juni 2025. Terdapat 6 penawaran yang masuk
3. Evaluasi : tanggal 10 Juni 2025 sd 18 Juni 2025, Penetapan dan pengumuman tanggal 18 Juni 2025
4. Tidak ada sanggahan dan BAHP disampaikan ke PPK tanggal 26 Juni 2025
</t>
    </r>
  </si>
  <si>
    <r>
      <rPr>
        <sz val="12"/>
        <color rgb="FF000000"/>
        <rFont val="Arial"/>
      </rPr>
      <t>1. Libur Hari buruh</t>
    </r>
    <r>
      <rPr>
        <b/>
        <sz val="12"/>
        <color rgb="FF000000"/>
        <rFont val="Arial"/>
      </rPr>
      <t xml:space="preserve"> 1 Mei (1HK)
</t>
    </r>
    <r>
      <rPr>
        <sz val="12"/>
        <color rgb="FF000000"/>
        <rFont val="Arial"/>
      </rPr>
      <t xml:space="preserve">2. Libur Hari Waisak +Cuti bersama 12-13 Mei </t>
    </r>
    <r>
      <rPr>
        <b/>
        <sz val="12"/>
        <color rgb="FF000000"/>
        <rFont val="Arial"/>
      </rPr>
      <t>(2HK)</t>
    </r>
  </si>
  <si>
    <t>PT. INAKKO Internasional Konsulindo KSO PT. MULYA SAKTI WIJAYA - PT. BHAWANA PRASASTA</t>
  </si>
  <si>
    <t>Fisnu Yudha Pramono</t>
  </si>
  <si>
    <t>INAKKO : Jl. Kramat Sentiong No.46, Jakarta Pusat, DKI Jakarta
MSW : Jl. Kompleks Permata Hijau Permai Blok J No.12 Makassar, Sulawesi Selatan
BP : Jl. Mekar Raya No.5 Blok. II B-3 Desa. Mekar Rahayu Kec. Margaasih Kab. Bandung, Jawa Barat</t>
  </si>
  <si>
    <t xml:space="preserve">inakko : 01.844.485.1-015.000
msw : 03.248.984.1-805.000
bp : 01.548.390.2-445.000
</t>
  </si>
  <si>
    <t>inakko@gmail.com / msw_skrd@yahoo.id /   bhawanaprasasta10@yahoo.com</t>
  </si>
  <si>
    <t>inakko : 021-21390308
msw :  0411-4671718
bp : 022-5417600</t>
  </si>
  <si>
    <t>harga terkoreksi : Rp. 2.865.076.500,00 
harga negosiasi : Rp. 2.860.791.123,00</t>
  </si>
  <si>
    <t>22</t>
  </si>
  <si>
    <t>PW. Preservasi Jalan Bulu (Bts. Prov. Jateng) - Bts. Kota Tuban Tahap 2</t>
  </si>
  <si>
    <t>Elly Sulistyowati, SE
Feby Lorentika, ST
Risa Monika, S.IP</t>
  </si>
  <si>
    <t>Khairu Annisa Hariadi, S.T.,M.T
Diah Putri Rahmawati, S.Tr.T
Arie Ardiansyah, SH</t>
  </si>
  <si>
    <r>
      <rPr>
        <b/>
        <sz val="12"/>
        <color rgb="FF000000"/>
        <rFont val="Arial"/>
      </rPr>
      <t xml:space="preserve">Tahap Persiapan : </t>
    </r>
    <r>
      <rPr>
        <sz val="12"/>
        <color rgb="FF000000"/>
        <rFont val="Arial"/>
      </rPr>
      <t xml:space="preserve">Penerbitan SK Pokja 15 April 2025 dan  Reviu Dok Persiapan 21 April 2025 (Revisi PPK selesai 24 April 2025. 
</t>
    </r>
    <r>
      <rPr>
        <b/>
        <sz val="12"/>
        <color rgb="FF000000"/>
        <rFont val="Arial"/>
      </rPr>
      <t xml:space="preserve">Tahap Pelaksanaan Seleksi
</t>
    </r>
    <r>
      <rPr>
        <sz val="12"/>
        <color rgb="FF000000"/>
        <rFont val="Arial"/>
      </rPr>
      <t>1. Pengumuman Seleksi 25 April 2025, terdapat Addendum 29 April 2025 terkait perbaikan nilai bobot
2. Pembukaan dokumen penawaran 5 Mei 2025. Terdapat 1 penawaran yang masuk dan Evaluasi hingga 7 Mei 2025
3. Penetapan dan pengumuman tanggal 7 Mei 2025 dan tidak ada sanggahan
4. BAHP disampaikan ke PPK tanggal 9 Mei 2025</t>
    </r>
  </si>
  <si>
    <t>PT TERASIS EROJAYA</t>
  </si>
  <si>
    <t>Iran Sudrajat</t>
  </si>
  <si>
    <t>PT. Terasis Erojaya
Jl Hang Tuah No 26, Kebayoran Baru, Jakarta Selatan
CV. Mahakarya Utama
Jl. Graha Sunan Ampel II No.38, Wiyung, Kec. Wiyung, Surabaya, Jawa Timur 60227</t>
  </si>
  <si>
    <t>PT. Terasis Erojaya: 01.541.415.4-064.000
00.154.141.5-406.4000
CV. Mahakarya Utama : 03.200.541.5.015.000</t>
  </si>
  <si>
    <t>terasis252@gmail.com / mkusby@yahoo.com</t>
  </si>
  <si>
    <t>021-7244991/ 081 – 22006360</t>
  </si>
  <si>
    <t>lokal</t>
  </si>
  <si>
    <t>Harga Terkoreksi: Rp1.510.044.000,00
Harga Negosiasi: Rp1.509.135.000,00</t>
  </si>
  <si>
    <t>23</t>
  </si>
  <si>
    <t>KONSULTAN PENGENDALI MUTU INDEPENDEN (PMI) JALAN TOL PROVINSI JAWA TIMUR</t>
  </si>
  <si>
    <t>Syinta Febria Syamsiah, ST.,MT.</t>
  </si>
  <si>
    <t>Teddy Marza Kurniawan, SH.</t>
  </si>
  <si>
    <t>Sasetyo Gilang Kusumo, SH
Arie Ardiansyah, SH
Wan Achmad Reza Rinatha, ST, MT</t>
  </si>
  <si>
    <t xml:space="preserve">Pembukaan dok kualifikasi 9 Mei 2025,
Jumlah peserta 16 + KSO menjadi 32. Keterangan hari libur:
1. Libur Hari buruh (1HK)
2. Libur Hari Waisak +Cuti bersama (2HK), 3. Libur Isa Almasih + Cuti Bersama (2HK), 4. Libur Idul Adha + cuti bersama (4HK), </t>
  </si>
  <si>
    <t>PT. Atharrazka Tata Jaya
PT. PLANOSIP NUSANTARA ENGINEERING CONSULTANT
PT. ARKITRON</t>
  </si>
  <si>
    <t>Bambang Sri Widodo, SE</t>
  </si>
  <si>
    <t>JL.Cluster Alamanda W13 No.08 RT.003RW023 Karang Satria Tambun Utara Bekasi
PT. PLANOSIP NUSANTARA ENGINEERING CONSULTANT
JL.PHH. MUSTOPA NO. 143
PT ARKITRON
JL.KUTISARI UTARA III/29</t>
  </si>
  <si>
    <t>02.027.507.9-432.000
01.531.497.4-423.000
01.122.266.8-615.000</t>
  </si>
  <si>
    <t>atharrazkatatajaya@gmail.com
ptplanosipnusantara@yahoo.co.id
arkitron.pt@gmail.com</t>
  </si>
  <si>
    <t>PT ATHARRAZKA TATA JAYA
02189995531
085880877918
PT PLANOSIP NUSANTARA ENGINEERING CONSULTANT
082128381515</t>
  </si>
  <si>
    <t>Lokal</t>
  </si>
  <si>
    <t>24</t>
  </si>
  <si>
    <t>Supervisi Peningkatan/Perkuatan Tanggul Penahan Lumpur; Kab. Sidoarjo; Jawa Timur; 1 Dokumen; 1 Dokumen; NF; K; SYC</t>
  </si>
  <si>
    <t>Anton Winarto Putro, ST, MPSDA (081389082212)</t>
  </si>
  <si>
    <t>Rifqathin Ulya, SH., MH.</t>
  </si>
  <si>
    <t>Gunawan Arif Wibowo, S.AP., M.T
Maryam Amin, SE
Dhina Tri Hendriani, SE</t>
  </si>
  <si>
    <t>Wan Achmad Reza Rinatha, ST, MT
Sasetyo Gilang Kusumo, SH
Teddy Marza Kurniawan, S.H</t>
  </si>
  <si>
    <r>
      <rPr>
        <b/>
        <sz val="12"/>
        <color rgb="FF000000"/>
        <rFont val="Arial"/>
      </rPr>
      <t xml:space="preserve">Tahap Persiapan: </t>
    </r>
    <r>
      <rPr>
        <sz val="12"/>
        <color rgb="FF000000"/>
        <rFont val="Arial"/>
      </rPr>
      <t xml:space="preserve">Penerbitan SK Pokja 22 April 2025 dan Reviu Dokumen Persiapan 30 April 2025 (Revisi PPK sampai 2 Mei 2025). 
</t>
    </r>
    <r>
      <rPr>
        <b/>
        <sz val="12"/>
        <color rgb="FF000000"/>
        <rFont val="Arial"/>
      </rPr>
      <t xml:space="preserve">Tahap Pelaksanaan Kualifikasi
</t>
    </r>
    <r>
      <rPr>
        <sz val="12"/>
        <color rgb="FF000000"/>
        <rFont val="Arial"/>
      </rPr>
      <t xml:space="preserve">1. Pengumuman Prakualifikasi tanggal 2 Mei 2025
2. Pembukaan dokumen kualifikasi tanggal 14 Mei 2025, tambahan data sampai tanggal 26 Mei 2025. Terdapat 15 peserta kualifikasi
3. Evaluasi : 14 Mei - 5 Juni 2025 sedangkan Penetapan dan pengumuman tanggal 5 Juni 2025
</t>
    </r>
    <r>
      <rPr>
        <b/>
        <sz val="12"/>
        <color rgb="FF000000"/>
        <rFont val="Arial"/>
      </rPr>
      <t xml:space="preserve">Tahap Pelaksanaan Seleksi
</t>
    </r>
    <r>
      <rPr>
        <sz val="12"/>
        <color rgb="FF000000"/>
        <rFont val="Arial"/>
      </rPr>
      <t>1. Pengumuman Seleksi tanggal 12 Juni 2025
2. Pembukaan dokumen penawaran tanggal 19 Juni 2025 . Terdapat 7 penawaran yang masuk
3. Evaluasi : 19 - 30 Juni 2025 
4. Penetapan dan pengumuman tanggal 30 Juni 2025. Tidak ada sanggahan.
5. BAHP disampaikan ke PPK tanggal 10 Juli 2025</t>
    </r>
  </si>
  <si>
    <t>1. Libur Hari Waisak +Cuti bersama 12-13 Mei (2HK)
2. Libur 29 - 30 Mei (Kenaikan Yesus Kristus &amp; Cuti Bersama) (2HK)
3. Libur 6 &amp; 9 Juni (Hari Raya Idul Adha &amp; cuti bersama) (2 HK)
4. Libur 27 Juni (Tahun Baru Islam) (1HK)</t>
  </si>
  <si>
    <t>PT. Antusias Raya (KSO) CV. Kausar Susilo Abadi, PT. Segoro Kidul</t>
  </si>
  <si>
    <r>
      <t xml:space="preserve">1.	PT. Antusias Raya: Jl. PU No. 1, RT. 002, Kel. Baqa, Kec. Samarinda Seberang, Kota Samarinda
2.	CV. Kausar Susilo Abadi: </t>
    </r>
    <r>
      <rPr>
        <b/>
        <sz val="11"/>
        <color rgb="FF000000"/>
        <rFont val="Aptos Narrow"/>
        <scheme val="minor"/>
      </rPr>
      <t xml:space="preserve">Jl. Nias No. 15A Madiun 
</t>
    </r>
    <r>
      <rPr>
        <sz val="11"/>
        <color rgb="FF000000"/>
        <rFont val="Aptos Narrow"/>
        <scheme val="minor"/>
      </rPr>
      <t>3.	PT. Segoro Kidup: Jl. Cicukang No. 32 Kota Bandung</t>
    </r>
  </si>
  <si>
    <t>1.	PT. Antusias Raya: 01.684.224.7-722.000
2.	CV. Kausar Susilo Abadi: 02.302.311.2-621.000
3.	PT. Segoro Kidup: 02.789.884.0-429.000</t>
  </si>
  <si>
    <t>antusias_raya@yahoo.co.id</t>
  </si>
  <si>
    <t>081210510924</t>
  </si>
  <si>
    <t>Harga Terkoreksi: Rp 1.456.441.212,00
Harga Negosiasi: Rp 1.455.580.407,00</t>
  </si>
  <si>
    <t>25</t>
  </si>
  <si>
    <t>PR Penanganan Perlintasan Sebidang Jalur Kereta Api di Jalan Nasional Jawa Timur Tahap I (2025 - 2029) C</t>
  </si>
  <si>
    <t>Feby Lorentika, ST
Dhina Tri Hendriani, SE
Risa Monika, S.IP</t>
  </si>
  <si>
    <t>Rifqathin Ulya, S.H.,M.H
Teddy Marza Kurniawan, S.H
Sasetyo Gilang Kusumo, SH</t>
  </si>
  <si>
    <r>
      <rPr>
        <b/>
        <sz val="11"/>
        <color rgb="FF000000"/>
        <rFont val="Arial"/>
      </rPr>
      <t xml:space="preserve">Tahap Persiapan: </t>
    </r>
    <r>
      <rPr>
        <sz val="11"/>
        <color rgb="FF000000"/>
        <rFont val="Arial"/>
      </rPr>
      <t xml:space="preserve">Penerbitan SK Pokja tanggal 25 April 2025 dan Reviu Dokumen Persiapan tanggal 30 April 2025
</t>
    </r>
    <r>
      <rPr>
        <b/>
        <sz val="11"/>
        <color rgb="FF000000"/>
        <rFont val="Arial"/>
      </rPr>
      <t xml:space="preserve">Tahap Kualifikasi
</t>
    </r>
    <r>
      <rPr>
        <sz val="11"/>
        <color rgb="FF000000"/>
        <rFont val="Arial"/>
      </rPr>
      <t xml:space="preserve">1. Pengumuman Prakualifikasi 6 Mei 2025
2. Perubahan/ Addendum Dukumen Kualifikasi 14 Mei 2025
3. Pembukaan dokumen kualifikasi 16 Mei 2025, pembukaan penawaran setelah data tambahan 27 mei 2025 . Terdapat 12 penawaran
4. Evaluasi : tanggal 16 Mei 2025 sd 5 Juni 2025
</t>
    </r>
    <r>
      <rPr>
        <b/>
        <sz val="11"/>
        <color rgb="FF000000"/>
        <rFont val="Arial"/>
      </rPr>
      <t xml:space="preserve">Tahap Pelaksanaan Seleksi
</t>
    </r>
    <r>
      <rPr>
        <sz val="11"/>
        <color rgb="FF000000"/>
        <rFont val="Arial"/>
      </rPr>
      <t>1. Pengumuman Seleksi tanggal 17 Juni 2025
2. Pembukaan dokumen penawaran tanggal 24 Juni 2025. Terdapat 6 penawaran yang masuk
3. Evaluasi : tanggal 24 Juni 2025 sd 2 Juli 2025
4. Penetapan dan pengumuman tanggal 2 Juli 2025. Tidak ada sanggahan.
5. BAHP disampaikan ke PPK tanggal 10 Juli 2025</t>
    </r>
  </si>
  <si>
    <t>PT. SURYA MARZQ KONSULTINDO</t>
  </si>
  <si>
    <t>Graha Mampang Building 3in Floor - Suite 305, Jl. Mampang Prapatan Raya Kav. 100, Mampang - Jakarta - Jakarta Selatan (Kota) - DKI Jakarta</t>
  </si>
  <si>
    <t>01.812.788.6-003.000</t>
  </si>
  <si>
    <t>surya_mkon@yahoo.co.id</t>
  </si>
  <si>
    <t>02186941526</t>
  </si>
  <si>
    <t>26</t>
  </si>
  <si>
    <t>Konsultan Supervisi Pembangunan Jaringan Perpipaan (Mendukung Sebaif Grati) Kab. Pasuruan</t>
  </si>
  <si>
    <t>Mike Yuanita</t>
  </si>
  <si>
    <t>Diah Putri Rahmawati, S.Tr.T
Rifqathin Ulya, S.H.,M.H
Dyah Kusumaning Putri, S.E</t>
  </si>
  <si>
    <r>
      <rPr>
        <b/>
        <sz val="13"/>
        <color rgb="FF000000"/>
        <rFont val="Arial"/>
      </rPr>
      <t xml:space="preserve">TAHAP SELEKSI PERTAMA GAGAL
Tahap Persiapan: </t>
    </r>
    <r>
      <rPr>
        <sz val="13"/>
        <color rgb="FF000000"/>
        <rFont val="Arial"/>
      </rPr>
      <t xml:space="preserve">Penerbitan SK Pokja tanggal 09 Mei 2025 dan Reviu Dokumen Persiapan tanggal 16 Mei 2025
</t>
    </r>
    <r>
      <rPr>
        <b/>
        <sz val="13"/>
        <color rgb="FF000000"/>
        <rFont val="Arial"/>
      </rPr>
      <t xml:space="preserve">Tahap Kualifikasi
</t>
    </r>
    <r>
      <rPr>
        <sz val="13"/>
        <color rgb="FF000000"/>
        <rFont val="Arial"/>
      </rPr>
      <t xml:space="preserve">1. Pengumuman Prakualifikasi 16 Mei 2025
2. Pembukaan dokumen kualifikasi 5 Juni 2025, pembukaan setelah data tambahan 5 Juni 2025. Terdapat 24 penawaran
3. Evaluasi Prakualfikasi : tanggal 5 Juni 2025 sd 17 Juni 2025
</t>
    </r>
    <r>
      <rPr>
        <b/>
        <sz val="13"/>
        <color rgb="FF000000"/>
        <rFont val="Arial"/>
      </rPr>
      <t xml:space="preserve">Tahap Pelaksanaan Seleksi
</t>
    </r>
    <r>
      <rPr>
        <sz val="13"/>
        <color rgb="FF000000"/>
        <rFont val="Arial"/>
      </rPr>
      <t xml:space="preserve">1. Pengumuman Seleksi tanggal 23 Juni 2025
2. Pembukaan dokumen penawaran tanggal 1 Juli 2025, . Terdapat 7 penawaran yang masuk
3. Evaluasi Teknis dan Harga : tanggal 1 Juli 2025 sd 11 Juli 2025. Penetapan dan pengumuman tanggal 11 Juli 2025
4. Terdapat sanggahan pada 15 Juli 2025 yaitu 2 sanggahan dan diterima sehingga ditindaklanjuti dengan </t>
    </r>
    <r>
      <rPr>
        <b/>
        <sz val="13"/>
        <color rgb="FF000000"/>
        <rFont val="Arial"/>
      </rPr>
      <t>seleksi ulang</t>
    </r>
  </si>
  <si>
    <t>KENDALA LIBUR NASIONAL
Tidak ada
KENDALA SISTEM
Tidak Ada
KENDALA PROSES KLARIFIKASI
Belum Ada proses klarifikasi</t>
  </si>
  <si>
    <t>CV. CENTRINA ENGINEERING</t>
  </si>
  <si>
    <t>Jln Tembaga No 10, Gp Laksana, Kec Kuta Alam, Banda Aceh - Banda Aceh (Kota) - Aceh</t>
  </si>
  <si>
    <t xml:space="preserve">02.932.048.8-101.000
</t>
  </si>
  <si>
    <t>cv.centrina_engineering@yahoo.com</t>
  </si>
  <si>
    <t xml:space="preserve">081360011097
</t>
  </si>
  <si>
    <t>27</t>
  </si>
  <si>
    <t>Konsultan Manajemen proyek BBPJN Jawa Timur - Bali</t>
  </si>
  <si>
    <t>Zamhur Rimaldi Karnadi, S.Kom, M.A.B</t>
  </si>
  <si>
    <t>Daffah Ulfi Rahmatillah, SH.</t>
  </si>
  <si>
    <t>Gunawan Arif Wibowo, S.AP., M.T
Risa Monika, S.IP
Maryam Amin, SE</t>
  </si>
  <si>
    <t>Diah Putri Rahmawati, S.Tr.T
Rani Fajar Nestiti, S.T
Agnesia Margaretha Gunawan, S.IAN</t>
  </si>
  <si>
    <r>
      <rPr>
        <b/>
        <sz val="12"/>
        <color rgb="FF000000"/>
        <rFont val="Arial"/>
      </rPr>
      <t xml:space="preserve">Tahap Persiapan: 
</t>
    </r>
    <r>
      <rPr>
        <sz val="12"/>
        <color rgb="FF000000"/>
        <rFont val="Arial"/>
      </rPr>
      <t xml:space="preserve">1. Penerbitan SK Pokja tanggal 7 Mei 2025
2. Reviu Dokumen Persiapan tanggal 9 Mei 2025 (sesuai hasil rapat, disepakati bahwa PPK bersurat ke Dir.Pengadaan terkait pelaksanaan RO yg referensi paket sebelumnya dari BP2JK Wilayah lain. Surat jawaban klarifikasi diterima oleh PPK tgl 20 Mei 2025. Reviu dokumen persiapan dilakukan Kembali tgl 22 Mei 2025. Revisi dokumen PPK disampaikan tgl 23 Mei 2025. 
</t>
    </r>
    <r>
      <rPr>
        <b/>
        <sz val="12"/>
        <color rgb="FF000000"/>
        <rFont val="Arial"/>
      </rPr>
      <t xml:space="preserve">Tahap Pelaksanaan Repeat Order
</t>
    </r>
    <r>
      <rPr>
        <sz val="12"/>
        <color rgb="FF000000"/>
        <rFont val="Arial"/>
      </rPr>
      <t>1. Pengumuman RO tanggal 23 Mei 2025, terdapat  Addendum tgl 28 Mei 2025 terkait lingkup pekerjaan pada LDP
2. Pembukaan dokumen penawaran tanggal 2 Juni 08:01 WIB serta Penetapan dan pengumuman tanggal 11 Juni 2025
3. BAHP disampaikan ke PPK tanggal 11 Juni 2025</t>
    </r>
  </si>
  <si>
    <t>Pokja 21B
sesuai pengajuan PPK, paket tersebut merupakan paket Repeat Order (RO). RO didasarkan pada paket dari BP2JK Papua. Sudah dilakukan pembahasan rapat reviu dengan PPK tgl 9 Mei 2025. Berdasarkan hasil pembahasan, disepakati bahwa sebelum proses pemilihan dilakukan, PPK bersurat terlebih dahulu ke dit. pengadaan terkait boleh tidaknya RO didasarkan pada paket yg dilakukan PPK berbeda (merujuk pada tahapan RO di SE Menteri PUPR No. 14 th 2024). Akan dilakukan rapat reviu dokumen kembali setelah ada surat balasan dari dit. pengadaan</t>
  </si>
  <si>
    <t>PT. Wesitan Konsultasi Pembangunan</t>
  </si>
  <si>
    <t>Eliasar Lekitonu</t>
  </si>
  <si>
    <t>Jl Bonto Ramba No 10 Makassar</t>
  </si>
  <si>
    <t>PT. Wesitan Konsultasi Pembangunan: 0014 2327 1481 2000
PT. Eskapindo Matra: 0013089438003000
PT. Tinavel Papua Konsultan: 76.251.896.7-952.000</t>
  </si>
  <si>
    <t>wesitan@ymail.com</t>
  </si>
  <si>
    <t>28</t>
  </si>
  <si>
    <t>PR.02 Perencanaan Teknis Preservasi Jalan dan Jembatan Wilayah II dan IV Provinsi Jawa Timur</t>
  </si>
  <si>
    <t>Maryam Amin, SE
Dhina Tri Hendriani, SE
Risa Monika, S.IP</t>
  </si>
  <si>
    <t>Rani Fajar Nestiti, S.T
Diah Putri Rahmawati, S.Tr.T
Khairu Annisa Hariadi, S.T.,M.T</t>
  </si>
  <si>
    <t>REPEAT ORDER SELESAI</t>
  </si>
  <si>
    <t>PT GITA CIPTA SIAGAYASA</t>
  </si>
  <si>
    <t>Gedung Alamanda Tower, 25th Floor Jalan TB Simatupang 2324 Jakarta 12430 - Jakarta Selatan (Kota) - DKI Jakarta</t>
  </si>
  <si>
    <t xml:space="preserve">01.328.218.1-015.000
</t>
  </si>
  <si>
    <t xml:space="preserve">gitacipta.siagayasa@gmail.com
</t>
  </si>
  <si>
    <t xml:space="preserve">02129124833
</t>
  </si>
  <si>
    <t>29</t>
  </si>
  <si>
    <t>PR.01 Perencanaan Teknis Preservasi Jalan dan Jembatan Wilayah I, III, dan SKPD-TP Provinsi Jawa Timur</t>
  </si>
  <si>
    <t>Gunawan Arif Wibowo, S.AP., M.T
Risa Monika, S.IP
Elly Sulistyowati, SE</t>
  </si>
  <si>
    <t>Daffah Ulfi Rahmatillah,SH
Rifqathin Ulya, S.H.,M.H
Diah Putri Rahmawati, S.Tr.T</t>
  </si>
  <si>
    <t>PT SURYA MARZQ KONSULTINDO</t>
  </si>
  <si>
    <t>Graha Mampang Building 3in Floor Suite 305, Jl Mampang Prapatan Raya Kav 100, Mampang Jakarta - Jakarta Selatan (Kota) - DKI Jakarta</t>
  </si>
  <si>
    <t xml:space="preserve">01.812.788.6-003.000
</t>
  </si>
  <si>
    <t xml:space="preserve">surya_mkon@yahoo.co.id
</t>
  </si>
  <si>
    <t xml:space="preserve">02186941526
</t>
  </si>
  <si>
    <t>30</t>
  </si>
  <si>
    <t>Supervisi Pengendali Banjir Sistem Kali Buntung dan Bandara Juanda Kabupaten Sidoarjo yang ditingkatkan (Tahap I)</t>
  </si>
  <si>
    <t>Ima Sholikhati, ST., MT (081233171118)</t>
  </si>
  <si>
    <t>Risa Monika, S.IP
Gunawan Arif Wibowo, S.AP., M.T
Elly Sulistyowati, SE</t>
  </si>
  <si>
    <t>Khairu Annisa Hariadi, ST., MT
Diah Putri Rahmawati, S.Tr.T
Rani Fajar Nestiti, ST</t>
  </si>
  <si>
    <t>PTADHISTYA DHARMASTITYA</t>
  </si>
  <si>
    <t>iR. FS. Sulistomo</t>
  </si>
  <si>
    <t>JL SUPRIYADI VI NO14A RT01 RW07 KEL KALICARI KEC PEDURUNGAN - Semarang (Kota) - Jawa Tengah</t>
  </si>
  <si>
    <t>01.456.683.0-518.000</t>
  </si>
  <si>
    <t>pt_adhistya@yahoo.com</t>
  </si>
  <si>
    <t>024 - 6711175
081225424168</t>
  </si>
  <si>
    <t>31</t>
  </si>
  <si>
    <t>Supervisi Pembangunan Pengaman Pantai Kab. Bangkalan</t>
  </si>
  <si>
    <t>Ima Sholikhati, ST., MT</t>
  </si>
  <si>
    <t>Dhina Tri Hendriani, SE
Feby Lorentika, ST
Maryam Amin, SE</t>
  </si>
  <si>
    <t>Khairu Annisa Hariadi, ST., MT
Diah Putri Rahmawati, S.Tr.T
Sasetyo Gilang Kusumo, SH</t>
  </si>
  <si>
    <t>PT DUTA BHUANA JAYA</t>
  </si>
  <si>
    <t>Djamari, SE</t>
  </si>
  <si>
    <t xml:space="preserve">	Rukan Puri Dago Jl Terusan Jakarta No 392 Lt 2 - Bandung (Kota) - Jawa Barat</t>
  </si>
  <si>
    <t>31.625.854.0-429.000</t>
  </si>
  <si>
    <t>dutabhuanajaya@yahoo.com</t>
  </si>
  <si>
    <t>(0274) 2251639</t>
  </si>
  <si>
    <t>32</t>
  </si>
  <si>
    <t>Supervisi Rehabilitasi Jaringan Irigasi Daerah Irigasi Siman (Tahap 6)</t>
  </si>
  <si>
    <t>Gunawan Arif Wibowo, S.AP., M.T
Dhina Tri Hendriani, SE
Risa Monika, S.IP</t>
  </si>
  <si>
    <t>Fadlila Rohmadani, S.ST
Agnesia Margaretha Gunawan, S.IAN
Sasetyo Gilang Kusumo, SH</t>
  </si>
  <si>
    <t>PT INAKKO Internasional Konsulindo</t>
  </si>
  <si>
    <t>Jalan Kramat Sentiong No 46 rt/rw 08/07 kel Kramat Kec Senen Kota Adm Jakarta Pusat - Jakarta Pusat (Kota) - DKI Jakarta</t>
  </si>
  <si>
    <t>01.844.485.1-015.000</t>
  </si>
  <si>
    <t>inakko@gmail.com</t>
  </si>
  <si>
    <t>021-21390308</t>
  </si>
  <si>
    <t>Menunggu paket fisik kontrak terlebih dahulu</t>
  </si>
  <si>
    <t>33</t>
  </si>
  <si>
    <r>
      <rPr>
        <b/>
        <sz val="12"/>
        <color rgb="FFFF0000"/>
        <rFont val="Arial"/>
      </rPr>
      <t xml:space="preserve">MADRASAH:
</t>
    </r>
    <r>
      <rPr>
        <b/>
        <sz val="12"/>
        <color rgb="FF000000"/>
        <rFont val="Arial"/>
      </rPr>
      <t>Supervisi Rehabilitasi dan Renovasi Madrasah PHTC Jawa Timur 3</t>
    </r>
  </si>
  <si>
    <t>DJPS</t>
  </si>
  <si>
    <t>Yuni Ahmat Erivianto, ST(+62 811-7776-009)</t>
  </si>
  <si>
    <t>Feby Lorentika, ST
Elly Sulistyowati, SE
Dhina Tri Hendriani, SE
Dahniar Achlis, S.Ars.
Farah Rosa Bela Asnawi, S.Ars</t>
  </si>
  <si>
    <t>Arie Ardiansyah, SH
Sasetyo Gilang Kusumo, SH
Daffah Ulfi Rahmatillah,SH</t>
  </si>
  <si>
    <r>
      <rPr>
        <b/>
        <sz val="12"/>
        <color rgb="FF4EA72E"/>
        <rFont val="Arial"/>
      </rPr>
      <t xml:space="preserve">SELEKSI SELESAI. KRONOLOGI PAKET :
</t>
    </r>
    <r>
      <rPr>
        <sz val="12"/>
        <color rgb="FF000000"/>
        <rFont val="Arial"/>
      </rPr>
      <t>1. Penerbitan SK Pokja tanggal 26 Juni 2025 dan Reviu Dokumen Persiapan tanggal 1 Juli 2025. Pengumuman Seleksi tanggal 3 Juli 2025
2. Pembukaan dokumen kualifikasi14 Juli 2025, pembukaan setelah data tambahan 25 Juli 2025. Terdapat 28 penawaran, dengan KSO menjadi 34 penyedia
3. Evaluasi : tidak ada kendala, rabu 30 Juli 2025 pembuktian kualifikasi
4. Penetapan kualifikasi tanggal 5 Agustus 2025 dan masa sanggah PQ sampai 11 Agustus 2025
6. Pembukaan file I tanggal 19 Agustus 2025,
7.  Penetapan Pemenang tgl. 20 Agt mundur menjadi 26 Agt, krn pembuktian saat PQ mundur akibat kendala SIPBJ, yaitu tidak bisa mengecek pengalaman perusahaan.
8. Penetapan pemenang 26 Agustus 2025 dan masa sanggah sampai 1 September 2025. Tidak ada sanggah pada tahap seleksi</t>
    </r>
  </si>
  <si>
    <r>
      <rPr>
        <b/>
        <sz val="12"/>
        <color rgb="FF000000"/>
        <rFont val="Arial"/>
      </rPr>
      <t xml:space="preserve">Hari Libur Nasional: </t>
    </r>
    <r>
      <rPr>
        <sz val="12"/>
        <color rgb="FF000000"/>
        <rFont val="Arial"/>
      </rPr>
      <t xml:space="preserve">Tidak Ada
</t>
    </r>
    <r>
      <rPr>
        <b/>
        <sz val="12"/>
        <color rgb="FF000000"/>
        <rFont val="Arial"/>
      </rPr>
      <t xml:space="preserve">Kendala Sistem
</t>
    </r>
    <r>
      <rPr>
        <sz val="12"/>
        <color rgb="FF000000"/>
        <rFont val="Arial"/>
      </rPr>
      <t xml:space="preserve">1. Gangguan layangan SIPBJ sesuai Surat Direktur Pengadaan No. PB0201-Kj/515, 29 Juli 2025, hal: Penyampaian gangguan layanan SIPBJ (1HK)
</t>
    </r>
    <r>
      <rPr>
        <b/>
        <sz val="12"/>
        <color rgb="FF000000"/>
        <rFont val="Arial"/>
      </rPr>
      <t xml:space="preserve">Proses Klarifikasi
</t>
    </r>
    <r>
      <rPr>
        <sz val="12"/>
        <color rgb="FF000000"/>
        <rFont val="Arial"/>
      </rPr>
      <t>1. Klarifikasi personil sampai tanggal 22 Agustus 2025. Surat dikirim tanggal 19 Agustus 2025</t>
    </r>
  </si>
  <si>
    <t>PT. TITIAN CAHAYA CONSULTAN</t>
  </si>
  <si>
    <t>Dsn.Dukuh-barangkal kecamtan balongpanggang Gresik - Gresik (Kab.) - Jawa Timur</t>
  </si>
  <si>
    <t>BAHP Proses penyusunan</t>
  </si>
  <si>
    <t>34</t>
  </si>
  <si>
    <r>
      <t xml:space="preserve">OPLAH:
</t>
    </r>
    <r>
      <rPr>
        <b/>
        <sz val="12"/>
        <color rgb="FF000000"/>
        <rFont val="Arial"/>
      </rPr>
      <t>Konsultan Teknis Balai Swasembada Pangan SNVT PJPA Brantas</t>
    </r>
  </si>
  <si>
    <t>Gunawan Arif Wibowo, S.AP., M.T
Risa Monika, S.IP
Richardo Pratama Uruilal, S.T.
Namiratus Syarifah, S.T.
Moh. Wildan Andhra Kusuma, S.T.</t>
  </si>
  <si>
    <t>Fadlila Rohmadani, S.ST
Dyah Kusumaning Putri, S.E
Sasetyo Gilang Kusumo, SH</t>
  </si>
  <si>
    <r>
      <rPr>
        <b/>
        <sz val="12"/>
        <color rgb="FF4EA72E"/>
        <rFont val="Arial"/>
      </rPr>
      <t xml:space="preserve">PENUNJUKAN LANGSUNG SELESAI. KRONOLOGI PAKET :
</t>
    </r>
    <r>
      <rPr>
        <sz val="12"/>
        <color rgb="FF000000"/>
        <rFont val="Arial"/>
      </rPr>
      <t>1. Paket masuk ke BP2JK Jatim Tanggal 11 Agustus dengan kondisi dokumen persiapan belum lengkap (perbaikan KAK, HPS dan paket belum dibuat di SPSE).
2. Paket sudah terbit SK pokja tanggal 13 Agustus 2025 dan sudah diaktifkan penugasan di LPSE pokja
3. Paket tayang 14 Agustus 2025 pukul 21.00 WIB dan Pembukaan dokumen 19 Agustus 2025 08.00 WIB
4. Evaluasi dan penelitian dilakukan 19 Agustus 2025 dengan hasil Nilai evaluasi tenaga ahli sebesar 18,68 dibawah ambang batas tenaga ahli 40 sehingga dinyatakan tidak lulus ambang batas (terdapat 2 personil yang tidak ditawar yaitu structure engineriing dan quality engineering serta 1 TA menyampaikan surat kesediaan tidak sesuai dengan penugasan TA yang disyaratkan sehingga tidak dapat dilakukan penilaian). Selain itu, 8 TA memiliki pengalaman yang kurang dari persyaratan dikarenakan pengalaman personil tidak tercantum di SIMPAN/ tanggal tercantum melebihi tanggal batas akhir pengiriman penawaran
5. Tayang ulang 20 Agustus 2025 dan pembukaan di hari yang sama pukul 13.00 WIB. Penelitian dilaksanakan pukul 14.00 WIB.
6. Penetapan dan pengumuman Pemenang dilaksanakan tanggal 21 Agustus 2025 dan BAHP telah disampaikan ke PPK</t>
    </r>
  </si>
  <si>
    <r>
      <rPr>
        <b/>
        <sz val="12"/>
        <color rgb="FF000000"/>
        <rFont val="Arial"/>
      </rPr>
      <t xml:space="preserve">Hari Libur Nasional
</t>
    </r>
    <r>
      <rPr>
        <sz val="12"/>
        <color rgb="FF000000"/>
        <rFont val="Arial"/>
      </rPr>
      <t xml:space="preserve">Tidak Ada
</t>
    </r>
    <r>
      <rPr>
        <b/>
        <sz val="12"/>
        <color rgb="FF000000"/>
        <rFont val="Arial"/>
      </rPr>
      <t xml:space="preserve">Kendala Sistem
</t>
    </r>
    <r>
      <rPr>
        <sz val="12"/>
        <color rgb="FF000000"/>
        <rFont val="Arial"/>
      </rPr>
      <t xml:space="preserve">Tidak Ada
</t>
    </r>
    <r>
      <rPr>
        <b/>
        <sz val="12"/>
        <color rgb="FF000000"/>
        <rFont val="Arial"/>
      </rPr>
      <t xml:space="preserve">Proses Klarifikasi
</t>
    </r>
    <r>
      <rPr>
        <sz val="12"/>
        <color rgb="FF000000"/>
        <rFont val="Arial"/>
      </rPr>
      <t>Tidak Ada</t>
    </r>
  </si>
  <si>
    <t>PT Agrinas Jaladri Nusantara (Persero)</t>
  </si>
  <si>
    <t>Jl Hang Tuah No 26 Kebayoran Baru Jakarta Selatan - Jakarta Selatan (Kota) - DKI Jakarta</t>
  </si>
  <si>
    <t>PL OPLAH</t>
  </si>
  <si>
    <t>PENUNJUKAN LANGSUNG</t>
  </si>
  <si>
    <t>35</t>
  </si>
  <si>
    <t>PW. Pelebaran Jalan Menambah Lajur Sadang (Bts. Kab. Lamongan) - Bts. Kota Gresik Tahap II dan Penggantian Jembatan Manyar</t>
  </si>
  <si>
    <t>MYC Baru</t>
  </si>
  <si>
    <t>Gunawan Arif Wibowo, S.AP., M.T
Dhina Tri Hendriani, SE
Elly Sulistyowati, SE
Richardo Pratama Uruilal, ST
Ahnaf Dzaky Rheinanda, SH</t>
  </si>
  <si>
    <t>Diah Putri Rahmawati, S.Tr.T
Khairu Annisa Hariadi, S.T.,M.T
Maya Puspita Maharani S.H, LL.M</t>
  </si>
  <si>
    <r>
      <rPr>
        <b/>
        <sz val="12"/>
        <color rgb="FF4EA72E"/>
        <rFont val="Arial"/>
      </rPr>
      <t xml:space="preserve">SELEKSI SELESAI. KRONOLOGI PAKET :
</t>
    </r>
    <r>
      <rPr>
        <sz val="12"/>
        <color rgb="FF000000"/>
        <rFont val="Arial"/>
      </rPr>
      <t xml:space="preserve">1. Paket dinyatakan lengkap 19 Agustus 2025 dan diterbitkan SK pokja di hari yang sama. Reviu dokumen persiapan 21 Agustus 2025
2. Paket tayang 22 Agustus 2025 dan Kirim Persyaratan Kualifikasi setelah penyampaian data kualifikasi tambahan oleh peserta sampai 8 September 2025
3. Evaluasi dan Pembuktian Kualifikasi sampai12 September 2025 13:00 WIB. Peserta yang memasukan dokumen kualifikasi 10 peserta, 9 peserta lulus evaluasi kualifikasi, 1 peserta gugur karena SBU statusnya dicabut, 8 peserta dilakukan pembuktian dan ditetapkan shortlist 7 peserta.
4. Masa sanggah PQ sd 17 September 2025 pukul 15.50. Upload Dokumen Penawaran sampai 25 September 2025 10:30 WIB
5. Evaluasi Teknis dan Harga (Sampul I dan II) sampai 6 Oktober 2025 15:00 WIB. 
6. Penetapan &amp; Pengumuman Pemenang 6 Oktober 2025 dan Masa sanggah sampai13 Oktober 2025 07:31 WIB. </t>
    </r>
  </si>
  <si>
    <t>PT. ARIA JASA REKSATAMA</t>
  </si>
  <si>
    <t>GRAHA INDAH WISESA JL. GAYUNG KEBONSARI 44B/B-7 - Surabaya (Kota) - Jawa Timur</t>
  </si>
  <si>
    <t>36</t>
  </si>
  <si>
    <t>Supervisi Rehabilitasi Bendung Jatimlerek</t>
  </si>
  <si>
    <t>Feby Lorentika, ST
Gunawan Arif Wibowo, S.AP., M.T
Elly Sulistyowati, SE
Maryam Amin, SE
Risa Monika, S.IP</t>
  </si>
  <si>
    <t>Arie Ardiansyah, SH
Maya Puspita Maharani, S.H.,LL.M
Teddy Marza Kurniawan, S.H</t>
  </si>
  <si>
    <r>
      <rPr>
        <b/>
        <sz val="12"/>
        <color rgb="FF000000"/>
        <rFont val="Arial"/>
      </rPr>
      <t xml:space="preserve">Catatan: Merupakan Seleksi ulang karena terdapat kesalahan isian jenis kontrak oleh PPK dan berdasarkan hasil klarifikasi LPSE tidak dapat diubah sehingga dilakukan tayang ulang (seleksi ulang). Seleksi ulang dilaksanakan 2 hari setelah tayang paket pertama.
</t>
    </r>
    <r>
      <rPr>
        <b/>
        <sz val="12"/>
        <color rgb="FF4EA72E"/>
        <rFont val="Arial"/>
      </rPr>
      <t xml:space="preserve">SELEKSI SELESAI. KRONOLOGI PAKET :
</t>
    </r>
    <r>
      <rPr>
        <sz val="12"/>
        <color rgb="FF000000"/>
        <rFont val="Arial"/>
      </rPr>
      <t>1. Paket dinyatakan lengkap tanggal 22 Agustus 2025. Ditugaskan di LPSE dan SK terbit 22 Agustus 2025
2. Reviu Dok Persiapan 29 Agustus 2025 tetapi belum ditayangkan berdasarkan Surat PPK Irigasi dan Rawa II No.  613/Bbws10.08.02/2025, tanggal 4 September 2025, hal: Penyampaian Perubahan ID Paket RUP
3. Kirim persyaratan kualifikasi sampai 22 September 2025 08:00 WIB dan evaluasi dokumen kualifikasi semula sampai 3 Oktober 2025 14:00 WIB menjadi 29 September 2025 14:00 WIB karena membutuhkan waktu tambahan evaluasi (kirim dokumen kualifikasi tambahan mulai 26 - 29 September 2025).
4. Penetapan Kualifikasi 10 Oktober 2025 dan Masa sanggah prakualifikasi sampai 15 Oktober 2025 16:00 WIB
5. Download Dokumen Pemilihan	sampai 22 Oktober 2025 13:00. Pembukaan dan Evaluasi Penawaran File I: Administrasi dan Teknis sampai 29 Oktober 2025 12:00
6. Penetapan Pemenang 29 Oktober 2025 dan Masa sanggah sampai 3 November 2025 15:35 WIB. Tidak ada sanggah pada paket ini</t>
    </r>
  </si>
  <si>
    <t>37</t>
  </si>
  <si>
    <r>
      <rPr>
        <b/>
        <sz val="12"/>
        <color rgb="FFFF0000"/>
        <rFont val="Arial"/>
      </rPr>
      <t xml:space="preserve">MADRASAH:
</t>
    </r>
    <r>
      <rPr>
        <b/>
        <sz val="12"/>
        <color rgb="FF000000"/>
        <rFont val="Arial"/>
      </rPr>
      <t>Manajemen Konstruksi Rehabilitasi dan Renovasi Madrasah PHTC Provinsi Jawa Timur 7</t>
    </r>
  </si>
  <si>
    <t>M. Akhbar Ansyari, ST. MT (+62 819-1598-8198)</t>
  </si>
  <si>
    <t>Gunawan Arif Wibowo, S.AP., M.T
Feby Lorentika, ST
Dhina Tri Hendriani, SE
Maryam Amin, SE
Elly Sulistyowati, SE</t>
  </si>
  <si>
    <t>Agnesia Margaretha Gunawan, S.IAN
Daffah Ulfi Rahmatillah,SH
Rifqathin Ulya, S.H.,M.H</t>
  </si>
  <si>
    <r>
      <rPr>
        <b/>
        <sz val="12"/>
        <color rgb="FF4EA72E"/>
        <rFont val="Arial"/>
      </rPr>
      <t xml:space="preserve">SELEKSI SELESAI. KRONOLOGI PAKET :
</t>
    </r>
    <r>
      <rPr>
        <sz val="12"/>
        <color rgb="FF000000"/>
        <rFont val="Arial"/>
      </rPr>
      <t xml:space="preserve">1. Paket dinyatakan lengkap tanggal 22 Agustus 2025 dan SK terbit dan ditugaskan di LPSE Pokja 25 Agustus 2025
2. Kirim Persyaratan Kualifikasi sampai 12 September 2025 pukul 14:00 WIB
3. Evaluasi Kualifikasi pertama sampai 19 September 2025 pukul 15:00 WIB dan kirim persyaratan kualifikasi (proses data tambahan sampai 22 September 2025 15:00 WIB). Evaluasi kualifikasi setelah tambahan data dan pembuktian kualifikasi sampai 26 September 2025 15:00 WIB
4. Masa Sanggah Prakualifikasi sampai 1 Oktober 2025 16:00 WIB. Upload dokumen penawaran sampai 10 Oktober 2025 08:00 WIB
5. Evaluasi Penawaran File I: Administrasi dan Teknis dan File II (biaya) sampai 17 Oktober 2025. 
6. Penetapan 17 Oktober 2025. Masa sanggah sampai 22 Oktober 2025 16:00 WIB. </t>
    </r>
  </si>
  <si>
    <t>PT. GUNUNG GIRI ENGINEERING CONSULTANT</t>
  </si>
  <si>
    <t>Graha Manggala, Jalan Kolonel Sugiyono, Sumber Nayu RT 04 RW 06, Joglo, Banjarsari, Surakarta - Surakarta (Kota) - Jawa Tengah</t>
  </si>
  <si>
    <t>38</t>
  </si>
  <si>
    <r>
      <rPr>
        <b/>
        <sz val="12"/>
        <color rgb="FFFF0000"/>
        <rFont val="Arial"/>
      </rPr>
      <t xml:space="preserve">MADRASAH:
</t>
    </r>
    <r>
      <rPr>
        <b/>
        <sz val="12"/>
        <color rgb="FF000000"/>
        <rFont val="Arial"/>
      </rPr>
      <t>Manajemen Konstruksi Rehabilitasi dan Renovasi Madrasah PHTC Provinsi Jawa Timur 8</t>
    </r>
  </si>
  <si>
    <r>
      <rPr>
        <b/>
        <sz val="12"/>
        <color rgb="FF4EA72E"/>
        <rFont val="Arial"/>
      </rPr>
      <t xml:space="preserve">SELEKSI SELESAI. KRONOLOGI PAKET :
</t>
    </r>
    <r>
      <rPr>
        <sz val="12"/>
        <color rgb="FF000000"/>
        <rFont val="Arial"/>
      </rPr>
      <t xml:space="preserve">1. Paket dinyatakan lengkap tanggal 22 Agustus 2025 dan SK terbit dan ditugaskan di LPSE Pokja 25 Agustus 2025
2. Kirim Persyaratan Kualifikasi sampai 12 September 2025 pukul 14:00 WIB
3. Evaluasi Kualifikasi pertama sampai 19 September 2025 pukul 15:00 WIB dan kirim persyaratan kualifikasi (proses data tambahan sampai 22 September 2025 15:00 WIB). Evaluasi kualifikasi setelah tambahan data dan pembuktian kualifikasi sampai 26 September 2025 15:00 WIB
4. Masa Sanggah Prakualifikasi sampai 1 Oktober 2025 16:00 WIB dan Upload dokumen penawaran sampai 10 Oktober 2025 08:00 WIB
5. Evaluasi Penawaran File I: Administrasi dan Teknis dan File II (biaya) sampai 17 Oktober 2025 11:55 WIB. 
6. Penetapan Pemenang 17 Oktober 2025 dan Masa sanggah sampai 22 Oktober 2025 16:00 WIB </t>
    </r>
  </si>
  <si>
    <t>PT Formasi Empat Pola Selaras Konsultan</t>
  </si>
  <si>
    <t>Jl. H. Samali 95 D, Pejaten Barat Pasar Minggu - Jakarta Selatan (Kota) - DKI Jakarta</t>
  </si>
  <si>
    <t>39</t>
  </si>
  <si>
    <r>
      <rPr>
        <b/>
        <sz val="12"/>
        <color rgb="FFFF0000"/>
        <rFont val="Arial"/>
      </rPr>
      <t xml:space="preserve">MADRASAH:
</t>
    </r>
    <r>
      <rPr>
        <b/>
        <sz val="12"/>
        <color rgb="FF000000"/>
        <rFont val="Arial"/>
      </rPr>
      <t>Manajemen Konstruksi Rehabilitasi dan Renovasi Madrasah PHTC Provinsi Jawa Timur 9</t>
    </r>
  </si>
  <si>
    <t>Feby Lorentika, ST
Dhina Tri Hendriani, SE
Elly Sulistyowati, SE
Risa Monika, S.IP
Ardhi Wisnu Nugraha, S.T.</t>
  </si>
  <si>
    <t>Arie Ardiansyah, SH
Sasetyo Gilang Kusumo, SH
Diah Putri Rahmawati, S.Tr.T</t>
  </si>
  <si>
    <r>
      <rPr>
        <b/>
        <sz val="12"/>
        <color rgb="FF4EA72E"/>
        <rFont val="Arial"/>
      </rPr>
      <t xml:space="preserve">SELEKSI SELESAI. KRONOLOGI PAKET :
</t>
    </r>
    <r>
      <rPr>
        <sz val="12"/>
        <color rgb="FF000000"/>
        <rFont val="Arial"/>
      </rPr>
      <t>1. Paket dinyatakan lengkap pada tanggal 29 Agustus 2025. Paket sudah ditugaskan pada LPSE dan SK Pokja terbit pada tanggal 29 Agustus 2025
2. Kirim persyaratan kualifikasi sampai 15 September 2025 pukul 09:00 WIB
3. Evaluasi dan Pembuktian Kualifikasi sampai 1 Oktober 2025 pukul 15:00 WIB (Kirim data tambahan 19-23 September 2025)
4. Pengumuman Kualifikasi 2 Oktober 2025 dan Masa sanggah Prakualifikasi sampai 7 Oktober 2025 15:00 WIB
5. Upload dokumen penawaran sampai 16 Oktober 2025 15:30 WIB. Pembukaan dan Evaluasi Penawaran File I: Administrasi dan Teknis sampai 20 Oktober 2025 10:00 WIB
6. Penetapan Pemenang 22 Oktober 2025. Masa sanggah sampai 27 Oktober 2025 15:59 WIB
7. Klarifikasi dan Negosiasi Teknis dan Biaya sampai 28 Oktober 2025 16:00 WIB</t>
    </r>
  </si>
  <si>
    <t>40</t>
  </si>
  <si>
    <r>
      <rPr>
        <b/>
        <sz val="12"/>
        <color rgb="FFFF0000"/>
        <rFont val="Arial"/>
      </rPr>
      <t xml:space="preserve">MADRASAH:
</t>
    </r>
    <r>
      <rPr>
        <b/>
        <sz val="12"/>
        <color rgb="FF000000"/>
        <rFont val="Arial"/>
      </rPr>
      <t>Manajemen Konstruksi Rehabilitasi dan Renovasi Madrasah PHTC Provinsi Jawa Timur 10</t>
    </r>
  </si>
  <si>
    <t>Feby Lorentika, ST
Dhina Tri Hendriani, SE
Elly Sulistyowati, SE
Risa Monika, S.IP
Dahniar Achlis, S.Ars.</t>
  </si>
  <si>
    <t>PT. SARANABUDI PRAKARSARIPTA</t>
  </si>
  <si>
    <t>Jl. Kendeng Barat IV No. 12 Semarang - Semarang (Kota) - Jawa Tengah</t>
  </si>
  <si>
    <t>41</t>
  </si>
  <si>
    <r>
      <rPr>
        <b/>
        <sz val="12"/>
        <color rgb="FFFF0000"/>
        <rFont val="Arial"/>
      </rPr>
      <t xml:space="preserve">MADRASAH:
</t>
    </r>
    <r>
      <rPr>
        <b/>
        <sz val="12"/>
        <color rgb="FF000000"/>
        <rFont val="Arial"/>
      </rPr>
      <t>Manajemen Konstruksi Rehabilitasi dan Renovasi Madrasah PHTC Provinsi Jawa Timur 11</t>
    </r>
  </si>
  <si>
    <t>Gunawan Arif Wibowo, S.AP., M.T
Maryam Amin, SE
Risa Monika, S.IP
Dhina Tri Hendriani, SE
Farah Rosa Bela Asnawi, S.Ars</t>
  </si>
  <si>
    <t>Fadlila Rohmadani, S.ST
Khairu Annisa Hariadi, S.T.,M.T
Agnesia Margaretha Gunawan, S.IAN</t>
  </si>
  <si>
    <r>
      <rPr>
        <b/>
        <sz val="12"/>
        <color rgb="FF4EA72E"/>
        <rFont val="Arial"/>
      </rPr>
      <t xml:space="preserve">SELEKSI SELESAI. KRONOLOGI PAKET :
</t>
    </r>
    <r>
      <rPr>
        <sz val="12"/>
        <color rgb="FF000000"/>
        <rFont val="Arial"/>
      </rPr>
      <t>1. Paket dinyatakan lengkap pada tanggal 29 Agustus 2025. Ditugaskan di LPSE dan SK Pokja terbit tanggal 29 Agustus 2025
2. Kirim persyaratan kualifikasi sampai 15 September 2025 pukul 09:00 WIB
3. Evaluasi dan Pembuktian Kualifikasi sampai 1 Oktober 2025 pukul 15:00 WIB (Kirim data tambahan 21 - 24 September 2025)
4. Pengumuman Kualifikasi 1 Oktober 2025 dan Masa sanggah Prakualifikasi sampai 6 Oktober 2025 16:00 WIB
5. Upload dokumen penawaran sampai  13 Oktober 2025 13:00
6. Penetapan Pemenang: 17 Oktober 2025. Masa sanggah sampai 22 Oktober 2025 16:00 WIB
7. Penyampaian BAHP: 24 Oktober 2025</t>
    </r>
  </si>
  <si>
    <t>KSO PT. LPPSLH KONSULTAN - PT. SARANABUDI 
PRAKARSARIPTA - CV. CIPTA KARYA WIGUNA</t>
  </si>
  <si>
    <t>PT LPPSLH Konsultan:Fahmi Ibrahim Syarifuddin
PT Saranabudi Prakarsaripta: Pratomo Rifqianto, ST
CV Cipta Karya Wiguna: Moch. Amrodji</t>
  </si>
  <si>
    <t>PT LPPSLH Konsultan: JL NGESREP BARAT III NO. 30 G NGESREP, SEMARANG - Semarang (Kota) - Jawa Tengah
PT Saranabudi Prakarsaripta: Jl. Kendeng Barat IV No. 12 (Lt. 1) Semarang
CV Cipta Karya Wiguna: Kedinding Lor Palem II – 44</t>
  </si>
  <si>
    <t>PT LPPSLH Konsultan: 02.298.759.8-517.000
PT Saranabudi Prakarsaripta: 01.139.515.9-517.000
CV Cipta Karya Wiguna: 21.110.154.8-619.000</t>
  </si>
  <si>
    <t>PT LPPSLH Konsultan: lppslh.konsultan.pt@gmail.com
PT Saranabudi Prakarsaripta: saranabudiprakarsa@yahoo.com
CV Cipta Karya Wiguna: ciptakaryawiguna@yahoo.co.id</t>
  </si>
  <si>
    <t>PT LPPSLH Konsultan: (+6224) 7472581
PT Saranabudi Prakarsaripta: (024) 8501844, 8507320
CV Cipta Karya Wiguna:031 – 3773305 / 3762415</t>
  </si>
  <si>
    <t>42</t>
  </si>
  <si>
    <r>
      <rPr>
        <b/>
        <sz val="12"/>
        <color rgb="FFFF0000"/>
        <rFont val="Arial"/>
      </rPr>
      <t xml:space="preserve">MADRASAH:
</t>
    </r>
    <r>
      <rPr>
        <b/>
        <sz val="12"/>
        <color rgb="FF000000"/>
        <rFont val="Arial"/>
      </rPr>
      <t>Manajemen Konstruksi Rehabilitasi dan Renovasi Madrasah PHTC Provinsi Jawa Timur 12</t>
    </r>
  </si>
  <si>
    <t>Gunawan Arif Wibowo, S.AP., M.T
Maryam Amin, SE
Risa Monika, S.IP
Elly Sulistyowati, SE
Lalu Yodit Dwi Anggara, S.Ars.</t>
  </si>
  <si>
    <r>
      <rPr>
        <b/>
        <sz val="12"/>
        <color rgb="FF4EA72E"/>
        <rFont val="Arial"/>
      </rPr>
      <t xml:space="preserve">SELEKSI SELESAI. KRONOLOGI PAKET :
</t>
    </r>
    <r>
      <rPr>
        <sz val="12"/>
        <color rgb="FF000000"/>
        <rFont val="Arial"/>
      </rPr>
      <t>1. Paket dinyatakan lengkap pada 29 Agustus 2025 dan ditugaskan di LPSE serta SK Pokja terbit 29 Agustus 2025
2. Kirim persyaratan kualifikasi sampai 15 September 2025 pukul 09:00 WIB
3. Evaluasi dan Pembuktian Kualifikasi sampai 1 Oktober 2025 pukul 15:30 WIB (Kirim data tambahan 26-29 September 2025)
4. Penetapan Kualifikasi 3 Oktober 2025 dan Masa sanggah Prakualifikasi sampai 8 Oktober 2025 16:00 WIB.
5. Kirim penawaran sampai 16 Oktober 2025. Pembukaan dan Evaluasi Penawaran File I: Administrasi dan Teknis sampai 22 Oktober 2025 16:00 WIB
6. Penetapan Pemenang tanggal 22 Oktober 2025 dan Masa sanggah sampai 27 Oktober 2025 16:00.
7. Klarifikasi dan Negosiasi Teknis dan Biaya sampai 29 Oktober 2025 16:00 WIB sedangkan BAHP disampaikan pada 29 Oktober 2025</t>
    </r>
  </si>
  <si>
    <t>AGRINAS PANGAN NUSANTARA (PERSERO) Cabang Surabaya</t>
  </si>
  <si>
    <t>Taqdir Ali Syabana, ST (Manager Cabang)</t>
  </si>
  <si>
    <t>JL. DI PANJAITAN, KAV-8, CAWANG - Jakarta Timur (Kota) - DKI Jakarta
Kantor Cabang: Jl. Delta Raya Utara No. 61 Ngingas, Kec. Waru, Kab. Sidoarjo, Jawa Timur</t>
  </si>
  <si>
    <t>tenderkonsultan@agrinaspangan.id</t>
  </si>
  <si>
    <t>031-8539363</t>
  </si>
  <si>
    <t>43</t>
  </si>
  <si>
    <t>DED Peningkatan Kapasitas Embung Jaringan Drainase, dan Sistem Pengendalian Genangan di Area Terdampak Lumpur Sidoarjo</t>
  </si>
  <si>
    <t>William S. (0852-2819-7189)</t>
  </si>
  <si>
    <t>Feby Lorentika, ST
Elly Sulistyowati, SE
Dhina Tri Hendriani, SE
Risa Monika, S.IP
Moh. Wildan Andhra Kusuma, S.T.</t>
  </si>
  <si>
    <t>Teddy Marza Kurniawan, S.H
Sasetyo Gilang Kusumo, SH
Arie Ardiansyah, SH</t>
  </si>
  <si>
    <r>
      <rPr>
        <b/>
        <sz val="12"/>
        <color rgb="FF3C7D22"/>
        <rFont val="Arial"/>
      </rPr>
      <t xml:space="preserve">PAKET REPEAT ORDER SELESAI. KRONOLOGI PAKET:  </t>
    </r>
    <r>
      <rPr>
        <b/>
        <sz val="12"/>
        <color rgb="FFBD5015"/>
        <rFont val="Arial"/>
      </rPr>
      <t xml:space="preserve">Seleksi Pertama gagal karena : Peserta tidak lulus evaluasi.
</t>
    </r>
    <r>
      <rPr>
        <b/>
        <sz val="12"/>
        <color rgb="FF000000"/>
        <rFont val="Arial"/>
      </rPr>
      <t xml:space="preserve">RO awal:
</t>
    </r>
    <r>
      <rPr>
        <sz val="12"/>
        <color rgb="FF000000"/>
        <rFont val="Arial"/>
      </rPr>
      <t xml:space="preserve">1. SK Pokja terbit tanggal 29 Agustus 2025 tetapi Paket dinyatakan lengkap dan ditugaskan pada LPSE 2 September 2025
2. Reviu dok. persiapan 9 September 2025. Pokja menunggu perbaikan dokumen (Rancangan kontrak dan KAK)  hasil reviu dokumen persiapan. Tayang 16 September 2025
3. Evaluasi penawaran sampai 25 September 2025 13:00 dengan hasil peserta tidak lulus evaluasi sehingga dilakukan RO Ulang.
</t>
    </r>
    <r>
      <rPr>
        <b/>
        <sz val="12"/>
        <color rgb="FF000000"/>
        <rFont val="Arial"/>
      </rPr>
      <t xml:space="preserve">Tahap RO Ulang:
</t>
    </r>
    <r>
      <rPr>
        <sz val="12"/>
        <color rgb="FF000000"/>
        <rFont val="Arial"/>
      </rPr>
      <t>1. Upload DOk. Penawaran sampai 1 Oktober 2025 11:00 WIB. 
2. Evaluasi Penawaran sampai 7 Oktober 2025 13:00 WIB serta Klarifikasi dan negosiasi 8 Oktober 2025. 
3. BAHP disampaikan ke PPK 9 Oktober 2025</t>
    </r>
  </si>
  <si>
    <t xml:space="preserve">	PT. TRIDECONST</t>
  </si>
  <si>
    <t>Bandung</t>
  </si>
  <si>
    <t>44</t>
  </si>
  <si>
    <t>DED Peningkatan Kapasitas Tampung Waduk Lumpur</t>
  </si>
  <si>
    <t>Gunawan Arif Wibowo, S.AP., M.T
Maryam Amin, SE
Elly Sulistyowati, SE
Dhina Tri Hendriani, SE
Namiratus Syarifah, S.T.</t>
  </si>
  <si>
    <t>Arie Ardiansyah, SH
Teddy Marza Kurniawan, S.H
Sasetyo Gilang Kusumo, SH</t>
  </si>
  <si>
    <r>
      <rPr>
        <b/>
        <sz val="12"/>
        <color rgb="FF3C7D22"/>
        <rFont val="Arial"/>
      </rPr>
      <t xml:space="preserve">PAKET REPEAT ORDER SELESAI. KRONOLOGI PAKET:
</t>
    </r>
    <r>
      <rPr>
        <sz val="12"/>
        <color rgb="FF000000"/>
        <rFont val="Arial"/>
      </rPr>
      <t>1. SK Pokja terbit tanggal 29 Agustus 2025 tetapi Paket dinyatakan lengkap dan tersedia pada LPSE 2 September 2025
2. Paket sudah ditugaskan pada LPSE pokja pada tanggal 2 September 2025
3. Reviu dok. persiapan pertama 9 September 2025. Paket acuan yang diusulkan tidak memiliki keterkaitan lingkup dan komposisi tenaga ahli berbeda, Pokja dan Tim Pelaksana merekomendasikan perubahan paket acuan RO.
4. Reviu dok. persiapan kedua 19 September 2025, paket diumumkan 20 September 2025, upload dokumen penawaran semula sampai 1 Oktober 2025 15:00 WIB menjadi 6 Oktober 2025 10:05 WIB karena membutuhkan waktu tambahan upload penawaran
5. Klarifikasi negosiasi 7 Oktober 2025 dan BAHP disampaikan ke PPK 8 Oktober 2025</t>
    </r>
  </si>
  <si>
    <t>PT GLOBETEK GLORY KONSULTAN</t>
  </si>
  <si>
    <t xml:space="preserve">	JL TNI 8 NO 12 A - Manado (Kota) - Sulawesi Utara</t>
  </si>
  <si>
    <t>45</t>
  </si>
  <si>
    <r>
      <rPr>
        <b/>
        <sz val="12"/>
        <color rgb="FFFF0000"/>
        <rFont val="Arial"/>
      </rPr>
      <t xml:space="preserve">MADRASAH:
</t>
    </r>
    <r>
      <rPr>
        <b/>
        <sz val="12"/>
        <color rgb="FF000000"/>
        <rFont val="Arial"/>
      </rPr>
      <t>Manajemen Konstruksi Rehabilitasi dan Renovasi Madrasah PHTC Provinsi Jawa Timur 4</t>
    </r>
  </si>
  <si>
    <t>Feby Lorentika, ST
Elly Sulistyowati, SE
Risa Monika, S.IP
Dhina Tri Hendriani, SE
Maryam Amin, SE</t>
  </si>
  <si>
    <t>Khairu Annisa Hariadi, S.T.,M.T
Maya Puspita Maharani, S.H.,LL.M
Agnesia Margaretha Gunawan, S.IAN</t>
  </si>
  <si>
    <r>
      <rPr>
        <b/>
        <sz val="12"/>
        <color rgb="FF3C7D22"/>
        <rFont val="Arial"/>
      </rPr>
      <t xml:space="preserve">PAKET SELEKSI SELESAI. KRONOLOGI PAKET :
</t>
    </r>
    <r>
      <rPr>
        <sz val="12"/>
        <color rgb="FF000000"/>
        <rFont val="Arial"/>
      </rPr>
      <t>1. Paket dinyatakan lengkap pada tanggal 3 September 2025 dan SK Pokja terbit tanggal 3 September 2025
2. Reviu Dokumen Persiapan 4 September 2025
3. Kirim persyaratan kualifikasi pertama sampai 19 September 2025 08:00 WIB serta Evaluasi dan Pembuktian kualifikasi semula sampai 1 Oktober 2025 pukul 15:00 WIB menjadi 8 Oktober 2025 15:00 WIB karena pokja membutuhkan waktu tambahan untuk evaluasi kualifikasi (Kirim data tambahan 25 - 29 September 2025). Penetapan Prakualifikasi 9 Oktober 2025
4. Pembukaan dan Evaluasi Penawaran File I sampai 28 Oktober 2025 11:00 dan Pembukaan dan Evaluasi Penawaran File II sampai 29 Oktober 2025 15:00
5. Penetapan pemenang 29 Oktober 2025 dan Masa sanggah sampai 3 November 2025 16:00 WIB</t>
    </r>
  </si>
  <si>
    <t>46</t>
  </si>
  <si>
    <r>
      <rPr>
        <b/>
        <sz val="12"/>
        <color rgb="FFFF0000"/>
        <rFont val="Arial"/>
      </rPr>
      <t xml:space="preserve">MADRASAH:
</t>
    </r>
    <r>
      <rPr>
        <b/>
        <sz val="12"/>
        <color rgb="FF000000"/>
        <rFont val="Arial"/>
      </rPr>
      <t>Manajemen Konstruksi Rehabilitasi dan Renovasi Madrasah PHTC Provinsi Jawa Timur 5</t>
    </r>
  </si>
  <si>
    <t>Gunawan Arif Wibowo, S.AP., M.T
Elly Sulistyowati, SE
Risa Monika, S.IP
Dhina Tri Hendriani, SE
Maryam Amin, SE</t>
  </si>
  <si>
    <r>
      <rPr>
        <b/>
        <sz val="12"/>
        <color rgb="FF3C7D22"/>
        <rFont val="Arial"/>
      </rPr>
      <t xml:space="preserve">PAKET SELEKSI SELESAI. KRONOLOGI PAKET :
</t>
    </r>
    <r>
      <rPr>
        <sz val="12"/>
        <color rgb="FF000000"/>
        <rFont val="Arial"/>
      </rPr>
      <t>1. Paket dinyatakan lengkap pada tanggal 3 September 2025 dan SK Pokja terbit tanggal 3 September 2025
2. Reviu Dokumen Persiapan 4 September 2025
3. Kirim persyaratan kualifikasi pertama sampai 19 September 2025 08:00 WIB serta Evaluasi dan Pembuktian kualifikasi semula sampai 1 Oktober 2025 pukul 15:00 WIB menjadi 8 Oktober 2025 15:00 WIB karena pokja membutuhkan waktu tambahan untuk evaluasi kualifikasi (Kirim data tambahan 25 - 29 September 2025).
4. Penetapan Kualifikasi 9 Oktober 2025. 
5. Pembukaan dan Evaluasi Penawaran File I sampai 28 Oktober 2025 11:00. Pembukaan dan Evaluasi Penawaran File II sampai 29 Oktober 2025 15:00
6. Penetapan pemenang 29 Oktober 2025 dan Masa sanggah sampai 3 November 2025 16:00 WIB</t>
    </r>
  </si>
  <si>
    <t>SURYA CIPTA ENGINEERING, PT</t>
  </si>
  <si>
    <t>Jalan Harapan I No. 46 LK II RT. 005 Kel. Kota Sepang Kec. Labuhan Ratu Kota Bandar Lampung - Bandar Lampung (Kota) - Lampung</t>
  </si>
  <si>
    <t>47</t>
  </si>
  <si>
    <r>
      <rPr>
        <b/>
        <sz val="12"/>
        <color rgb="FFFF0000"/>
        <rFont val="Arial"/>
      </rPr>
      <t xml:space="preserve">MADRASAH:
</t>
    </r>
    <r>
      <rPr>
        <b/>
        <sz val="12"/>
        <color rgb="FF000000"/>
        <rFont val="Arial"/>
      </rPr>
      <t>Manajemen Konstruksi Rehabilitasi dan Renovasi Madrasah PHTC Provinsi Jawa Timur 6</t>
    </r>
  </si>
  <si>
    <t>Feby Lorentika, ST
Maryam Amin, SE
Dhina Tri Hendriani, SE
Risa Monika, S.IP
Elly Sulistyowati, SE</t>
  </si>
  <si>
    <t>Dyah Kusumaning Putri, S.E
Rani Fajar Nestiti, S.T
Agnesia Margaretha Gunawan, S.IAN</t>
  </si>
  <si>
    <r>
      <rPr>
        <b/>
        <sz val="12"/>
        <color rgb="FF3C7D22"/>
        <rFont val="Arial"/>
      </rPr>
      <t xml:space="preserve">PAKET SELESAI. KRONOLOGI PAKET :
</t>
    </r>
    <r>
      <rPr>
        <sz val="12"/>
        <color rgb="FF000000"/>
        <rFont val="Arial"/>
      </rPr>
      <t xml:space="preserve">1. Paket dinyatakan lengkap pada tanggal 3 September 2025. SK Pokja terbit tanggal 3 September 2025. Reviu Dokumen Persiapan 4 September 2025
2. Kirim Persyaratan Kualifikasi sampai 15 September 2025 pukul 09:00 WIB
3. Evaluasi Kualifikasi pertama sampai 19 September 2025 pukul 15:00 WIB dan kirim persyaratan kualifikasi (proses data tambahan sampai 22 September 2025 15:00 WIB). Evaluasi kualifikasi setelah tambahan data dan pembuktian kualifikasi sampai 26 September 2025 15:00 WIB
4. Pengumuman Kualifikasi 1 Oktober 2025 dan Masa sanggah Prakualifikasi sampai 6 Oktober 2025 16:00 WIB
5. Rencana upload dokumen penawaran sampai 13 Oktober 2025 15:00 WIB
6. Upload dokumen penawaran sampai 13 Oktober 2025 15:00 WIB. Pembukaan dan Evaluasi Penawaran File I: Administrasi dan Teknis Sampai 17 Oktober 2025 09:00
7. Penetapan Pemenang 17 Oktober 2025. Masa sanggah sampai 22 Oktober 2025 16:00 WIB. </t>
    </r>
  </si>
  <si>
    <t>PT. ANTARIKSA GLOBALINDO</t>
  </si>
  <si>
    <t>JL. BORONG RAYA KOMPLEKS GRAHA JANNA LAND I BLOK A2 NO. 06 MAKASSAR - Makassar (Kota) - Sulawesi Selatan</t>
  </si>
  <si>
    <t>48</t>
  </si>
  <si>
    <t>PW. Preservasi Jalan dan Jembatan Lingkar Bypass Krian Timur - Dr. WS Husodo</t>
  </si>
  <si>
    <t>Feby Lorentika, ST
Dhina Tri Hendriani, SE
Maryam Amin, SE
Elly Sulistyowati, SE
Risa Monika, S.IP</t>
  </si>
  <si>
    <t>Arie Ardiansyah, SH
Teddy Marza Kurniawan, S.H
Agnesia Margaretha Gunawan, S.IAN</t>
  </si>
  <si>
    <r>
      <rPr>
        <b/>
        <sz val="12"/>
        <color rgb="FF4EA72E"/>
        <rFont val="Arial"/>
      </rPr>
      <t xml:space="preserve">SELEKSI SELESAI. KRONOLOGI PAKET:
</t>
    </r>
    <r>
      <rPr>
        <sz val="12"/>
        <color rgb="FF000000"/>
        <rFont val="Arial"/>
      </rPr>
      <t>1. Paket Sudah Aktif di LPSE Pokja Tanggal 11 September 2025 dan tayang 22 September 2025 
2. Kirim Persyaratan Kualifikasi 2 Oktober 2025 10:00 WIB dan Evaluasi Dokumen Kualifikasi sampai 17 Oktober 2025 14:00 WIB
3. Pembuktian Kualifikasi sampai 17 Oktober 2025 14:00. Penetapan Hasil Kualifikasi 17 Oktober 2025 serta Masa Sanggah Prakualifikasi sampai 22 Oktober 2025 16:00 WIB
4. Download Dokumen Pemilihan sampai 30 Oktober 2025 12:00 dan Pembukaan dan Evaluasi Penawaran File I: Administrasi dan Teknis sampai 6 November 2025 12:00 WIB
5. Penetapan Pemenang 6 November 2025 dan Masa Sanggah Sampai 11 November 2025
6. Klarifikasi dan Negosiasi Teknis dan Biaya 12 November 2025</t>
    </r>
  </si>
  <si>
    <r>
      <rPr>
        <b/>
        <sz val="12"/>
        <color rgb="FF000000"/>
        <rFont val="Arial"/>
      </rPr>
      <t xml:space="preserve">Hari Libur Nasional: </t>
    </r>
    <r>
      <rPr>
        <sz val="12"/>
        <color rgb="FF000000"/>
        <rFont val="Arial"/>
      </rPr>
      <t xml:space="preserve">Tidak Ada
</t>
    </r>
    <r>
      <rPr>
        <b/>
        <sz val="12"/>
        <color rgb="FF000000"/>
        <rFont val="Arial"/>
      </rPr>
      <t xml:space="preserve">Kendala Sistem: </t>
    </r>
    <r>
      <rPr>
        <sz val="12"/>
        <color rgb="FF000000"/>
        <rFont val="Arial"/>
      </rPr>
      <t xml:space="preserve">Tidak Ada
</t>
    </r>
    <r>
      <rPr>
        <b/>
        <sz val="12"/>
        <color rgb="FF000000"/>
        <rFont val="Arial"/>
      </rPr>
      <t xml:space="preserve">Proses Klarifikasi: </t>
    </r>
    <r>
      <rPr>
        <sz val="12"/>
        <color rgb="FF000000"/>
        <rFont val="Arial"/>
      </rPr>
      <t>Tidak Ada</t>
    </r>
  </si>
  <si>
    <t>PT. ATHARRAZKA TATA JAYA</t>
  </si>
  <si>
    <t>JL.Cluster Alamanda W13 No.08 RT.003RW023 Karang Satria Tambun Utara Bekasi - Bekasi (Kota) - Jawa Barat</t>
  </si>
  <si>
    <t>49</t>
  </si>
  <si>
    <t>PW. Preservasi Jalan dan Jembatan Mantingan - Ngawi</t>
  </si>
  <si>
    <t>Gunawan Arif Wibowo, S.AP., M.T
Maryam Amin, SE
Risa Monika, S.IP
Elly Sulistyowati, SE
Dhina Tri Hendriani, SE</t>
  </si>
  <si>
    <t>Khairu Annisa Hariadi, S.T.,M.T
Diah Putri Rahmawati, S.Tr.T
Daffah Ulfi Rahmatillah,SH</t>
  </si>
  <si>
    <r>
      <rPr>
        <b/>
        <sz val="12"/>
        <color rgb="FF3C7D22"/>
        <rFont val="Arial"/>
      </rPr>
      <t xml:space="preserve">SELEKSI SELESAI. KRONOLOGI PAKET:
</t>
    </r>
    <r>
      <rPr>
        <sz val="12"/>
        <color rgb="FF000000"/>
        <rFont val="Arial"/>
      </rPr>
      <t xml:space="preserve">1. Paket Sudah Aktif di LPSE Pokja Tanggal 11 September 2025 dan tayang 22 September 2025 
2. Kirim Persyaratan Kualifikasi sampai 2 Oktober 2025 13:30 WIB dan Evaluasi Dokumen Kualifikasi sampai 17 Oktober 2025 14:00 WIB.
3. Evaluasi Dokumen Kualifikasi sampai 17 Oktober 2025 14:00 WIB. Penetapan Kualifikasi 20 Oktober 2025. Masa Sanggah Prakualifikasi sampai 27 Oktober 2025 16:00 WIB.
4. Download/ Upload Dokumen Pemilihan sampai 3 November 2025 12:00 WIB
5. Pembukaan dan Evaluasi Penawaran File I: Administrasi dan Teknis sampai 6 November 2025 12:00 WIB
6. Masa Sanggah Sampai 12 November 2025 dan Klarifikasi dan Negosiasi Teknis dan Biaya 13 November 2025 dengan hasil pemenang seleksi mundur karena personil yang ditawarkan sama dengan paket PW. Preservasi Jalan dan Jembatan Paiton - Buduan - Panarukan - Situbondo yang sudah penetapan dan klarifikasi negosiasi terlebih dahulu. </t>
    </r>
    <r>
      <rPr>
        <b/>
        <sz val="12"/>
        <color rgb="FF000000"/>
        <rFont val="Arial"/>
      </rPr>
      <t xml:space="preserve">Klarifikasi dan negosiasi dilanjutkan ke pemenang cadangan I dan pemenang cadangan I yang berkontrak.
</t>
    </r>
  </si>
  <si>
    <t>PT.MOJOPAHIT AGUNG KONSULTAN</t>
  </si>
  <si>
    <t>Jl. Pucang Sewu 10 - Surabaya (Kota) - Jawa Timur</t>
  </si>
  <si>
    <t>Pemenang cadangan 1 karena pemenang sudah tidak ada personil</t>
  </si>
  <si>
    <t>50</t>
  </si>
  <si>
    <t>PW. Preservasi Jalan dan Jembatan Paiton - Buduan - Panarukan - Situbondo</t>
  </si>
  <si>
    <t>Feby Lorentika, ST
Dhina Tri Hendriani, SE
Risa Monika, S.IP
Maryam Amin, SE
Elly Sulistyowati, SE</t>
  </si>
  <si>
    <t>Dyah Kusumaning Putri, S.E
Khairu Annisa Hariadi, S.T.,M.T
Diah Putri Rahmawati, S.Tr.T</t>
  </si>
  <si>
    <r>
      <rPr>
        <b/>
        <sz val="12"/>
        <color rgb="FF3C7D22"/>
        <rFont val="Arial"/>
      </rPr>
      <t xml:space="preserve">SELEKSI SELESAI. KRONOLOGI PAKET:
</t>
    </r>
    <r>
      <rPr>
        <sz val="12"/>
        <color rgb="FF000000"/>
        <rFont val="Arial"/>
      </rPr>
      <t>1. Paket Sudah Aktif di LPSE Pokja Tanggal 11 September 2025 dan tayang 19 September 2025 15:00 WIB
2. Kirim Persyaratan Kualifikasi 29 September 2025 15:00 WIB dan Evaluasi Dokumen Kualifikasi sampai 17 Oktober 2025 14:00. Evaluasi Dokumen Kualifikasi sampai 17 Oktober 2025 14:00 WIB
3. Penetapak Kualifikasi 17 Oktober 2025. Masa Sanggah Prakualifikasi sampai 23 Oktober 2025 09:00 WIB
4. Download Dokumen Pemilihan sampai 30 Oktober 2025 12:00 WIB,  Pembukaan dan Evaluasi Penawaran File I (Admintek) serta File II (Biaya) sampai 3 November 2025
5. Penetapan Pemenang 3 November 2025 15:00. Masa sanggah sampai 10 November 2025, tidak ada sanggah pada paket ini.
6. Klarifikasi dan Negosiasi 13 November 2025</t>
    </r>
  </si>
  <si>
    <t>PT. GARIS PUTIH SEJAJAR</t>
  </si>
  <si>
    <t>Taman Kopo Indah I blok O no. 74, Bandung - Bandung (Kab.) - Jawa Barat</t>
  </si>
  <si>
    <t>51</t>
  </si>
  <si>
    <t>PW. Preservasi Jalan dan Jembatan Surabaya - Sidoarjo - Gempol - Bangil - Pasuruan</t>
  </si>
  <si>
    <t>Fauzianggi Rahmi Fitri, S.E., M.T.</t>
  </si>
  <si>
    <t>Gunawan Arif Wibowo, S.AP., M.T
Elly Sulistyowati, SE
Dhina Tri Hendriani, SE
Maryam Amin, SE
Risa Monika, S.IP</t>
  </si>
  <si>
    <t>Wan Achmad Reza Rinatha, ST, MT
Agnesia Margaretha Gunawan, S.IAN
Teddy Marza Kurniawan, S.H</t>
  </si>
  <si>
    <r>
      <rPr>
        <b/>
        <sz val="12"/>
        <color rgb="FF4EA72E"/>
        <rFont val="Arial"/>
      </rPr>
      <t xml:space="preserve">SELEKSI SELESAI. KRONOLOGI PAKET:
</t>
    </r>
    <r>
      <rPr>
        <sz val="12"/>
        <color rgb="FF000000"/>
        <rFont val="Arial"/>
      </rPr>
      <t>1. Paket Sudah Aktif di LPSE Pokja Tanggal 11 September 2025 dan tayang 22 September 2025
2. Kirim Persyaratan Kualifikasi sampai 2 Oktober 2025 16:35 WIB dan Evaluasi Dokumen Kualifikasi sampai 17 Oktober 2025 15:00 WIB. 
3. Penlitian kualiafikasi 28 Oktober 2025. Penetapan Kualifikasi 29 Oktober 2025 dan Masa Sanggah Kualifikasi sampai 3 November 2025 15:56
4. Upload Dokumen Penawaran Sampai 10 November 2025 07:35 WIB. 
5. Pembukaan Penawaran 10 November 2025 dan Evaluasi File I dan II sampai 14 November 2025
6. Penelitian 2 Tanggal 14 November 2025 hingga pukul 17:00
7. Rencana Penetapan Pemenang Tanggal 17 November 2025
8. Penetapan pemenang 17 November 2025 16:35 dan Klarifikasi Negosiasi 27 November 2025</t>
    </r>
  </si>
  <si>
    <t>PT. LARAS SEMBADA</t>
  </si>
  <si>
    <t>Gedung Perkantoran EightyEight@Kasablanka Office Tower Lt. 10,Unit E, Jl. Casablanca Kav. 88 - Jakarta Selatan (Kota) - DKI Jakarta</t>
  </si>
  <si>
    <t>52</t>
  </si>
  <si>
    <t>PW. Preservasi Jalan dan Jembatan Pakah - Temangkar - Widang - Bts. Kota Lamongan - Gresik - Tuban</t>
  </si>
  <si>
    <t>Feby Lorentika, ST
Risa Monika, S.IP
Elly Sulistyowati, SE
Dhina Tri Hendriani, SE
Maryam Amin, SE</t>
  </si>
  <si>
    <t>Sasetyo Gilang Kusumo, SH
Wan Achmad Reza Rinatha, ST, MT
Daffah Ulfi Rahmatillah,SH</t>
  </si>
  <si>
    <r>
      <rPr>
        <b/>
        <sz val="12"/>
        <color rgb="FF3C7D22"/>
        <rFont val="Arial"/>
      </rPr>
      <t xml:space="preserve">SELEKSI SELESAI. KRONOLOGI PAKET:
</t>
    </r>
    <r>
      <rPr>
        <sz val="12"/>
        <color rgb="FF000000"/>
        <rFont val="Arial"/>
      </rPr>
      <t xml:space="preserve">1. Paket Sudah Aktif di LPSE Pokja Tanggal 11 September 2025 dan tayang 22 September 2025
2. Kirim Persyaratan Kualifikasi 29 September 2025 15:00 WIB dan Evaluasi Dokumen Kualifikasi sampai 17 Oktober 2025 14:00. Evaluasi Dokumen Kualifikasi dan Pembuktian Kualifikasi sampai17 Oktober 2025 14:00. Penetapan Kualifikasi 17 Oktober 2025
3. Masa Sanggah Prakualifikasi sampai 22 Oktober 2025 16:00 WIB
4. Pembukaan dan Evaluasi Penawaran File I: Administrasi dan Teknis sampai 6 November 2025 12:00 WIB
5. Masa Sanggah sampai 11 November 2025, tidak ada sanggah pada paket ini serta Klarifikasi dan Negosiasi Teknis dan Biaya	12 November 2025 </t>
    </r>
  </si>
  <si>
    <r>
      <rPr>
        <b/>
        <sz val="12"/>
        <color rgb="FF000000"/>
        <rFont val="Arial"/>
      </rPr>
      <t xml:space="preserve">Hari Libur Nasional
</t>
    </r>
    <r>
      <rPr>
        <sz val="12"/>
        <color rgb="FF000000"/>
        <rFont val="Arial"/>
      </rPr>
      <t xml:space="preserve">Tidak Ada
</t>
    </r>
    <r>
      <rPr>
        <b/>
        <sz val="12"/>
        <color rgb="FF000000"/>
        <rFont val="Arial"/>
      </rPr>
      <t xml:space="preserve">Kendala Sistem
</t>
    </r>
    <r>
      <rPr>
        <sz val="12"/>
        <color rgb="FF000000"/>
        <rFont val="Arial"/>
      </rPr>
      <t xml:space="preserve">Tidak Ada
</t>
    </r>
    <r>
      <rPr>
        <b/>
        <sz val="12"/>
        <color rgb="FF000000"/>
        <rFont val="Arial"/>
      </rPr>
      <t xml:space="preserve">Proses Klarifikasi
</t>
    </r>
    <r>
      <rPr>
        <sz val="12"/>
        <color rgb="FF000000"/>
        <rFont val="Arial"/>
      </rPr>
      <t>Tidak Ada</t>
    </r>
  </si>
  <si>
    <t>PT. KRIDA PRATAMA ADHICIPTA</t>
  </si>
  <si>
    <t>Kebonsari Elveka III No.31 RT.1 RW.3 Kel. Kebonsari Kec. Jambangan - Surabaya (Kota) - Jawa Timur</t>
  </si>
  <si>
    <t>01.144.415.5-614.000</t>
  </si>
  <si>
    <t>krida_sby@yahoo.com</t>
  </si>
  <si>
    <t>0315673239</t>
  </si>
  <si>
    <t>BAHP disampaikan Kamis, 13 November 2025</t>
  </si>
  <si>
    <t>53</t>
  </si>
  <si>
    <t>Pengawasan Hadiah Hari Jalan Pemerintah Kota Probolinggo</t>
  </si>
  <si>
    <t>Gunawan Arif W, S.AP., M.T
Elly Sulistyowati, SE
Maryam Amin, SE
Dhina Tri Hendriani, SE
Risa Monika, S.IP</t>
  </si>
  <si>
    <t>Fadlila Rohmadani, S.ST
Arie Ardiansyah, SH
Daffah Ulfi Rahmatillah,SH</t>
  </si>
  <si>
    <r>
      <rPr>
        <b/>
        <sz val="13"/>
        <color rgb="FF4EA72E"/>
        <rFont val="Arial"/>
      </rPr>
      <t xml:space="preserve">Paket Repeat Order Selesai. Kronologi Paket:
</t>
    </r>
    <r>
      <rPr>
        <sz val="12"/>
        <color rgb="FF000000"/>
        <rFont val="Arial"/>
      </rPr>
      <t>1. Paket  Aktif di LPSE Pokja Tanggal 11 September 2025. Paket RO tayang 18 September 2025 16:00 WIB
2. Pembukaan Dokumen Penawaran	25 September 2025 09:01 WIB dan Evaluasi sampai 3 Oktober 2025 16:00 WIB
3. Klarifikasi dan Negosiasi, Penetapan Pemenang dan Penyampaian BAHP ke PPK 3 Oktober 2025</t>
    </r>
  </si>
  <si>
    <t>arkitron.pt@gmail.com</t>
  </si>
  <si>
    <t>54</t>
  </si>
  <si>
    <t>PW. Preservasi Jalan dan Jembatan Lohgung - Sadang</t>
  </si>
  <si>
    <t>Feby Lorentika, ST
Risa Monika, S.IP
Dhina Tri Hendriani, SE
Risa Monika, S.IP
Elly Sulistyowati, SE</t>
  </si>
  <si>
    <t>Arie Ardiansyah, SH
Sasetyo Gilang Kusumo, SH
Wan Achmad Reza Rinatha, ST, MT</t>
  </si>
  <si>
    <r>
      <rPr>
        <b/>
        <sz val="12"/>
        <color rgb="FF4EA72E"/>
        <rFont val="Arial"/>
      </rPr>
      <t xml:space="preserve">Paket Repeat Order Selesai. Kronologi Paket:
</t>
    </r>
    <r>
      <rPr>
        <sz val="12"/>
        <color rgb="FF000000"/>
        <rFont val="Arial"/>
      </rPr>
      <t>1. Paket Aktif di LPSE Pokja Tanggal 11 September 2025. Paket RO tayang 19 September 2025 15:00 WIB
2. Pembukaan Dokumen Penawaran 26 September 2025 10:01 WIB dan Evaluasi sampai 3 Oktober 2025 10:00 WIB
3. Klarifikasi dan Negosiasi, Penetapan Pemenang dan Penyampaian BAHP ke PPK 3 Oktober 2025</t>
    </r>
  </si>
  <si>
    <t>PT WAHANA MITRA AMERTA</t>
  </si>
  <si>
    <t>Wijaya Graha Puri H30 Jl Wijaya II Kebayoran Baru - Jakarta Selatan (Kota) - DKI Jakarta</t>
  </si>
  <si>
    <t>55</t>
  </si>
  <si>
    <r>
      <rPr>
        <b/>
        <sz val="12"/>
        <color rgb="FFFF0000"/>
        <rFont val="Arial"/>
      </rPr>
      <t xml:space="preserve">IJD:
</t>
    </r>
    <r>
      <rPr>
        <b/>
        <sz val="12"/>
        <color rgb="FF000000"/>
        <rFont val="Arial"/>
      </rPr>
      <t>PW. IJD JAWA TIMUR 2</t>
    </r>
  </si>
  <si>
    <t>Gunawan Arif W, S.AP., M.T
Dhina Tri Hendriani, SE
Risa Monika, S.IP
Elly Sulistyowati, SE
Maryam Amin, SE</t>
  </si>
  <si>
    <t>Fadlila Rohmadani, S.ST
Rani Fajar Nestiti, S.T
Agnesia Margaretha Gunawan, S.IAN</t>
  </si>
  <si>
    <r>
      <rPr>
        <b/>
        <sz val="13"/>
        <color rgb="FF4EA72E"/>
        <rFont val="Arial"/>
      </rPr>
      <t xml:space="preserve">Paket Selesai. Kronologi Paket:
</t>
    </r>
    <r>
      <rPr>
        <sz val="12"/>
        <color rgb="FF000000"/>
        <rFont val="Arial"/>
      </rPr>
      <t xml:space="preserve">1. Paket  Aktif di LPSE Pokja Tanggal 11 September 2025. Paket RO tayang 19 September 2025 15:00 WIB
2. Pembukaan Dokumen Penawaran 26 September 2025 09:01 WIB dan Evaluasi sampai 3 Oktober 2025 13:00 WIB
3. Klarifikasi dan Negosiasi, Penetapan Pemenang dan Penyampaian BAHP ke PPK 3 Oktober 2025
</t>
    </r>
  </si>
  <si>
    <t>PT MANGGALA KARYA BANGUN SARANA</t>
  </si>
  <si>
    <t>Wonokrisan Regency Blok C 11, Gondangrejo - Karanganyar (Kab.) - Jawa Tengah</t>
  </si>
  <si>
    <t>80.775.597.0-528.000</t>
  </si>
  <si>
    <t>corsec@manggalakarya.com</t>
  </si>
  <si>
    <t>0271-2873759</t>
  </si>
  <si>
    <t>56</t>
  </si>
  <si>
    <t>PR Perencanaan Teknis Reviu Desain Jalan Lintas Selatan Phase II Provinsi Jawa Timur (CW2,3,7,9)</t>
  </si>
  <si>
    <t>Feby Lorentika, ST
Maryam Amin, SE
Elly Sulistyowati, SE
Risa Monika, S.IP
Dhina Tri Hendriani, SE</t>
  </si>
  <si>
    <t>Agnesia Margaretha Gunawan, S.IAN
Wan Achmad Reza Rinatha, ST, MT
Arie Ardiansyah, SH</t>
  </si>
  <si>
    <r>
      <rPr>
        <b/>
        <sz val="14"/>
        <color rgb="FF4EA72E"/>
        <rFont val="Arial"/>
      </rPr>
      <t xml:space="preserve">Paket Selesai. Kronologi Paket:
</t>
    </r>
    <r>
      <rPr>
        <sz val="12"/>
        <color rgb="FF000000"/>
        <rFont val="Arial"/>
      </rPr>
      <t>1. Paket  Aktif di LPSE Pokja Tanggal 11 September 2025. Paket RO tayang 19 September 2025 15:00 WIB
2. Pembukaan Dokumen Penawaran 26 September 2025 09:01 WIB dan Evaluasi sampai 3 Oktober 2025 09:00 WIB
3. Klarifikasi dan Negosiasi, Penetapan Pemenang dan Penyampaian BAHP ke PPK 3 Oktober 2025</t>
    </r>
  </si>
  <si>
    <t>Gedung Alamanda Tower, 25th Floor Jalan TB Simatupang 2324 Jakarta 12430</t>
  </si>
  <si>
    <t>57</t>
  </si>
  <si>
    <r>
      <rPr>
        <b/>
        <sz val="12"/>
        <color rgb="FFFF0000"/>
        <rFont val="Arial"/>
      </rPr>
      <t xml:space="preserve">IJD:
</t>
    </r>
    <r>
      <rPr>
        <b/>
        <sz val="12"/>
        <color rgb="FF000000"/>
        <rFont val="Arial"/>
      </rPr>
      <t>PW. IJD JAWA TIMUR 1</t>
    </r>
  </si>
  <si>
    <t>Fadlila Rohmadani, S.ST
Teddy Marza Kurniawan, S.H
Arie Ardiansyah, SH</t>
  </si>
  <si>
    <r>
      <rPr>
        <b/>
        <sz val="14"/>
        <color rgb="FF4EA72E"/>
        <rFont val="Arial"/>
      </rPr>
      <t xml:space="preserve">Paket Selesai. Kronologi Paket:
</t>
    </r>
    <r>
      <rPr>
        <sz val="12"/>
        <color rgb="FF000000"/>
        <rFont val="Arial"/>
      </rPr>
      <t>1. Paket  Aktif di LPSE Pokja Tanggal 11 September 2025. Paket RO tayang 18 September 2025 16:00 WIB
2. Pembukaan Dokumen Penawaran 26 September 2025 11:01 WIB dan Evaluasi sampai 3 Oktober 2025 14:00 WIB
3. Klarifikasi dan Negosiasi, Penetapan Pemenang dan Penyampaian BAHP ke PPK 3 Oktober 2025</t>
    </r>
  </si>
  <si>
    <t>58</t>
  </si>
  <si>
    <t>PW. Preservasi Jalan dan Jembatan Mojokerto - Jombang</t>
  </si>
  <si>
    <t>Fadlila Rohmadani, S.ST
Daffah Ulfi Rahmatillah,SH
Rifqathin Ulya, S.H.,M.H</t>
  </si>
  <si>
    <r>
      <rPr>
        <b/>
        <sz val="12"/>
        <color rgb="FF3C7D22"/>
        <rFont val="Arial"/>
      </rPr>
      <t xml:space="preserve">SELEKSI SELESAI. TAHAP SAAT INI:
</t>
    </r>
    <r>
      <rPr>
        <sz val="12"/>
        <color rgb="FF000000"/>
        <rFont val="Arial"/>
      </rPr>
      <t>1. Paket Sudah Aktif di LPSE dan SK Pokja Tanggal 11 September 2025 dan tayang 22 September 2025
2. Kirim Persyaratan Kualifikasi semula 2 Oktober 2025 14:00 WIB menjadi 6 Oktober 2025 09:00 WIB menjadi 13 Oktober 13:51 WIB karena terdapat adendum dokumen kualifikasi. Pembuktian Kualifikasi dan Evaluasi Dokumen Kualifikasi sampai 17 Oktober 2025
3. Penetapan Kualifikasi 17 Oktober 2025. Masa Sanggah Prakualifikasi sampai 22 Oktober 2025 16:00 WIB
4. Pembukaan dan Evaluasi Penawaran File I dan File II sampai 6 November 2025
5. Penetapan pemenang 6 November 2025, Masa sanggah sampai 12 November 2025 dan tidak ada sanggah pada paket ini.
6. Klarifikasi dan Negosiasi Teknis dan Biaya 13 November 2025</t>
    </r>
  </si>
  <si>
    <t>PT. Jakarta Rencana Selaras</t>
  </si>
  <si>
    <t>Jl. MT. Haryono Kav. 17, Tebet Barat, Jakarta Selatan - Jakarta Selatan (Kota) - DKI Jakarta</t>
  </si>
  <si>
    <t>59</t>
  </si>
  <si>
    <t>Konsultan Supervisi Pembangunan SPAM Diyeng II (Pelayanan SMA Taruna Nusantara) Kabupaten Malang</t>
  </si>
  <si>
    <t>Elly Sulistyowati, SE
Risa Monika, S.IP
Dhina Tri Hendriani, SE
Maryam Amin, SE
Gunawan Arif Wibowo, S.AP., M.T</t>
  </si>
  <si>
    <r>
      <rPr>
        <b/>
        <sz val="12"/>
        <color rgb="FF4EA72E"/>
        <rFont val="Arial"/>
      </rPr>
      <t xml:space="preserve">SELEKSI SELESAI. KRONOLOGI PAKET:
</t>
    </r>
    <r>
      <rPr>
        <sz val="12"/>
        <color rgb="FF000000"/>
        <rFont val="Arial"/>
      </rPr>
      <t>1. Paket dinyatakan lengkap, SK diterbitkan dan ditugaskan di LPSE 22 September 2025, 16.00 WIB. Reviu Dok. Persiapan 24 September 2025
2. Paket tayang 25 September 2025 15:00 WIB. Kirim data kualifikasi sampai 6 Oktober 2025 09:00 WIB
3. Evaluasi dan Pembuktian kualifikasi sampai 22 Oktober 2025 15:00 WIB. Penetapan Kualifikasi 22 Oktober 2025
4. Masa Sanggah Prakualifikasi sampai 27 Oktober 2025 15:50. 
5. Download dokumen pemilihan dan upload dok penawaran sampai 3 November 2025 13:00 WIB dan Pemberian penjelasan sampai 31 Oktober 11:00 WIB
6. Pembukaan 3 November 2025 15:31 WIB dan Evaluasi Penawaran File I dan File II sampai 7 November 2025
7. Penetapan Pemenang 7 November 2025, Masa sanggah sampai 12 November 2025 serta Klarifikasi dan Negosiasi Teknis dan Biaya	13 November 2025</t>
    </r>
  </si>
  <si>
    <t>PT.ADHISTYA DHARMASTITYA</t>
  </si>
  <si>
    <t>JL. SUPRIYADI VI NO.14-A RT.01 RW.07 KEL. KALICARI KEC. PEDURUNGAN - Semarang (Kota) - Jawa Tengah</t>
  </si>
  <si>
    <t xml:space="preserve">01.456.683.0-518.000
</t>
  </si>
  <si>
    <t xml:space="preserve">pt_adhistya@yahoo.com
</t>
  </si>
  <si>
    <t xml:space="preserve">081225424168
</t>
  </si>
  <si>
    <t>rencana senin 17 November 2025 karena paket belum ada di SIPBJ</t>
  </si>
  <si>
    <t>60</t>
  </si>
  <si>
    <r>
      <rPr>
        <b/>
        <sz val="12"/>
        <color rgb="FFFF0000"/>
        <rFont val="Arial"/>
      </rPr>
      <t xml:space="preserve">OPLAH TAHAP III:
</t>
    </r>
    <r>
      <rPr>
        <b/>
        <sz val="12"/>
        <color rgb="FF000000"/>
        <rFont val="Arial"/>
      </rPr>
      <t>Konsultan Teknis Balai Swasembada Pangan SNVT PJPA Brantas (Inpres Tahap III)</t>
    </r>
  </si>
  <si>
    <t>Gunawan Arif Wibowo, S.AP., M.T
Maryam Amin, SE
Dhina Tri Hendriani, SE
Risa Monika, S.IP
Ardhi Wisnu Nugraha, ST.</t>
  </si>
  <si>
    <t>Fadlila Rohmadani, S.ST
Arie Ardiansyah, SH
Sasetyo Gilang Kusumo, SH</t>
  </si>
  <si>
    <r>
      <rPr>
        <b/>
        <sz val="12"/>
        <color rgb="FFFF0000"/>
        <rFont val="Arial"/>
      </rPr>
      <t xml:space="preserve">PENUNJUKAN LANGSUNG (INPRES) ULANG: </t>
    </r>
    <r>
      <rPr>
        <b/>
        <sz val="12"/>
        <color rgb="FF000000"/>
        <rFont val="Arial"/>
      </rPr>
      <t xml:space="preserve">Kronologi PL Pertama
</t>
    </r>
    <r>
      <rPr>
        <sz val="12"/>
        <color rgb="FF000000"/>
        <rFont val="Arial"/>
      </rPr>
      <t xml:space="preserve">1. SK terbit 26 September 2025
2. Pendampingan dokumen persiapan PPK, 30 September 2025. Paket tayang 8 Oktober 2025
3. Upload dokumen Penawaran sampai 10 Oktober 2025 14:00 WIB. Penetapan 14 Oktober 2025.
4. Proses Klarifikasi Ke SDA berdasarkan hasil reviu Itjen dengan hasil akan dilakukan PL ulang 18 November 2025
</t>
    </r>
    <r>
      <rPr>
        <b/>
        <sz val="12"/>
        <color rgb="FF000000"/>
        <rFont val="Arial"/>
      </rPr>
      <t xml:space="preserve">Kronologi PL kedua:
</t>
    </r>
    <r>
      <rPr>
        <sz val="12"/>
        <color rgb="FF000000"/>
        <rFont val="Arial"/>
      </rPr>
      <t>1. Proses Klarifikasi ke SDA berdasarkan hasil reviu itjen dengan hasil akan dilakukan PL ulang. SOP4 tgl 17 November 2025 pkl 13:00
2. Paket tayang di SPSE 18 November 2025 09:00 dan penetapan pemenang 21 November 2025. 
3. Proses reviu itjen sampai 7 Desember 2025</t>
    </r>
  </si>
  <si>
    <t>AGRINAS PANGAN NUSANTARA (PERSERO)</t>
  </si>
  <si>
    <t>JL DI PANJAITAN, KAV8, CAWANG - Jakarta Timur (Kota) - DKI Jakarta</t>
  </si>
  <si>
    <t>https://spse.inaproc.id/pu/nontender/10436739000/pengumumanpl</t>
  </si>
  <si>
    <t>SUDAH</t>
  </si>
  <si>
    <t>61</t>
  </si>
  <si>
    <r>
      <rPr>
        <b/>
        <sz val="12"/>
        <color rgb="FFFF0000"/>
        <rFont val="Arial"/>
      </rPr>
      <t xml:space="preserve">OPLAH TAHAP III:
</t>
    </r>
    <r>
      <rPr>
        <b/>
        <sz val="12"/>
        <color rgb="FF000000"/>
        <rFont val="Arial"/>
      </rPr>
      <t>Fasilitasi Pemantauan dan Pengawasan Kegiatan Peningkatan/Rehabilitasi Jaringan Tersier Tahap III di BBWS Brantas</t>
    </r>
  </si>
  <si>
    <t>Riska Karunia Ellanda (081222848828)</t>
  </si>
  <si>
    <t>Maryam Amin, SE
Dhina Tri Hendriani, SE
Risa Monika, S.IP
Elly Sulistyowati, SE
Lalu Yodit Dwi Anggara, S.Ars.</t>
  </si>
  <si>
    <t>Fadlila Rohmadani, S.ST
Dyah Kusumaning Putri, S.E
Arie Ardiansyah, SH</t>
  </si>
  <si>
    <r>
      <rPr>
        <b/>
        <sz val="12"/>
        <color rgb="FFFF0000"/>
        <rFont val="Arial"/>
      </rPr>
      <t xml:space="preserve">PENUNJUKAN LANGSUNG (INPRES) ULANG: </t>
    </r>
    <r>
      <rPr>
        <b/>
        <sz val="12"/>
        <color rgb="FF000000"/>
        <rFont val="Arial"/>
      </rPr>
      <t xml:space="preserve">KRONOLOGI PL pertama:
</t>
    </r>
    <r>
      <rPr>
        <sz val="12"/>
        <color rgb="FF000000"/>
        <rFont val="Arial"/>
      </rPr>
      <t xml:space="preserve">1. SK Pokja 7 Oktober 2025. Pendampingan dokumen persiapan PPK oleh BP2JK 30 September 2025
2. Paket disampaikan melalui TNDE 6 Oktober 2025 karena SIPBJ terkendala TKDN. SK terbit 7 Oktober 2025 berdasarkan permintaan PPK 6 Oktober 2025 melalui TNDE
3. Reviu Dok persiapan dengan pokja 9 Oktober 2025 karena dokumen PPK belum lengkap terupload di LPSE dan pokja pemilihan telah menyampaikan ke PPK
4. Tayang  10 Oktober 2025. Pembukaan 13 Oktober 2025. Selesai Evaluasi 15 Oktober 2025. 
5. Proses Klarifikasi Ke SDA berdasarkan hasil reviu Itjen dengan hasil akan dilakukan PL ulang 18 November 2025
</t>
    </r>
    <r>
      <rPr>
        <b/>
        <sz val="12"/>
        <color rgb="FF000000"/>
        <rFont val="Arial"/>
      </rPr>
      <t xml:space="preserve">Kronologi PL Kedua: (Perubahan SK Timlit)
1. </t>
    </r>
    <r>
      <rPr>
        <sz val="12"/>
        <color rgb="FF000000"/>
        <rFont val="Arial"/>
      </rPr>
      <t>SOP4 tgl 14 November 2025 dan sampai 19 November, menunggu Perbaikan KAK, SSKK dan Rancangan Kontrak dari PPK dan HPS di SPSE belum dirubah
2. Paket tayang di SPSE 20 November 2025 11:30 dan encana evaluasi sampai 25 November 2025 16:00 WIB
3. Penetapan maju dari 25 November 2025 menjadi 24 November 2025. Proses reviu itjen sampai 7 Desember 2025</t>
    </r>
  </si>
  <si>
    <t>62</t>
  </si>
  <si>
    <r>
      <rPr>
        <b/>
        <sz val="12"/>
        <color rgb="FFFF0000"/>
        <rFont val="Arial"/>
      </rPr>
      <t xml:space="preserve">IJD:
</t>
    </r>
    <r>
      <rPr>
        <b/>
        <sz val="12"/>
        <color rgb="FF000000"/>
        <rFont val="Arial"/>
      </rPr>
      <t>PW. IJD Jawa Timur 4</t>
    </r>
  </si>
  <si>
    <t>Mayda Citra Resmi Budi Pratiwi</t>
  </si>
  <si>
    <t>Elly Sulistyowati, SE
Dhina Tri Hendriani, SE
Risa Monika, S.IP
Moh. Wildan Andhra Kusuma, S.T.
Richardo Pratama Uruilal, S.T.</t>
  </si>
  <si>
    <t>Khairu Annisa Hariadi, ST., MT.
Diah Putri Rahmawati, S.Tr.T.
Rani Fajar Nestiti, ST</t>
  </si>
  <si>
    <r>
      <rPr>
        <b/>
        <sz val="12"/>
        <color rgb="FF3C7D22"/>
        <rFont val="Arial"/>
      </rPr>
      <t xml:space="preserve">Proses Repeat Order Selesai.
</t>
    </r>
    <r>
      <rPr>
        <sz val="12"/>
        <color rgb="FF000000"/>
        <rFont val="Arial"/>
      </rPr>
      <t>1. SK Pokja Pemilihan 15 Oktober 2025. 
2. Pengumuman LPSE 22 Oktober 2024. Upload Dokumen Penawaran sampai 29 Oktober 2025 13:00 WIB
3. Pembukaan Dokumen Penawaran 29 Oktober 2025 13:01 WIB
4. Evaluasi penawaran sampai 5 November 2025 10:00 WIB dan Klarifikasi Teknis dan Negosiasi 6 November 2025</t>
    </r>
  </si>
  <si>
    <t>PT Anugrah Ezzy Perkasa</t>
  </si>
  <si>
    <t>JInTerusan Jakarta No392 Lt1,Desa/Kelurahan Sukamiskin,KecArcamanik, Kota Bandung, Provinsi Jawa Barat - Bandung (Kota) - Jawa Barat</t>
  </si>
  <si>
    <t xml:space="preserve">73.196.567.9-019.000
</t>
  </si>
  <si>
    <t xml:space="preserve">ezzyperkasabandung@gmail.com
</t>
  </si>
  <si>
    <t xml:space="preserve">081321318186
</t>
  </si>
  <si>
    <t>63</t>
  </si>
  <si>
    <r>
      <rPr>
        <b/>
        <sz val="12"/>
        <color rgb="FFFF0000"/>
        <rFont val="Arial"/>
      </rPr>
      <t xml:space="preserve">IJD:
</t>
    </r>
    <r>
      <rPr>
        <b/>
        <sz val="12"/>
        <color rgb="FF000000"/>
        <rFont val="Arial"/>
      </rPr>
      <t>PW. IJD Jawa Timur 5</t>
    </r>
  </si>
  <si>
    <t>Elly Sulistyowati, SE
Dhina Tri Hendriani, SE
Risa Monika, S.IP
Namiratus Syarifah, S.T.
Ahnaf Dzaky Rheinanda, SH</t>
  </si>
  <si>
    <t>PT LARAS SEMBADA</t>
  </si>
  <si>
    <t>Gedung Perkantoran EightyEight@Kasablanka Office Tower Lt 10,Unit E, Jl Casablanca Kav 88 - Jakarta Selatan (Kota) - DKI Jakarta</t>
  </si>
  <si>
    <t>64</t>
  </si>
  <si>
    <t>Manajemen Konstruksi Pembangunan Pasar Kesamben Kabupaten Blitar</t>
  </si>
  <si>
    <t>Yuni Ahmat Erivianto, ST</t>
  </si>
  <si>
    <t>Maryam Amin, SE
Dhina Tri Hendriani, SE
Risa Monika, S.IP
Dahniar Achlis, S.Ars.
Ardhi Wisnu Nugraha, ST.</t>
  </si>
  <si>
    <t>Dyah Kusumaning Putri, S.E
Arie Ardiansyah, SH
Wan Achmad Reza Rinatha, ST., MT</t>
  </si>
  <si>
    <r>
      <rPr>
        <b/>
        <sz val="12"/>
        <color rgb="FF4EA72E"/>
        <rFont val="Arial"/>
      </rPr>
      <t xml:space="preserve">Proses Repeat Order Selesai. KRONOLOGI PAKET:
</t>
    </r>
    <r>
      <rPr>
        <sz val="12"/>
        <color rgb="FF000000"/>
        <rFont val="Arial"/>
      </rPr>
      <t>1. SK Pokja Pemilihan 27 Oktober. Berdasarkan hasil koordinasi dengan PPK, terdapat perubahan metode pemilihan dari seleksi menjadi RO sehingga saat ini masih menunggu kelengkapan data Repeat Order untuk ditayangkan. PPK mengajukan perubahan metode pemilihan dari seleksi menjadi REPEAT ORDER berdasarkan Surat PPK Pelaksanaan Prasarana Strategis I Nomor UM 0201/Gs.19.1/741, tanggal 6 November 2025.
2. SK terbit tgl 14 November 2025
3. Reviu dokumen persiapan tanggal 19 Novmeber 2025, rencana tayang SPSE 24 November 2025 setelah PPK melakukan revisi dokumen persiapan
4. Tayang 26 November 2025 dan evaluasi sampai 1 Desember 2025
5. Klarifikasi Teknis dan Negosiasi sampai 2 Desember 2025 16:00. BAHP telah disampaikan ke PPK</t>
    </r>
  </si>
  <si>
    <t>ARIHTA TEKNIK PERSADA JAKARTA</t>
  </si>
  <si>
    <t xml:space="preserve">	Jl DI Pandjaitan Kav 48 Rukan Kirana Cawang No C1 Kel Cipinang Cempedak - Jakarta Timur (Kota) - DKI Jakarta</t>
  </si>
  <si>
    <t>65</t>
  </si>
  <si>
    <r>
      <rPr>
        <b/>
        <sz val="12"/>
        <color rgb="FFFF0000"/>
        <rFont val="Arial"/>
      </rPr>
      <t xml:space="preserve">REPEAT ORDER:
</t>
    </r>
    <r>
      <rPr>
        <b/>
        <sz val="12"/>
        <color rgb="FF000000"/>
        <rFont val="Arial"/>
      </rPr>
      <t>Supervisi Rehabilitasi dan Renovasi Prasarana Sekolah Kabupaten Bojonegoro Lanjutan</t>
    </r>
  </si>
  <si>
    <t>15 Sudah Kirim BAHP</t>
  </si>
  <si>
    <t>Gunawan Arif Wibowo, S.AP., M.T
Elly Sulistyowati, SE
Risa Monika, S.IP
Maryam Amin, SE
Dhina Tri Hendriani, SE</t>
  </si>
  <si>
    <t>Wan Achmad Reza Rinatha, ST., MT
Arie Ardiansyah, SH
Daffah Ulfi Rahmatillah, SH.</t>
  </si>
  <si>
    <r>
      <rPr>
        <b/>
        <sz val="12"/>
        <color rgb="FF4EA72E"/>
        <rFont val="Arial"/>
      </rPr>
      <t xml:space="preserve">PAKET REPEAT ORDER SELESAI. KRONOLOGI PAKET:
</t>
    </r>
    <r>
      <rPr>
        <sz val="12"/>
        <color rgb="FF000000"/>
        <rFont val="Arial"/>
      </rPr>
      <t>1. SK Pokja Pemilihan 31 Oktober 2025.  Ada usulan perubahan metode pemelihan dari seleksi ke RO pada tanggal 14 November 2025
2. Menunggu paket diinput oleh PPK ke SPSE (Kelengkapan repeat order belum lengkap), terdapat permasalahan pada emon dimana paket masih berupa paket seleksi. Sudah dilakukan koordinasi ke biro perencanaan dan akan ditarik datanya ke SPSE 17 November 2025 oleh PPK. 
3. Menunggu data referensi penyedia jasa yang akan dilakuka RO di SPSE sampai 27 November 2025. 
4. Reviu Dok Persiapan 27 November 2025 dan menunggu perbaikan data oleh PPK, ketika sudah sesuai akan ditayangkan
5. Tayang 10 Desember 2025 dan Upload dokumen penawaran sampai15 Desember 2025 09:00 WIB
6. Pembukaan 15 Desember 2025 dan Evaluasi Penawaran sampai 16 Desember 2025. 
7. Klarifikasi Negosiasi, penetapan dan penyampaian BAHP 17 Desember 2025</t>
    </r>
  </si>
  <si>
    <t>PT ELEMEN TIGA TIGA</t>
  </si>
  <si>
    <t xml:space="preserve">	Cendrawasih 4/14 REWWIN Waru Sidoarjo - Sidoarjo (Kab.) - Jawa Timur</t>
  </si>
  <si>
    <t>66</t>
  </si>
  <si>
    <r>
      <rPr>
        <b/>
        <sz val="12"/>
        <color rgb="FFFF0000"/>
        <rFont val="Arial"/>
      </rPr>
      <t xml:space="preserve">IJD:
</t>
    </r>
    <r>
      <rPr>
        <b/>
        <sz val="12"/>
        <color rgb="FF000000"/>
        <rFont val="Arial"/>
      </rPr>
      <t>PW. IJD Jawa Timur 3</t>
    </r>
  </si>
  <si>
    <t>Feby Lorentika, ST
Dhina Tri Hendriani, SE
Risa Monika, S.IP
Dahniar Achlis, S.Ars.
Farah Rosa Bela Asnawi, S.Ars</t>
  </si>
  <si>
    <t>Khairu Annisa Hariadi, S.T.,M.T
Diah Putri Rahmawati, S.Tr.T.
Rani Fajar Nestiti, ST</t>
  </si>
  <si>
    <r>
      <rPr>
        <b/>
        <sz val="12"/>
        <color rgb="FF3C7D22"/>
        <rFont val="Arial"/>
      </rPr>
      <t xml:space="preserve">Paket repeat order telah selesai. KRONOLOGI PAKET:
</t>
    </r>
    <r>
      <rPr>
        <b/>
        <sz val="12"/>
        <color rgb="FF000000"/>
        <rFont val="Arial"/>
      </rPr>
      <t xml:space="preserve">
</t>
    </r>
    <r>
      <rPr>
        <sz val="12"/>
        <color rgb="FF000000"/>
        <rFont val="Arial"/>
      </rPr>
      <t>1. SK Pokja Pemilihan 31 Oktober 2025. Pengumuman LPSE 4 November 2025. Upload Dokumen Penawaran sampai 10 November 2025
2. Pembukaan Penawaran 10 November 2025 dan Evaluasi penawaran sampai 13 November 2025
3. Penyampaian BAHP 17 November 2025</t>
    </r>
  </si>
  <si>
    <t>PT GARIS PUTIH SEJAJAR</t>
  </si>
  <si>
    <t>67</t>
  </si>
  <si>
    <t>Manajemen Konstruksi Rehabilitasi dan Rekonstruksi Bangunan Gedung Negara dan Prasarana Publik Terdampak Aksi Demonstrasi di Provinsi Jawa Timur</t>
  </si>
  <si>
    <t>Risa Monika, S.IP
Elly Sulistyowati, SE
Maryam Amin, SE
Richardo Pratama Uruilal, S.T.
Ahnaf Dzaky Rheinanda, S.H.</t>
  </si>
  <si>
    <t>Teddy Marza Kurniawan, S.H
Sasetyo Gilang Kusumo, SH
Agnesia Margaretha Gunawan, S.IAN</t>
  </si>
  <si>
    <r>
      <rPr>
        <b/>
        <sz val="12"/>
        <color rgb="FF3C7D22"/>
        <rFont val="Arial"/>
      </rPr>
      <t xml:space="preserve">Paket repeat order telah selesai. KRONOLOGI PAKET:
</t>
    </r>
    <r>
      <rPr>
        <sz val="12"/>
        <color rgb="FF000000"/>
        <rFont val="Arial"/>
      </rPr>
      <t xml:space="preserve">1. SK Pokja Pemilihan 15 Oktober 2025. Pengumuman SPSE 31 Oktober 2025 penundaan karena terdapat revisi Dokumen Persiapan PPK setelah proses reviu Dok Persiapan
2. Pembukaan Dokumen 4 November 2025. Evaluasi, Klarifikasi Teknis dan Negosiasi sampai 7 November 2025.
3. Penetapan Pemenang 7 November 2025.
4. Penyampaian BAHP 10 November 2025
</t>
    </r>
  </si>
  <si>
    <t>PT AGRINAS PANGAN NUSANTARA (Persero) Cabang Surabaya</t>
  </si>
  <si>
    <t>Deltaraya Utara No 61 Waru Sidoarjo - Sidoarjo (Kab.) - Jawa Timur</t>
  </si>
  <si>
    <t>68</t>
  </si>
  <si>
    <r>
      <rPr>
        <b/>
        <sz val="12"/>
        <color rgb="FFFF0000"/>
        <rFont val="Arial"/>
      </rPr>
      <t xml:space="preserve">IJD:
</t>
    </r>
    <r>
      <rPr>
        <b/>
        <sz val="12"/>
        <color rgb="FF000000"/>
        <rFont val="Arial"/>
      </rPr>
      <t>PW. IJD Jawa Timur 6
24 November 2025</t>
    </r>
  </si>
  <si>
    <t>Gunawan Arif Wibowo, S.AP., M.T
Risa Monika, S.IP
Dhina Tri Hendriani, SE</t>
  </si>
  <si>
    <t>Khairu Annisa Hariadi, S.T.,M.T
Diah Putri Rahmawati, S.Tr.T
Teddy Marza Kurniawan, S.H</t>
  </si>
  <si>
    <r>
      <rPr>
        <b/>
        <sz val="12"/>
        <color rgb="FF4EA72E"/>
        <rFont val="Arial"/>
      </rPr>
      <t xml:space="preserve">Paket repeat order telah selesai. KRONOLOGI PAKET:
</t>
    </r>
    <r>
      <rPr>
        <sz val="12"/>
        <color rgb="FF000000"/>
        <rFont val="Arial"/>
      </rPr>
      <t>1. SK Pokja Pemilihan 24 November 2025. 
2. Reviu Dokumen Persiapan 26 November 2025
3. Pengumuman SPSE 27 November 2025 
4. Pemasukan Penawaran sampai 4 Desember 2025 09.00 WIB dan Evaluasi Penawaran sampai 8 Desember 2025 16:00 WIB
5. Penetapan pemenang 8 Desember 2025 dan penyampaian BAHP 9 Desember 2025</t>
    </r>
  </si>
  <si>
    <t xml:space="preserve">	JL KUTISARI UTARA III NO 29, SURABAYA - Surabaya (Kota) - Jawa Timur</t>
  </si>
  <si>
    <t>69</t>
  </si>
  <si>
    <r>
      <rPr>
        <b/>
        <sz val="12"/>
        <color rgb="FFFF0000"/>
        <rFont val="Arial"/>
      </rPr>
      <t xml:space="preserve">PL BENDUNGAN:
</t>
    </r>
    <r>
      <rPr>
        <b/>
        <sz val="12"/>
        <color rgb="FF000000"/>
        <rFont val="Arial"/>
      </rPr>
      <t>Supervisi Pembangunan Bendungan Bagong (Lanjutan) di Kab. Trenggalek</t>
    </r>
  </si>
  <si>
    <t>Tamy Adiningtyas (0853-8555-4912)</t>
  </si>
  <si>
    <t>Dwi Ananta Irwansyah P, SE</t>
  </si>
  <si>
    <t>Feby Lorentika, ST
Risa Monika, S.IP
Dhina Tri Hendriani, SE</t>
  </si>
  <si>
    <t>Dyah Kusumaning Putri, S.E
Khairu Annisa Hariadi, ST, MT
Rani Fajar Nestiti, S.T</t>
  </si>
  <si>
    <r>
      <rPr>
        <b/>
        <sz val="12"/>
        <color rgb="FFFF0000"/>
        <rFont val="Arial"/>
      </rPr>
      <t>Tahap Saat INI:</t>
    </r>
    <r>
      <rPr>
        <b/>
        <sz val="12"/>
        <color rgb="FF000000"/>
        <rFont val="Arial"/>
      </rPr>
      <t xml:space="preserve"> Klarifikasi teknis dan negosiasi sampai 19 Desember 2025 16:30 WIB. Pengusulan PA 17 Desember 2025
</t>
    </r>
    <r>
      <rPr>
        <sz val="12"/>
        <color rgb="FF000000"/>
        <rFont val="Arial"/>
      </rPr>
      <t>1. SK Pokja Pemilihan 5 Desember 2025. 
2. Reviu Dokumen Persiapan 9 Desember 2025
3. Tayang 12 Desember 2025 dan Upload dokumen penawaran sampai 15 Desember 2025 16:00 WIB
4. Pembukaan 15 Desember 2025 dan Evaluasi sampai 19 Desember 2025</t>
    </r>
  </si>
  <si>
    <r>
      <rPr>
        <b/>
        <sz val="12"/>
        <color rgb="FF000000"/>
        <rFont val="Arial"/>
      </rPr>
      <t xml:space="preserve">Hari Libur Nasional: </t>
    </r>
    <r>
      <rPr>
        <sz val="12"/>
        <color rgb="FF000000"/>
        <rFont val="Arial"/>
      </rPr>
      <t xml:space="preserve">Tidak Ada
</t>
    </r>
    <r>
      <rPr>
        <b/>
        <sz val="12"/>
        <color rgb="FF000000"/>
        <rFont val="Arial"/>
      </rPr>
      <t xml:space="preserve">Kendala Sistem: </t>
    </r>
    <r>
      <rPr>
        <sz val="12"/>
        <color rgb="FF000000"/>
        <rFont val="Arial"/>
      </rPr>
      <t xml:space="preserve">Tidak Ada
</t>
    </r>
    <r>
      <rPr>
        <b/>
        <sz val="12"/>
        <color rgb="FF000000"/>
        <rFont val="Arial"/>
      </rPr>
      <t xml:space="preserve">Proses Klarifikasi
</t>
    </r>
    <r>
      <rPr>
        <sz val="12"/>
        <color rgb="FF000000"/>
        <rFont val="Arial"/>
      </rPr>
      <t>Tidak Ada</t>
    </r>
  </si>
  <si>
    <t>Penunjukan Langsun</t>
  </si>
  <si>
    <t>70</t>
  </si>
  <si>
    <r>
      <rPr>
        <b/>
        <sz val="12"/>
        <color rgb="FFFF0000"/>
        <rFont val="Arial"/>
      </rPr>
      <t xml:space="preserve">REPEAT ORDER:
</t>
    </r>
    <r>
      <rPr>
        <b/>
        <sz val="12"/>
        <color rgb="FF000000"/>
        <rFont val="Arial"/>
      </rPr>
      <t>Manajemen Konstruksi Pembangunan Pondok Pesantren Al-Khoziny Kabupaten Sidoarjo</t>
    </r>
  </si>
  <si>
    <t>Akbar (819-1598-8198)</t>
  </si>
  <si>
    <t>Rifqathin Ulya, SH, MH</t>
  </si>
  <si>
    <t>Feby Lorentika, ST
Gunawan Arif Wibowo, S.AP., M.T
Dhina Tri Hendriani, SE</t>
  </si>
  <si>
    <t>Teddy Marza Kurniawan, S.H
Arie Ardiansyah, S.H
Rani Fajar Nestiti, S.T</t>
  </si>
  <si>
    <r>
      <rPr>
        <b/>
        <sz val="12"/>
        <color rgb="FFFF0000"/>
        <rFont val="Arial"/>
      </rPr>
      <t>Tahap Saat INI:</t>
    </r>
    <r>
      <rPr>
        <b/>
        <sz val="12"/>
        <color rgb="FF000000"/>
        <rFont val="Arial"/>
      </rPr>
      <t xml:space="preserve"> Penandatanganan Kontrak sampai 19 Desember 2025 16:30 WIB
Catatan: PPK belum mengusulkan paket melalui SIPBJ ke BP2JK Wilayah Jawa Timur karena terdapat permasalahan pengisian TKDN. Sudah dikoordinasikan ke SIPBJ Center
</t>
    </r>
    <r>
      <rPr>
        <sz val="12"/>
        <color rgb="FF000000"/>
        <rFont val="Arial"/>
      </rPr>
      <t>1. SK Pokja Pemilihan 10 Desember 2025. 
2. Reviu Dokumen Persiapan 10 Desember 2025
3. Tayang 11 Desember 2025. Upload Dokumen Penawaran sampai 16 Desember 2025 09:00 WIB
4. Upload Dokumen Penawaran sampai 16 Desember 2025 09:00 WIB
5. Evaluasi Penawaran sampai 17 Desember 2025 20:00 WIB
6. Klarifikasi teknis dan negosiasi sampai 17 Desember 2025 20.00 WIB
7. Kirim BAHP 17 Desember 2025</t>
    </r>
  </si>
  <si>
    <t>PT WIDHA</t>
  </si>
  <si>
    <t>Jl Prof H Soedarto, SH No 58 Lantai 1 - Semarang (Kota) - Jawa Tengah</t>
  </si>
  <si>
    <t>Repeat Order</t>
  </si>
  <si>
    <t>PEKERJAAN KONSTRUKSI</t>
  </si>
  <si>
    <t>2.1</t>
  </si>
  <si>
    <t>Preservasi Jalan Bulu (Bts. Prov. Jateng) - Bts. Kota Tuban Tahap 2</t>
  </si>
  <si>
    <t>PK</t>
  </si>
  <si>
    <t>SBSN</t>
  </si>
  <si>
    <t>HARIANI, S.ST, MT (+62 821-3972-4994)</t>
  </si>
  <si>
    <t>Fadlila Rohmadani, S.ST
Diah Putri Rahmawati, S.Tr.T
Khairu Annisa Hariadi, S.T.,M.T</t>
  </si>
  <si>
    <r>
      <rPr>
        <b/>
        <sz val="12"/>
        <color rgb="FF000000"/>
        <rFont val="Arial"/>
      </rPr>
      <t xml:space="preserve">KENDALA SISTEM
</t>
    </r>
    <r>
      <rPr>
        <sz val="12"/>
        <color rgb="FF000000"/>
        <rFont val="Arial"/>
      </rPr>
      <t xml:space="preserve">1. Terdapat kendala LPSE sesuai dengan surat Plt. Direktur Sistem Pengadaan Digital LKPP nomor 5393/D.2.2/03/2025 tanggal 7 Maret 2025 hal Pemberitahuan Gangguan Layanan Aplikasi SPSE telah terjadi gangguan layanan aplikasi SPSE pada hari Kamis, 6 Maret 2025 pukul 18.00 WIB sampai dengan Jumat, 7 Maret 2025 pukul 08.45 WIB yang menyebabkan penyedia tidak dapat login </t>
    </r>
    <r>
      <rPr>
        <b/>
        <sz val="12"/>
        <color rgb="FF000000"/>
        <rFont val="Arial"/>
      </rPr>
      <t xml:space="preserve">(2HK)
KENDALA LIBUR NASIONAL
</t>
    </r>
    <r>
      <rPr>
        <sz val="12"/>
        <color rgb="FF000000"/>
        <rFont val="Arial"/>
      </rPr>
      <t>2. Libur dan cuti bersama Nyepi dan Idul fitri</t>
    </r>
    <r>
      <rPr>
        <b/>
        <sz val="12"/>
        <color rgb="FF000000"/>
        <rFont val="Arial"/>
      </rPr>
      <t xml:space="preserve"> (11 HK)</t>
    </r>
  </si>
  <si>
    <t>PT. TRIPALINDO TRANS MIX</t>
  </si>
  <si>
    <t>Ir. Setiono Limantono</t>
  </si>
  <si>
    <t>JL. Komering No. 14 Surabaya - Surabaya (Kota) - Jawa Timur</t>
  </si>
  <si>
    <t>02.091.815.7-605.000</t>
  </si>
  <si>
    <t>tripalindo_trans_mix@yahoo.com</t>
  </si>
  <si>
    <t>0315687690</t>
  </si>
  <si>
    <t>Tender</t>
  </si>
  <si>
    <t>2.2</t>
  </si>
  <si>
    <t>Duplikasi Jembatan Manyar No.10 B</t>
  </si>
  <si>
    <t>Yudi Dwi Prasetyo, ST, MT (+62 822-4579-4511)</t>
  </si>
  <si>
    <r>
      <rPr>
        <b/>
        <sz val="12"/>
        <color rgb="FF000000"/>
        <rFont val="Arial"/>
      </rPr>
      <t>Merupakan tender kedua</t>
    </r>
    <r>
      <rPr>
        <sz val="12"/>
        <color rgb="FF000000"/>
        <rFont val="Arial"/>
      </rPr>
      <t xml:space="preserve">. Tender pertama gagal karena dari 13 peserta yang menyampaikan dokumen penawaran, tidak ada yang lulus evaluasi sesuai ketentuan dalam Dokumen Pemilihan, meliputi:
1). 2 peserta gugur evaluasi teknis, personil tidak memenuhi ketentuan
2). 5 peserta gugur teknis, peralatan tidak memenuhi ketentuan (terkait SIMPK)
3). 6 peserta gugur evaluasi kualifikasi, pengalaman perusahaan, KD dan sertifikat standar tidak memenuhi ketentuan
</t>
    </r>
    <r>
      <rPr>
        <b/>
        <sz val="12"/>
        <color rgb="FF000000"/>
        <rFont val="Arial"/>
      </rPr>
      <t xml:space="preserve">Tahap Persiapan: </t>
    </r>
    <r>
      <rPr>
        <sz val="12"/>
        <color rgb="FF000000"/>
        <rFont val="Arial"/>
      </rPr>
      <t xml:space="preserve">Penerbitan SK Pokja 26 Juni 2025 dan Reviu Dokumen Persiapan 1 Juli 2025 (Revisi 3 Juli 2025). 
</t>
    </r>
    <r>
      <rPr>
        <b/>
        <sz val="12"/>
        <color rgb="FF000000"/>
        <rFont val="Arial"/>
      </rPr>
      <t xml:space="preserve">Tahap Pelaksanaan Tender
</t>
    </r>
    <r>
      <rPr>
        <sz val="12"/>
        <color rgb="FF000000"/>
        <rFont val="Arial"/>
      </rPr>
      <t>1. Pengumuman Pascakualifikasi tanggal 11 April 2025
2. Pembukaan dokumen penawaran tanggal 21 April 2025. Terdapat 17 penawaran
3. Penetapan dan pengumuman tanggal 9 Mei 2025. Terdapat 2 sanggahan. 1 sanggah diterima, 1 sanggah ditolak. Pokja kemudian melakukan evaluasi ulang terkait sanggah yang diterima. Pokja melakukan penetapan dan pengumuman hasil evaluasi ulang pada 5 Juni 2025. Terdapat 1 calon pemenang dengan harga penawaran dibawah 80%
4. BAHP disampaikan ke PPK tanggal 11 Juni 2025</t>
    </r>
  </si>
  <si>
    <r>
      <rPr>
        <b/>
        <sz val="12"/>
        <color rgb="FF000000"/>
        <rFont val="Arial"/>
      </rPr>
      <t xml:space="preserve">Kendala Libur Nasional
</t>
    </r>
    <r>
      <rPr>
        <sz val="12"/>
        <color rgb="FF000000"/>
        <rFont val="Arial"/>
      </rPr>
      <t xml:space="preserve">1. Libur wafat isa almasih (1HK), Libur Hari buruh 1 Mei (1HK)
2. Libur Hari Waisak +Cuti bersama 12-13 Mei (2HK)
3. LIbur Kenaikan Isa Al-Masih+Cuti bersama 29-30 Mei (2HK)
4. Libur Idul Adha (4HK)
</t>
    </r>
    <r>
      <rPr>
        <b/>
        <sz val="12"/>
        <color rgb="FF000000"/>
        <rFont val="Arial"/>
      </rPr>
      <t xml:space="preserve">Pelaksanaan EKH
</t>
    </r>
    <r>
      <rPr>
        <sz val="12"/>
        <color rgb="FF000000"/>
        <rFont val="Arial"/>
      </rPr>
      <t>5. Pelaksanaan EKH (9HK) sejak 26 Mei 2025 - 4 Juni 2025</t>
    </r>
  </si>
  <si>
    <t>PT. CAHAYA INDAH MADYA PRATAMA</t>
  </si>
  <si>
    <t>Henry Setyawan</t>
  </si>
  <si>
    <t>Jl. Raya Sugio - Dampit No. 02 Lamongan - Lamongan (Kab.) - Jawa Timur</t>
  </si>
  <si>
    <t>01.234.876.9-641.000</t>
  </si>
  <si>
    <t>Supervisi Pembangunan Bendung Tugu Kabupaten Trenggalek</t>
  </si>
  <si>
    <t>0322323424</t>
  </si>
  <si>
    <t>2.3</t>
  </si>
  <si>
    <t>Penggantian Jembatan Modangan</t>
  </si>
  <si>
    <t>LEO ADITYA MAHARDIKA, ST (+62 856-3040-100)</t>
  </si>
  <si>
    <r>
      <rPr>
        <b/>
        <sz val="12"/>
        <color rgb="FF000000"/>
        <rFont val="Arial"/>
      </rPr>
      <t xml:space="preserve">KENDALA LIBUR NASIONAL
</t>
    </r>
    <r>
      <rPr>
        <sz val="12"/>
        <color rgb="FF000000"/>
        <rFont val="Arial"/>
      </rPr>
      <t xml:space="preserve">1. Libur Hari buruh 1 Mei (1HK)
2. Libur Hari Waisak +Cuti bersama 12-13 Mei (2HK)
3. LIbur Kenaikan Isa Al-Masih+Cuti bersama 29-30 Mei (2HK)
</t>
    </r>
    <r>
      <rPr>
        <b/>
        <sz val="12"/>
        <color rgb="FF000000"/>
        <rFont val="Arial"/>
      </rPr>
      <t xml:space="preserve">KENDALA KLARIFIKASI
</t>
    </r>
    <r>
      <rPr>
        <sz val="12"/>
        <color rgb="FF000000"/>
        <rFont val="Arial"/>
      </rPr>
      <t>4. Klarifikasi ke DKSDK tanggal surat ke Kabalai 23 Mei 2025
5.Klarifikasi ke penerbit asuransi dan sertifikat ISO (tanggal 23 Mei 2025 dibalas 26 Mei 2025)
6. Klarifikasi ke OJK tanggal surat 27 Mei 2025
7. Klarifikasi peralatan terkontrak tanggal surat 26 Mei (s.d. 4 Juni 2025 selama 5 hari kerja)
8. Klarifikasi lanjutan ke penerbit asuransi (surat tanggal 28 Mei 2025 s.d. 3 Juni 2025)</t>
    </r>
  </si>
  <si>
    <t>PT. Marinda Utamakarya Subur (Cabang Semarang)</t>
  </si>
  <si>
    <t>Pusat : Ahmad Syamsir Arief
Cabang Semarang : Qulyubi</t>
  </si>
  <si>
    <t>Kantor Pusat : Jl. A.W. Syahranie Komp. Villa Tamara F/33 Samarinda, Kalimantan Timur
Kantor Cabang Semarang : Jl. Jembawan I, RT 008, RW001, Kel. Kalibanteng Kulon, Kec. Semarang Barat, Kota Semarang, Jawa Tengah</t>
  </si>
  <si>
    <t>01.466.858.6-722.000</t>
  </si>
  <si>
    <t>ptmarinda.uks@gmail.com</t>
  </si>
  <si>
    <t>Kantor Pusat :  0541 - 2524445
Kantor Cabang Semarang : 085931052535</t>
  </si>
  <si>
    <t>2.4</t>
  </si>
  <si>
    <t>Pengaliran Lumpur ke Kali Porong; Kab. Sidoarjo; Jawa Timur; 16000000 m3; 16000000 m3; F; K; SYC</t>
  </si>
  <si>
    <t>Feby Lorentika, ST
Elly Sulistyowati, SE
Risa Monika, S.IP</t>
  </si>
  <si>
    <t>Dyah Kusumaning Putri, S.E
Wan Achmad Reza Rinatha, ST, MT
Arie Ardiansyah, SH</t>
  </si>
  <si>
    <r>
      <rPr>
        <b/>
        <sz val="12"/>
        <color rgb="FF000000"/>
        <rFont val="Arial"/>
      </rPr>
      <t xml:space="preserve">KENDALA LIBUR NASIONAL
</t>
    </r>
    <r>
      <rPr>
        <sz val="12"/>
        <color rgb="FF000000"/>
        <rFont val="Arial"/>
      </rPr>
      <t xml:space="preserve">1. Libur 12-13 Mei (Waisak) </t>
    </r>
    <r>
      <rPr>
        <b/>
        <sz val="12"/>
        <color rgb="FF000000"/>
        <rFont val="Arial"/>
      </rPr>
      <t xml:space="preserve">(2HK)
</t>
    </r>
    <r>
      <rPr>
        <sz val="12"/>
        <color rgb="FF000000"/>
        <rFont val="Arial"/>
      </rPr>
      <t xml:space="preserve">2. Libur Kenaikan Isa Al-Masih 29-30 Mei </t>
    </r>
    <r>
      <rPr>
        <b/>
        <sz val="12"/>
        <color rgb="FF000000"/>
        <rFont val="Arial"/>
      </rPr>
      <t xml:space="preserve">(2HK), 
</t>
    </r>
    <r>
      <rPr>
        <sz val="12"/>
        <color rgb="FF000000"/>
        <rFont val="Arial"/>
      </rPr>
      <t>3.</t>
    </r>
    <r>
      <rPr>
        <b/>
        <sz val="12"/>
        <color rgb="FF000000"/>
        <rFont val="Arial"/>
      </rPr>
      <t xml:space="preserve"> </t>
    </r>
    <r>
      <rPr>
        <sz val="12"/>
        <color rgb="FF000000"/>
        <rFont val="Arial"/>
      </rPr>
      <t xml:space="preserve">Idul adha </t>
    </r>
    <r>
      <rPr>
        <b/>
        <sz val="12"/>
        <color rgb="FF000000"/>
        <rFont val="Arial"/>
      </rPr>
      <t xml:space="preserve">(4HK), 
</t>
    </r>
    <r>
      <rPr>
        <sz val="12"/>
        <color rgb="FF000000"/>
        <rFont val="Arial"/>
      </rPr>
      <t>4.</t>
    </r>
    <r>
      <rPr>
        <b/>
        <sz val="12"/>
        <color rgb="FF000000"/>
        <rFont val="Arial"/>
      </rPr>
      <t xml:space="preserve"> </t>
    </r>
    <r>
      <rPr>
        <sz val="12"/>
        <color rgb="FF000000"/>
        <rFont val="Arial"/>
      </rPr>
      <t xml:space="preserve">tahun baru islam </t>
    </r>
    <r>
      <rPr>
        <b/>
        <sz val="12"/>
        <color rgb="FF000000"/>
        <rFont val="Arial"/>
      </rPr>
      <t xml:space="preserve">(1HK)
KENDALA PROSES PENETAPAN
</t>
    </r>
    <r>
      <rPr>
        <sz val="12"/>
        <color rgb="FF000000"/>
        <rFont val="Arial"/>
      </rPr>
      <t xml:space="preserve">5. Penyampaian usulan penetapan pemenang 11 Juni 2025, Dokumen dinyatakan lengkap 18 Juni 2025, Surat Penetapan Menteri 3 Juli 2025 </t>
    </r>
    <r>
      <rPr>
        <b/>
        <sz val="12"/>
        <color rgb="FF000000"/>
        <rFont val="Arial"/>
      </rPr>
      <t>(16 HK)</t>
    </r>
  </si>
  <si>
    <t>PT. JAYA ETIKA TEKNIK</t>
  </si>
  <si>
    <t>Erwin Pratikyo Gunawan</t>
  </si>
  <si>
    <t>JL. KETINTANG BARU SELATAN VII NO.6 - Surabaya (Kota) - Jawa Timur</t>
  </si>
  <si>
    <t>02.442.752.8-631.000</t>
  </si>
  <si>
    <t>jayaetikateknik@yahoo.com.sg</t>
  </si>
  <si>
    <t>Telp/ Fax +62318296145
0318296145</t>
  </si>
  <si>
    <t>2.5</t>
  </si>
  <si>
    <t>Preservasi Jalan dan Jembatan Kota Pasuruan - Bangil - Gempol</t>
  </si>
  <si>
    <t>SENTOT WIJAYANTO, ST (+62 813-5823-3369)</t>
  </si>
  <si>
    <t>Maryam Amin, SE
Elly Sulistyowati, SE
Risa Monika, S.IP</t>
  </si>
  <si>
    <t>Daffah Ulfi Rahmatillah,SH
Sasetyo Gilang Kusumo, SH
Rifqathin Ulya, S.H.,M.H</t>
  </si>
  <si>
    <r>
      <rPr>
        <b/>
        <sz val="12"/>
        <color rgb="FF000000"/>
        <rFont val="Arial"/>
      </rPr>
      <t xml:space="preserve">KENDALA LIBUR NASIONAL
</t>
    </r>
    <r>
      <rPr>
        <sz val="12"/>
        <color rgb="FF000000"/>
        <rFont val="Arial"/>
      </rPr>
      <t xml:space="preserve">1. Libur Hari buruh 1 Mei </t>
    </r>
    <r>
      <rPr>
        <b/>
        <sz val="12"/>
        <color rgb="FF000000"/>
        <rFont val="Arial"/>
      </rPr>
      <t xml:space="preserve">(1HK)
</t>
    </r>
    <r>
      <rPr>
        <sz val="12"/>
        <color rgb="FF000000"/>
        <rFont val="Arial"/>
      </rPr>
      <t>2. Libur Hari Waisak +Cuti bersama 12-13 Mei</t>
    </r>
    <r>
      <rPr>
        <b/>
        <sz val="12"/>
        <color rgb="FF000000"/>
        <rFont val="Arial"/>
      </rPr>
      <t xml:space="preserve"> (2HK)
KENDALA KLARIFIKASI
</t>
    </r>
    <r>
      <rPr>
        <sz val="12"/>
        <color rgb="FF000000"/>
        <rFont val="Arial"/>
      </rPr>
      <t>3. Klarifikasi ke DKSDK Tanggal 26 Mei dibalas Tanggal 28 Mei (2HK)
4. Klarifikasi ke DKSDK Tanggal 04 Juni</t>
    </r>
  </si>
  <si>
    <t>PT. MODERN MAKMUR MANDIRI</t>
  </si>
  <si>
    <t>Sugeng Vernanda</t>
  </si>
  <si>
    <t>Ruko Harmony City Center Blok TA 25 Jl. Raya Trosobo Km 21 Desa Trosobo Kec. Taman Kab. Sidoarjo - Sidoarjo (Kab.) - Jawa Timur
SOHO VITTORIO CITRALAND UNIT 708 LANTAI 7, JALAN MENGANTI KARANGAN NO. 32</t>
  </si>
  <si>
    <t>0015189590653000</t>
  </si>
  <si>
    <t>modern.makmur.mandiri03@gmail.com</t>
  </si>
  <si>
    <t>03428173137</t>
  </si>
  <si>
    <t>2.6</t>
  </si>
  <si>
    <t>Rehabilitasi Jaringan Irigasi Daerah Irigasi Bajulmati; 3 km; 200 hektar; F; K; SYC</t>
  </si>
  <si>
    <r>
      <rPr>
        <b/>
        <sz val="12"/>
        <color rgb="FF000000"/>
        <rFont val="Arial"/>
      </rPr>
      <t xml:space="preserve">TAHAP PERSIAPAN: </t>
    </r>
    <r>
      <rPr>
        <sz val="12"/>
        <color rgb="FF000000"/>
        <rFont val="Arial"/>
      </rPr>
      <t xml:space="preserve">Penerbitan SK Pokja 30 April 2025 dan Reviu Dokumen Persiapan 6 Mei 2025 (Revisi dokumen persiapan PPK diterima pokja dan lengkap siap tayang tanggal 14 Mei 2025)
</t>
    </r>
    <r>
      <rPr>
        <b/>
        <sz val="12"/>
        <color rgb="FF000000"/>
        <rFont val="Arial"/>
      </rPr>
      <t xml:space="preserve">TAHAP PEMILIHAN
</t>
    </r>
    <r>
      <rPr>
        <sz val="12"/>
        <color rgb="FF000000"/>
        <rFont val="Arial"/>
      </rPr>
      <t>1. Pengumuman Tender 15 Mei 2025. Terdapat Addendum 20 Mei 2025 karena perubahan persyaratan peralatan oleh PPK
3. Pembukaan dokumen penawaran tanggal 23 Mei 2025. Terdapat 19 penawaran yang masuk
4. Penetapan dan pengumuman tanggal 18 Juni 2025. Terdapat 1 sanggahan dan ditolak
5. BAHP disampaikan ke PPK tanggal 30 Juni 2025</t>
    </r>
  </si>
  <si>
    <r>
      <rPr>
        <b/>
        <sz val="12"/>
        <color rgb="FF000000"/>
        <rFont val="Arial"/>
      </rPr>
      <t xml:space="preserve">Kendala Libur Nasional
</t>
    </r>
    <r>
      <rPr>
        <sz val="12"/>
        <color rgb="FF000000"/>
        <rFont val="Arial"/>
      </rPr>
      <t xml:space="preserve">1. Libur 29 - 30 Mei (Kenaikan Isa Almasih) (2 HK)
2. Libur 6 &amp; 9 Juni (Hari Raya Idul Adha) (2 HK)
</t>
    </r>
  </si>
  <si>
    <t>PT. Moderna Teknik Perkasa</t>
  </si>
  <si>
    <t>Foni Endah Kusumawati</t>
  </si>
  <si>
    <t>Jl. Manyar Kertoarjo III No. 93 Kel. Manyar Sabrangan Kec. Mulyorejo Kota Surabaya -Jawa Timur</t>
  </si>
  <si>
    <t>01.556.686.2-651.000</t>
  </si>
  <si>
    <t>moderna_tehnik_perkasa02@yahoo.com</t>
  </si>
  <si>
    <t>03159177930</t>
  </si>
  <si>
    <t>2.7</t>
  </si>
  <si>
    <t>Pengendali Banjir Sistem Kali Buntung dan Bandara Juanda Kabupaten Sidoarjo yang ditingkatkan (Tahap I); 0.15 Km; 0 Hektar; F; K; SYC</t>
  </si>
  <si>
    <t>Danu Rayendra Gandhi (+62 817-9320-310)</t>
  </si>
  <si>
    <t>Khairu Annisa Hariadi, S.T.,M.T
Agnesia Margaretha Gunawan, S.IAN
Rifqathin Ulya, S.H.,M.H</t>
  </si>
  <si>
    <r>
      <rPr>
        <b/>
        <sz val="12"/>
        <color rgb="FF000000"/>
        <rFont val="Arial"/>
      </rPr>
      <t xml:space="preserve">Kronologi paket pekerjaan:
</t>
    </r>
    <r>
      <rPr>
        <sz val="12"/>
        <color rgb="FF000000"/>
        <rFont val="Arial"/>
      </rPr>
      <t>1. Penerbitan SK Pokja Tanggal 9 Mei 2025;
2. Reviu Dokumen Persiapan 14 Mei 2025. Revisi dokumen persiapan PPK diterima pokja dan siap tayang tanggal 21 Mei 2025;
3. Pengumuman tender tanggal 21 Mei 2025. Pembukaan penawaran 2 Juni 2025 10.01 WIB;
4. Paparan penelitian 13 Juni 2025 dan Paparan lanjutan terkait balasan klarifikasi 20 Juni 2025;
5. Pokja berencana penetapan 23 Juni 2025 tetapi ditunda karena arahan penundaan penetapan terkait SIMPK pada 23 Juni 2025;</t>
    </r>
  </si>
  <si>
    <r>
      <rPr>
        <b/>
        <sz val="12"/>
        <color rgb="FF000000"/>
        <rFont val="Arial"/>
      </rPr>
      <t xml:space="preserve">Kendala Libur Nasional
1. Libur 29 - 30 Mei (Kenaikan Isa Almasih) (2 HK)
2. Libur 6 &amp; 9 Juni (Hari Raya Idul Adha) (2 HK)
Kendala Sistem
</t>
    </r>
    <r>
      <rPr>
        <sz val="12"/>
        <color rgb="FF000000"/>
        <rFont val="Arial"/>
      </rPr>
      <t>1. 23 - 24 Juni (Arahan menunda penetapan terkait SIMPK, rapat SIMPK dengan pusat 24 Juni)</t>
    </r>
    <r>
      <rPr>
        <b/>
        <sz val="12"/>
        <color rgb="FF000000"/>
        <rFont val="Arial"/>
      </rPr>
      <t xml:space="preserve"> (2 HK)
</t>
    </r>
    <r>
      <rPr>
        <sz val="12"/>
        <color rgb="FF000000"/>
        <rFont val="Arial"/>
      </rPr>
      <t>2. 25 Juni - 6 Juli (Surat No. PB 0201-Kj/410 tgl 25 Juni 2025 Penyesuaian masa eval terkait SIMPK )</t>
    </r>
    <r>
      <rPr>
        <b/>
        <sz val="12"/>
        <color rgb="FF000000"/>
        <rFont val="Arial"/>
      </rPr>
      <t xml:space="preserve"> (12HK)
</t>
    </r>
    <r>
      <rPr>
        <sz val="12"/>
        <color rgb="FF000000"/>
        <rFont val="Arial"/>
      </rPr>
      <t xml:space="preserve">3. 7 Juli - 11 Juli (Surat No. 0201-Kj/441 tgl 7 Juli 2025 Penyesuaian Lanjutan masa eval terkait SIMPK) </t>
    </r>
    <r>
      <rPr>
        <b/>
        <sz val="12"/>
        <color rgb="FF000000"/>
        <rFont val="Arial"/>
      </rPr>
      <t xml:space="preserve">(5HK)
4. </t>
    </r>
    <r>
      <rPr>
        <sz val="12"/>
        <color rgb="FF000000"/>
        <rFont val="Arial"/>
      </rPr>
      <t>12 Juli - 15 Juli (Menunggu perbaikan aplikasi SIMPK menyesuaikan ketentuan dalam surat Dirjen BK 0301-DK/875 tgl 8 Juli 2025 Hal Penjelasan Proses Validasi Peralatan pada SIMPK)--&gt; aplikasi selesai bisa divalidasi per kapasitas tanggal 15 Juli 2025</t>
    </r>
    <r>
      <rPr>
        <b/>
        <sz val="12"/>
        <color rgb="FF000000"/>
        <rFont val="Arial"/>
      </rPr>
      <t xml:space="preserve"> (4 HK)
Proses Klarifikasi
</t>
    </r>
    <r>
      <rPr>
        <sz val="12"/>
        <color rgb="FF000000"/>
        <rFont val="Arial"/>
      </rPr>
      <t>1. Klarifikasi terkait SIMPK (Tgl surat klarifikasi 16 Juni, Tgl surat balasan 19 Juni, surat diterima pokja tgl 20 Juni</t>
    </r>
    <r>
      <rPr>
        <b/>
        <sz val="12"/>
        <color rgb="FF000000"/>
        <rFont val="Arial"/>
      </rPr>
      <t xml:space="preserve"> (5HK)</t>
    </r>
  </si>
  <si>
    <t>PT. JAYA ETIKA BETON</t>
  </si>
  <si>
    <t xml:space="preserve">	Jl.Ketintang Baru Selatan VII/6 Surabaya - Surabaya (Kota) - Jawa Timur</t>
  </si>
  <si>
    <t>2.8</t>
  </si>
  <si>
    <t>Rehabilitasi Jaringan Irigasi DI Delta Brantas; 6 km; 400 hektar; F; K; SYC</t>
  </si>
  <si>
    <t>Fadlila Rohmadani, S.ST
Wan Achmad Reza Rinatha, ST, MT
Rani Fajar Nestiti, S.T</t>
  </si>
  <si>
    <r>
      <rPr>
        <b/>
        <sz val="12"/>
        <color rgb="FF000000"/>
        <rFont val="Arial"/>
      </rPr>
      <t xml:space="preserve">Kronologi paket pekerjaan:
</t>
    </r>
    <r>
      <rPr>
        <sz val="12"/>
        <color rgb="FF000000"/>
        <rFont val="Arial"/>
      </rPr>
      <t>1. Pembukaan penawaran 2 Juni 2025 10.01 WIB;
2. Paparan penelitian 13 Juni 2025 dan Paparan lanjutan terkait balasan klarifikasi 20 Juni 2025;
3. Pokja berencana penetapan 23 Juni 2025 tetapi terdapat arahan penundaan penetapan terkait SIMPK 23 juni 2025;
4. 24 Juni 2025 Rapat dengan Dirjen BK terkait SIMPK;
5. Surat No. PB 0201-Kj/410 tgl 25 Juni 2025 Penyesuaian masa eval terkait SIMPK (penundaan evaluasi sampai SE Dirjen terbit);
6. Surat No. 0201-Kj/441 tgl 7 Juli 2025 Penyesuaian Lanjutan masa eval terkait SIMPK (penundaan eval sampai tgl 11 Juli 2025);</t>
    </r>
  </si>
  <si>
    <r>
      <rPr>
        <b/>
        <sz val="12"/>
        <color rgb="FF000000"/>
        <rFont val="Arial"/>
      </rPr>
      <t xml:space="preserve">Kendala Libur Nasional
</t>
    </r>
    <r>
      <rPr>
        <sz val="12"/>
        <color rgb="FF000000"/>
        <rFont val="Arial"/>
      </rPr>
      <t>1. Libur 12 - 13 Mei (Waisak &amp; Cuti Bersama) (</t>
    </r>
    <r>
      <rPr>
        <b/>
        <sz val="12"/>
        <color rgb="FF000000"/>
        <rFont val="Arial"/>
      </rPr>
      <t>2 HK</t>
    </r>
    <r>
      <rPr>
        <sz val="12"/>
        <color rgb="FF000000"/>
        <rFont val="Arial"/>
      </rPr>
      <t>)
2. Libur 29 - 30 Mei (Kenaikan Isa Almasih) (</t>
    </r>
    <r>
      <rPr>
        <b/>
        <sz val="12"/>
        <color rgb="FF000000"/>
        <rFont val="Arial"/>
      </rPr>
      <t>2 HK</t>
    </r>
    <r>
      <rPr>
        <sz val="12"/>
        <color rgb="FF000000"/>
        <rFont val="Arial"/>
      </rPr>
      <t>)
3. Libur 6 &amp; 9 Juni (Hari Raya Idul Adha) (</t>
    </r>
    <r>
      <rPr>
        <b/>
        <sz val="12"/>
        <color rgb="FF000000"/>
        <rFont val="Arial"/>
      </rPr>
      <t>2 HK</t>
    </r>
    <r>
      <rPr>
        <sz val="12"/>
        <color rgb="FF000000"/>
        <rFont val="Arial"/>
      </rPr>
      <t xml:space="preserve">)
</t>
    </r>
    <r>
      <rPr>
        <b/>
        <sz val="12"/>
        <color rgb="FF000000"/>
        <rFont val="Arial"/>
      </rPr>
      <t xml:space="preserve">
Kendala Sistem
</t>
    </r>
    <r>
      <rPr>
        <sz val="12"/>
        <color rgb="FF000000"/>
        <rFont val="Arial"/>
      </rPr>
      <t>1. Klarifikasi terkait SIMPK (Tgl surat klarifikasi 16 Juni, Tgl surat balasan 19 Juni, surat diterima pokja tgl 20 Juni (4</t>
    </r>
    <r>
      <rPr>
        <b/>
        <sz val="12"/>
        <color rgb="FF000000"/>
        <rFont val="Arial"/>
      </rPr>
      <t>HK</t>
    </r>
    <r>
      <rPr>
        <sz val="12"/>
        <color rgb="FF000000"/>
        <rFont val="Arial"/>
      </rPr>
      <t>)
2. 23 - 24 Juni (Arahan menunda penetapan terkait SIMPK, rapat SIMPK dengan pusat 24 Juni) (</t>
    </r>
    <r>
      <rPr>
        <b/>
        <sz val="12"/>
        <color rgb="FF000000"/>
        <rFont val="Arial"/>
      </rPr>
      <t>2 HK</t>
    </r>
    <r>
      <rPr>
        <sz val="12"/>
        <color rgb="FF000000"/>
        <rFont val="Arial"/>
      </rPr>
      <t>)
3. 25 Juni - 6 Juli (Surat No. PB 0201-Kj/410 tgl 25 Juni 2025 Penyesuaian masa eval terkait SIMPK ) (</t>
    </r>
    <r>
      <rPr>
        <b/>
        <sz val="12"/>
        <color rgb="FF000000"/>
        <rFont val="Arial"/>
      </rPr>
      <t>12HK</t>
    </r>
    <r>
      <rPr>
        <sz val="12"/>
        <color rgb="FF000000"/>
        <rFont val="Arial"/>
      </rPr>
      <t>)
4. 7 Juli - 11 Juli (Surat No. 0201-Kj/441 tgl 7 Juli 2025 Penyesuaian Lanjutan masa eval terkait SIMPK) (</t>
    </r>
    <r>
      <rPr>
        <b/>
        <sz val="12"/>
        <color rgb="FF000000"/>
        <rFont val="Arial"/>
      </rPr>
      <t>5HK</t>
    </r>
    <r>
      <rPr>
        <sz val="12"/>
        <color rgb="FF000000"/>
        <rFont val="Arial"/>
      </rPr>
      <t>)</t>
    </r>
  </si>
  <si>
    <t>PT. TITIS</t>
  </si>
  <si>
    <t>JL. SIDOSERMO PDK V A No. 21 SURABAYA - Surabaya (Kota) - Jawa Timur</t>
  </si>
  <si>
    <t xml:space="preserve">01.121.865.8-618.000
</t>
  </si>
  <si>
    <t>2.9</t>
  </si>
  <si>
    <t>Pembangunan Pengaman Pantai Kab. Bangkalan; 0.05 Km; 1 Hektar; F; K; SYC</t>
  </si>
  <si>
    <t>MOHAMAD MUCHLISIN MAHZUM, ST., MT (+62 822-3218-1115)</t>
  </si>
  <si>
    <r>
      <rPr>
        <b/>
        <sz val="12"/>
        <color rgb="FF000000"/>
        <rFont val="Arial"/>
      </rPr>
      <t xml:space="preserve">Kronologi paket pekerjaan (TENDER PERTAMA):
</t>
    </r>
    <r>
      <rPr>
        <sz val="12"/>
        <color rgb="FF000000"/>
        <rFont val="Arial"/>
      </rPr>
      <t>1. Penerbitan SK Pokja Tanggal 19 Mei 2025 dan Reviu Dokumen Persiapan Tanggal 21 Mei 2025. Revisi dokumen persiapan PPK diterima pokja dan lengkap siap tayang tanggal 23 Mei 2025
2. Pengumuman tender tanggal 23 Mei 2025 16:00 dan Pembukaan penawaran 4 Juni 2025 09:01;
3. Paparan penelitian (1) 19 Juni 2025 09.00;
4. Klarifikasi terkait SIMPK ke Dir KSDK 23 Juni 2025 dan Surat balasan klarifikasi diterima pokja tgl 25 Juni 2025;
5. Klarifikasi lanjutan terkait SIMPK ke Dir KSDK 26 Juni 2025 dan Surat balasan klarifikasi diterima pokja tgl 11 Juli 2025;
6. Paparan lanjutan terkait balasan klarifikasi (2) 14 Juli 2025;
7. Rencana awal penetapan pemenang tanggal 26 Juni 2025 tetapi terdapat arahan penundaan penetapan 23 Juni 2025</t>
    </r>
  </si>
  <si>
    <r>
      <rPr>
        <b/>
        <sz val="12"/>
        <color rgb="FF000000"/>
        <rFont val="Arial"/>
      </rPr>
      <t xml:space="preserve">KENDALA LIBUR NASIONAL
</t>
    </r>
    <r>
      <rPr>
        <sz val="12"/>
        <color rgb="FF000000"/>
        <rFont val="Arial"/>
      </rPr>
      <t xml:space="preserve">Tidak ada
</t>
    </r>
    <r>
      <rPr>
        <b/>
        <sz val="12"/>
        <color rgb="FF000000"/>
        <rFont val="Arial"/>
      </rPr>
      <t xml:space="preserve">
KENDALA SISTEM
</t>
    </r>
    <r>
      <rPr>
        <sz val="12"/>
        <color rgb="FF000000"/>
        <rFont val="Arial"/>
      </rPr>
      <t xml:space="preserve">Tidak Ada
</t>
    </r>
    <r>
      <rPr>
        <b/>
        <sz val="12"/>
        <color rgb="FF000000"/>
        <rFont val="Arial"/>
      </rPr>
      <t xml:space="preserve">
KENDALA PROSES KLARIFIKASI
</t>
    </r>
    <r>
      <rPr>
        <sz val="12"/>
        <color rgb="FF000000"/>
        <rFont val="Arial"/>
      </rPr>
      <t>Belum Ada proses klarifikasi</t>
    </r>
  </si>
  <si>
    <t>PT. PESONA SAKTI INDONESIA</t>
  </si>
  <si>
    <t>Jl. Gayungsari Barat III No. 92, Kelurahan Gayungan, Kecamatan Gayungan, Kota Surabaya - Surabaya (Kota) - Jawa Timur</t>
  </si>
  <si>
    <t>61.074.196.9-644.000</t>
  </si>
  <si>
    <t>pesonasaktiindonesia@gmail.com</t>
  </si>
  <si>
    <t>087723310144</t>
  </si>
  <si>
    <t>2.10</t>
  </si>
  <si>
    <t>Peningkatan/Perkuatan Tanggul Penahan Lumpur; Kab. Sidoarjo; Jawa Timur; 1 km; 1 km; F; K; SYC</t>
  </si>
  <si>
    <t>Anton Winarto Putro, ST, MPSDA</t>
  </si>
  <si>
    <t>Fadlila Rohmadani, S.ST
Daffah Ulfi Rahmatillah,SH
Wan Achmad Reza Rinatha, ST, MT</t>
  </si>
  <si>
    <r>
      <rPr>
        <b/>
        <sz val="12"/>
        <color rgb="FF000000"/>
        <rFont val="Arial"/>
      </rPr>
      <t xml:space="preserve">Kronologi paket pekerjaan:
</t>
    </r>
    <r>
      <rPr>
        <sz val="12"/>
        <color rgb="FF000000"/>
        <rFont val="Arial"/>
      </rPr>
      <t>1. Penerbitan SK Pokja Tanggal 28 Mei 2025;
2. Reviu Dokumen Persiapan 4 Juni 2025. Revisi dokumen persiapan PPK diterima pokja dan lengkap siap tayang 5 Juni 2025;
3. Pengumuman tender tanggal 5 Juni 2025 pukul 16.00 WIB dan Pembukaan penawaran 16 Juni 2025 pukul 08.01 WIB;
4. 23 Juni 2025 arahan penundaan penetapan terkait SIMPK dan 24 Juni 2025 Rapat dengan Dirjen BK terkait SIMPK;
5. Penundaan Evaluasi Sampai SE Dirjen terkait SIMPK Terbit berdasarkan Surat No. PB 0201-Kj/410 tgl 25 Juni 2025, terkendala tgl 2-6 Juli 2025 dan Penundaan masa evaluasi sd tgl 11 Juli 2025 berdasarkan Surat No. 0201-Kj/441 tgl 7 Juli 2025 hal Penyesuaian Lanjutan masa eval terkait SIMPK, terkendala 7-8 Juli 2025
6. Perbaikan dan pengembangan aplikasi SIMPK setelah SE terbit tgl 8-15 Juli 2025
7. Pokja melanjutkan evaluasi dan melakukan Paparan kepada tim peneliti tanggal 14 Juli 2025;
8. Klarifikasi peralatan terkait SIMPK ke Pengampu SIMPK (surat tanggal 24 Juli 2025) dijawab tanggal 6 Agustus 2025
9. 7 Agustus 2025, klarifikasi lanjutan SIMPK melalui zoom dan mendapatkan jawaban terkait kronologi alat 11 Agustus 2025
10. Penetapan Pemenang tanggal 13 Agustus 2025. Masa Sanggah mulai 13 Agustus 2025 15:31 sampai 19 Agustus 2025 07:30. Terdapat 2 sanggahan pada paket ini. Jawaban sanggah Kamis 21 Agustus 2025. Masa sanggah banding sampai 26 Agustus 2025</t>
    </r>
  </si>
  <si>
    <r>
      <rPr>
        <b/>
        <sz val="12"/>
        <color rgb="FF000000"/>
        <rFont val="Arial"/>
      </rPr>
      <t xml:space="preserve">KENDALA LIBUR NASIONAL
</t>
    </r>
    <r>
      <rPr>
        <sz val="12"/>
        <color rgb="FF000000"/>
        <rFont val="Arial"/>
      </rPr>
      <t>1. Libur 6 &amp; 9 Juni (Hari Raya Idul Adha) (</t>
    </r>
    <r>
      <rPr>
        <b/>
        <sz val="12"/>
        <color rgb="FF000000"/>
        <rFont val="Arial"/>
      </rPr>
      <t>2 HK</t>
    </r>
    <r>
      <rPr>
        <sz val="12"/>
        <color rgb="FF000000"/>
        <rFont val="Arial"/>
      </rPr>
      <t xml:space="preserve">)
</t>
    </r>
    <r>
      <rPr>
        <b/>
        <sz val="12"/>
        <color rgb="FF000000"/>
        <rFont val="Arial"/>
      </rPr>
      <t xml:space="preserve">KENDALA SISTEM
</t>
    </r>
    <r>
      <rPr>
        <sz val="12"/>
        <color rgb="FF000000"/>
        <rFont val="Arial"/>
      </rPr>
      <t>2. 23 - 24 Juni (Arahan menunda penetapan terkait SIMPK, rapat SIMPK dengan pusat 24 Juni) (</t>
    </r>
    <r>
      <rPr>
        <b/>
        <sz val="12"/>
        <color rgb="FF000000"/>
        <rFont val="Arial"/>
      </rPr>
      <t>2 HK</t>
    </r>
    <r>
      <rPr>
        <sz val="12"/>
        <color rgb="FF000000"/>
        <rFont val="Arial"/>
      </rPr>
      <t>)
3. 25 Juni - 6 Juli (Surat No. PB 0201-Kj/410 tgl 25 Juni 2025 Penyesuaian masa eval terkait SIMPK ) (</t>
    </r>
    <r>
      <rPr>
        <b/>
        <sz val="12"/>
        <color rgb="FF000000"/>
        <rFont val="Arial"/>
      </rPr>
      <t>12HK</t>
    </r>
    <r>
      <rPr>
        <sz val="12"/>
        <color rgb="FF000000"/>
        <rFont val="Arial"/>
      </rPr>
      <t>)
4. 7 Juli - 11 Juli (Surat No. 0201-Kj/441 tgl 7 Juli 2025 Penyesuaian Lanjutan masa eval terkait SIMPK) (</t>
    </r>
    <r>
      <rPr>
        <b/>
        <sz val="12"/>
        <color rgb="FF000000"/>
        <rFont val="Arial"/>
      </rPr>
      <t>5HK</t>
    </r>
    <r>
      <rPr>
        <sz val="12"/>
        <color rgb="FF000000"/>
        <rFont val="Arial"/>
      </rPr>
      <t xml:space="preserve">)
5. 12 Juli - 15 Juli (Menunggu perbaikan aplikasi SIMPK menyesuaikan ketentuan dalam surat Dirjen BK 0301-DK/875 tgl 8 Juli 2025 Hal Penjelasan Proses Validasi Peralatan pada SIMPK) </t>
    </r>
    <r>
      <rPr>
        <b/>
        <sz val="12"/>
        <color rgb="FF000000"/>
        <rFont val="Arial"/>
      </rPr>
      <t xml:space="preserve">(4HK)
KENDALA KLARIFIKASI
</t>
    </r>
    <r>
      <rPr>
        <sz val="12"/>
        <color rgb="FF000000"/>
        <rFont val="Arial"/>
      </rPr>
      <t xml:space="preserve">6. Klarifikasi SIMPK ke pengampu SIMPK tanggal 24 Juli 2025 dan dibalas tanggal 6 Agustus 2025 </t>
    </r>
    <r>
      <rPr>
        <b/>
        <sz val="12"/>
        <color rgb="FF000000"/>
        <rFont val="Arial"/>
      </rPr>
      <t>(13HK)</t>
    </r>
  </si>
  <si>
    <t>PT. Bumi Palapa Perkasa</t>
  </si>
  <si>
    <t>Jl. Pandang Raya No.20 A Makassar - Makassar (Kota) - Sulawesi Selatan</t>
  </si>
  <si>
    <t xml:space="preserve">Tender </t>
  </si>
  <si>
    <t>2.11</t>
  </si>
  <si>
    <t>Rehabilitasi Jaringan Irigasi Daerah Irigasi Siman (Tahap 6)</t>
  </si>
  <si>
    <t>Fadlila Rohmadani, S.ST
Daffah Ulfi Rahmatillah,SH
Sasetyo Gilang Kusumo, SH</t>
  </si>
  <si>
    <r>
      <rPr>
        <b/>
        <sz val="12"/>
        <color rgb="FF000000"/>
        <rFont val="Arial"/>
      </rPr>
      <t xml:space="preserve">Kronologi paket pekerjaan (Tender Pertama):
</t>
    </r>
    <r>
      <rPr>
        <sz val="12"/>
        <color rgb="FF000000"/>
        <rFont val="Arial"/>
      </rPr>
      <t xml:space="preserve">1. Penerbitan SK Pokja Tanggal 2 Juni 2025
2. Reviu Dokumen Persiapan 10 Juni 2025. Revisi dokumen persiapan PPK diterima pokja dan lengkap siap tayang 13 Juni 2025
3. Pengumuman tender tanggal 13 Juni 2025 12:50 WIB dan Pembukaan penawaran 20 Juni 2025 14:01 WIB
4. Paparan penelitian 11 Juli 2025 09.00;
7. Permohonan Reviu terkait Hasil Validasi SIMPK ke Dir KSDK 15 Juli 2025 dan Surat balasan diterima pokja 18 Juli 2025;
9. Rencana awal penetapan pemenang ditunda karena arahan penundaan penetapan terkait SIMPK 23 Juni 2025
10. 24 Juni 2025 Rapat dengan Dirjen BK terkait SIMPK;
11. Surat No. PB 0201-Kj/410 tgl 25 Juni 2025 Penyesuaian masa eval terkait SIMPK (penundaan evaluasi sampai SE Dirjen terbit);
12. Surat No. 0201-Kj/441 tgl 7 Juli 2025 Penyesuaian Lanjutan masa eval terkait SIMPK (penundaan eval sampai tgl 11 Juli 2025);
13. 10 Juli 2025 Rapat Taada! Penjelasan Proses Validasi Peralatan pada SIMPK;
14. 11 Juli 2025 - 15 Juli 2025 (Menunggu perbaikan aplikasi SIMPK menyesuaikan ketentuan dalam surat Dirjen BK 0301-DK/875 tgl 8 Juli 2025 Hal Penjelasan Proses Validasi Peralatan pada SIMPK);
15. 16 Juli 2025 Penetapan Tanpa Pemenang. Terdapat 1 sanggah pada 21 Juli 2025 dan dijawab oleh pokja pada 22 Juli 2025
</t>
    </r>
  </si>
  <si>
    <r>
      <rPr>
        <b/>
        <sz val="12"/>
        <color rgb="FF000000"/>
        <rFont val="Arial"/>
      </rPr>
      <t xml:space="preserve">KENDALA LIBUR NASIONAL
</t>
    </r>
    <r>
      <rPr>
        <sz val="12"/>
        <color rgb="FF000000"/>
        <rFont val="Arial"/>
      </rPr>
      <t xml:space="preserve">Tidak ada
</t>
    </r>
    <r>
      <rPr>
        <b/>
        <sz val="12"/>
        <color rgb="FF000000"/>
        <rFont val="Arial"/>
      </rPr>
      <t xml:space="preserve">KENDALA SISTEM
</t>
    </r>
    <r>
      <rPr>
        <sz val="12"/>
        <color rgb="FF000000"/>
        <rFont val="Arial"/>
      </rPr>
      <t xml:space="preserve">Tidak Ada
</t>
    </r>
    <r>
      <rPr>
        <b/>
        <sz val="12"/>
        <color rgb="FF000000"/>
        <rFont val="Arial"/>
      </rPr>
      <t xml:space="preserve">KENDALA PROSES KLARIFIKASI
</t>
    </r>
    <r>
      <rPr>
        <sz val="12"/>
        <color rgb="FF000000"/>
        <rFont val="Arial"/>
      </rPr>
      <t xml:space="preserve">kamis, 28 Agustus 2025: permintaan SK Tim Teknis ke PPK;
jumat, 29 Agustus 2025: SK Tim Teknis diperoleh dan Pokja minta surat bukti dukung AHSP ke Peserta s/d Rabu, 3 Sept 2025.
rabu, 3 sept 2025: Pokja mendapatkan Bukti Dukung dan AHSP dari Peserta.
kamis, 4 sept 2025: EKH dilakukan melalui zoom meeting.
surat undangan EKH dari senin, 1 sept 2025 s/d kamis, 4 sept 2025
</t>
    </r>
  </si>
  <si>
    <t>PT. Rangga Ekapratama</t>
  </si>
  <si>
    <t>Montabaru Dompu - Dompu (Kab.) - Nusa Tenggara Barat</t>
  </si>
  <si>
    <t xml:space="preserve">01.220.030.9-912.000
</t>
  </si>
  <si>
    <t xml:space="preserve">rangga.ekapratama92@gmail.com
</t>
  </si>
  <si>
    <t xml:space="preserve">082147222682
</t>
  </si>
  <si>
    <t>2.12</t>
  </si>
  <si>
    <t>Pembangunan Jaringan Perpipaan (Mendukung Sebaif Grati) Kab. Pasuruan</t>
  </si>
  <si>
    <t>Antonius Lolon, SE,MT</t>
  </si>
  <si>
    <t>Daffah Ulfi Rahmatillah,SH
Rifqathin Ulya, S.H.,M.H
Rani Fajar Nestiti, S.T</t>
  </si>
  <si>
    <r>
      <rPr>
        <b/>
        <sz val="12"/>
        <color rgb="FF000000"/>
        <rFont val="Arial"/>
      </rPr>
      <t xml:space="preserve">TENDER SELESAI. KRONOLOGI PAKET :
</t>
    </r>
    <r>
      <rPr>
        <sz val="12"/>
        <color rgb="FF000000"/>
        <rFont val="Arial"/>
      </rPr>
      <t>1. Penerbitan SK Pokja Tanggal: 28 Mei 2025 (namun paket belum ada di SIPASTI karena Akun SIPASTI Kabalai gangguan)
2. Reviu Dokumen Persiapan 3 Juni 2025. Revisi dokumen persiapan PPK diterima pokja dan lengkap siap tayang 16 Juni 2025
3. Pengumuman tender tanggal 17 Juni 2025 12:00 (Rencana Jadwal pembukaan penawaran 30 Juni 2025 08:01)
4. Perubahan Jadwal Pembukaan penawaran menjadi tanggal: 2 Juli 2025 09:01 (karena Gangguan Unggah Dokumen Penawaran pada Aplikasi SPSE berdasarkan Surat Plt Direktur Sistem Pengembangan Digital LKPP nomor 12957/D.2.2/06/2025 tanggal 30 Juni 2025 21:25 maka pada tanggal 1 Juli 2025 pokja melakukan perubahan jadwal)
5. Evaluasi penawaran mulai tanggal 2 Juli 2025 10:01
6. Penundaan Evaluasi Sampai SE Dirjen terkait SIMPK Terbit berdasarkan Surat No. PB 0201-Kj/410 tgl 25 Juni 2025, terkendala tgl 2-6 Juli 2025
7. Penundaan masa evaluasi sd tgl 11 Juli 2025 berdasarkan Surat No. 0201-Kj/441 tgl 7 Juli 2025 terkait Penyesuaian Lanjutan masa eval terkait SIMPK, terkendala 7-8 Juli 2025 serta Perbaikan dan pengembangan aplikasi SIMPK setelah SE terbit tgl 8-15 Juli 2025
8. Pokja melanjutkan evaluasi dan melakukan Paparan kepada tim peneliti tanggal 22 Juli 2025;
9. Klarifikasi peralatan terkait SIMPK ke Pengampu SIMPK (surat tanggal 24 Juli 2025) dan Surat Dibalas tanggal 6 Agustus 2025
10. Masa sanggah sampai 13 Agustus 2025, terdapat 3 (tiga) sanggah dan telah dijawab pada 14 Agustus 2025. Masa sanggah banding sampai 19 Agustus 2025 pukul 10.00 WIB
11. BAHP telah diserahkan tanggal 19 Agustus 2025</t>
    </r>
  </si>
  <si>
    <r>
      <rPr>
        <b/>
        <sz val="12"/>
        <color rgb="FF000000"/>
        <rFont val="Arial"/>
      </rPr>
      <t xml:space="preserve">KENDALA LIBUR NASIONAL: </t>
    </r>
    <r>
      <rPr>
        <sz val="12"/>
        <color rgb="FF000000"/>
        <rFont val="Arial"/>
      </rPr>
      <t xml:space="preserve">Tahun Baru Islam tgl 27 Juni 2025 </t>
    </r>
    <r>
      <rPr>
        <b/>
        <sz val="12"/>
        <color rgb="FF000000"/>
        <rFont val="Arial"/>
      </rPr>
      <t>(1HK)</t>
    </r>
    <r>
      <rPr>
        <sz val="12"/>
        <color rgb="FF000000"/>
        <rFont val="Arial"/>
      </rPr>
      <t xml:space="preserve">;
</t>
    </r>
    <r>
      <rPr>
        <b/>
        <sz val="12"/>
        <color rgb="FF000000"/>
        <rFont val="Arial"/>
      </rPr>
      <t xml:space="preserve">KENDALA SISTEM
</t>
    </r>
    <r>
      <rPr>
        <sz val="12"/>
        <color rgb="FF000000"/>
        <rFont val="Arial"/>
      </rPr>
      <t xml:space="preserve">1. Gangguan Unggah Dokumen Penawaran pada Aplikasi SPSE berdasarkan Surat Plt Direktur Sistem Pengembangan Digital LKPP nomor 12957/D.2.2/06/2025 tanggal 30 Juni 2025, terkendala tgl 30 Juni 2025 - 2 Juli 2025 </t>
    </r>
    <r>
      <rPr>
        <b/>
        <sz val="12"/>
        <color rgb="FF000000"/>
        <rFont val="Arial"/>
      </rPr>
      <t xml:space="preserve"> (3HK);
</t>
    </r>
    <r>
      <rPr>
        <sz val="12"/>
        <color rgb="FF000000"/>
        <rFont val="Arial"/>
      </rPr>
      <t>2. Penundaan Evaluasi Sampai SE Dirjen terkait SIMPK Terbit berdasarkan Surat No. PB 0201-Kj/410 tgl 25 Juni 2025, terkendala tgl 2-6 Juli 2025</t>
    </r>
    <r>
      <rPr>
        <b/>
        <sz val="12"/>
        <color rgb="FF000000"/>
        <rFont val="Arial"/>
      </rPr>
      <t xml:space="preserve"> (4HK)</t>
    </r>
    <r>
      <rPr>
        <sz val="12"/>
        <color rgb="FF000000"/>
        <rFont val="Arial"/>
      </rPr>
      <t>;
3. Penundaan masa evaluasi sd tgl 11 Juli 2025 berdasarkan Surat No. 0201-Kj/441 tgl 7 Juli 2025 terkait Penyesuaian Lanjutan masa eval terkait SIMPK, terkendala 7-8 Juli 2025</t>
    </r>
    <r>
      <rPr>
        <b/>
        <sz val="12"/>
        <color rgb="FF000000"/>
        <rFont val="Arial"/>
      </rPr>
      <t xml:space="preserve"> (2HK);
</t>
    </r>
    <r>
      <rPr>
        <sz val="12"/>
        <color rgb="FF000000"/>
        <rFont val="Arial"/>
      </rPr>
      <t>4. Perbaikan dan pengembangan aplikasi SIMPK setelah SE terbit tgl 8-15 Juli 2025</t>
    </r>
    <r>
      <rPr>
        <b/>
        <sz val="12"/>
        <color rgb="FF000000"/>
        <rFont val="Arial"/>
      </rPr>
      <t xml:space="preserve"> (7HK)
</t>
    </r>
    <r>
      <rPr>
        <sz val="12"/>
        <color rgb="FF000000"/>
        <rFont val="Arial"/>
      </rPr>
      <t xml:space="preserve">Total kendala: 17 HK
</t>
    </r>
    <r>
      <rPr>
        <b/>
        <sz val="12"/>
        <color rgb="FF000000"/>
        <rFont val="Arial"/>
      </rPr>
      <t xml:space="preserve">Durasi Tayang s.d Rencana Penetapan: 43 HK - 17 HK = 26 HK 
</t>
    </r>
    <r>
      <rPr>
        <sz val="12"/>
        <color rgb="FF000000"/>
        <rFont val="Arial"/>
      </rPr>
      <t xml:space="preserve">
</t>
    </r>
    <r>
      <rPr>
        <b/>
        <sz val="12"/>
        <color rgb="FF000000"/>
        <rFont val="Arial"/>
      </rPr>
      <t xml:space="preserve">KENDALA KLARIFIKASI
</t>
    </r>
    <r>
      <rPr>
        <sz val="12"/>
        <color rgb="FF000000"/>
        <rFont val="Arial"/>
      </rPr>
      <t xml:space="preserve">Klarifikasi peralatan terkait SIMPK kepada Pengampu (surat tgl 24 Juli 2025, dijawab 6 Agustus 2025 </t>
    </r>
    <r>
      <rPr>
        <b/>
        <sz val="12"/>
        <color rgb="FF000000"/>
        <rFont val="Arial"/>
      </rPr>
      <t xml:space="preserve">(13HK)
</t>
    </r>
    <r>
      <rPr>
        <sz val="12"/>
        <color rgb="FF000000"/>
        <rFont val="Arial"/>
      </rPr>
      <t xml:space="preserve">
</t>
    </r>
    <r>
      <rPr>
        <b/>
        <sz val="12"/>
        <color rgb="FF000000"/>
        <rFont val="Arial"/>
      </rPr>
      <t>Durasi Evaluasi setelah kendala s.d. surat klarifikasi (16-24 juli 2025) = 8 HK</t>
    </r>
  </si>
  <si>
    <t>PT. PRASTAMA DUA SEMBILAN</t>
  </si>
  <si>
    <t>Tanen, Hargobinangun, Pakem, Sleman, Yogyakarta - Sleman (Kab.) - DI Yogyakarta</t>
  </si>
  <si>
    <t xml:space="preserve">74.634.105.6-542.000
</t>
  </si>
  <si>
    <t xml:space="preserve">prastamaduasembilan@yahoo.com
</t>
  </si>
  <si>
    <t xml:space="preserve">081325741408
</t>
  </si>
  <si>
    <t>2.13</t>
  </si>
  <si>
    <r>
      <rPr>
        <b/>
        <sz val="12"/>
        <color rgb="FFFF0000"/>
        <rFont val="Arial"/>
      </rPr>
      <t xml:space="preserve">MADRASAH:
</t>
    </r>
    <r>
      <rPr>
        <b/>
        <sz val="12"/>
        <color rgb="FF000000"/>
        <rFont val="Arial"/>
      </rPr>
      <t>Rehabilitasi dan Renovasi Madrasah PHTC Provinsi Jawa Timur 3</t>
    </r>
  </si>
  <si>
    <t>Feby Lorentika, ST
Dhina Tri Hendriani, SE
Elly Sulistyowati, SE
Namiratus Syarifah, S.T.
Richardo Pratama Uruilal, S.T.</t>
  </si>
  <si>
    <t>Dyah Kusumaning Putri, S.E
Sasetyo Gilang Kusumo, SH
Teddy Marza Kurniawan, S.H</t>
  </si>
  <si>
    <r>
      <rPr>
        <b/>
        <sz val="12"/>
        <color rgb="FF000000"/>
        <rFont val="Arial"/>
      </rPr>
      <t xml:space="preserve">Kronologi paket pekerjaan:
</t>
    </r>
    <r>
      <rPr>
        <sz val="12"/>
        <color rgb="FF000000"/>
        <rFont val="Arial"/>
      </rPr>
      <t>1. Penerbitan SK Pokja Tanggal 26 Juni 2025;
2. Reviu Dokumen Persiapan Tanggal 7 Juli 2025. Revisi dokumen persiapan PPK diterima pokja sampai dengan tanggal 10 Juli 2025;
    a. Terdapat informasi perubahan metode pengadaan (Tender menjadi Tender Cepat)
    b. Surat resmi dari PPK untuk perubahan metode (tanggal 16 Juli 2025)
    c. Terdapat revisi MDP Tender Cepat tanggal 23 Juli 2025
    d. Reviu Dokumen Persiapan kedua tanggal 25 Juli 2025. Revisi dokumen persiapan oleh PPK diterima Pokja dan siap tayang tanggal 28 Juli 2025
3. Pengumuman tender tanggal 29 Juli 2025 dan Pembukaan penawaran tanggal 1 Agustus 2025;
4. Penetapan dan Pengumuman 13 Agustus 2025</t>
    </r>
  </si>
  <si>
    <r>
      <rPr>
        <b/>
        <sz val="12"/>
        <color rgb="FF000000"/>
        <rFont val="Arial"/>
      </rPr>
      <t xml:space="preserve">KENDALA LIBUR NASIONAL
</t>
    </r>
    <r>
      <rPr>
        <sz val="12"/>
        <color rgb="FF000000"/>
        <rFont val="Arial"/>
      </rPr>
      <t xml:space="preserve">Tidak ada
</t>
    </r>
    <r>
      <rPr>
        <b/>
        <sz val="12"/>
        <color rgb="FF000000"/>
        <rFont val="Arial"/>
      </rPr>
      <t xml:space="preserve">
KENDALA SISTEM
</t>
    </r>
    <r>
      <rPr>
        <sz val="12"/>
        <color rgb="FF000000"/>
        <rFont val="Arial"/>
      </rPr>
      <t>1. Terdapat kendala sistem dan telah dilakukan klarifikasi ke Direktur Pengadaan berdasarkan surat Kabalai 5 Agustus 2025, dan berdasarkan Surat Dir Pengadaan Nomor: PA0106-K3/599, tgl 6 Agustus 2025, maka penetapan ditangguhkan sampai hari ini 11 Agustus 2025 (</t>
    </r>
    <r>
      <rPr>
        <b/>
        <sz val="12"/>
        <color rgb="FF000000"/>
        <rFont val="Arial"/>
      </rPr>
      <t xml:space="preserve">5HK)
KENDALA PROSES KLARIFIKASI
</t>
    </r>
    <r>
      <rPr>
        <sz val="12"/>
        <color rgb="FF000000"/>
        <rFont val="Arial"/>
      </rPr>
      <t>Belum Ada proses klarifikasi</t>
    </r>
  </si>
  <si>
    <t>PT. WIRA KARSA KONSTRUKSI</t>
  </si>
  <si>
    <t>JL. RSI Faisal XII No. 60 Makassar - Makassar (Kota) - Sulawesi Selatan</t>
  </si>
  <si>
    <t>Tender Cepat</t>
  </si>
  <si>
    <t>2.14</t>
  </si>
  <si>
    <r>
      <rPr>
        <b/>
        <sz val="12"/>
        <color rgb="FFFF0000"/>
        <rFont val="Arial"/>
      </rPr>
      <t xml:space="preserve">PENETAPAN PA:
</t>
    </r>
    <r>
      <rPr>
        <b/>
        <sz val="12"/>
        <color rgb="FF000000"/>
        <rFont val="Arial"/>
      </rPr>
      <t>Preservasi Jalan dan Jembatan Lohgung - Sadang</t>
    </r>
  </si>
  <si>
    <t>Yudi P (+62 822-4579-4511)</t>
  </si>
  <si>
    <t>Feby Lorentika, ST
Maryan Amin, SE
Dhina Tri Hendriani, SE
Ahnaf Dzaky Rheinanda, SH
Ardhi Wisnu Nugraha, ST</t>
  </si>
  <si>
    <t>Fadlila Rohmadani, ST
Daffah Ulfi Rahmatillah, SH
Dyah Kusumaning Putri, SE</t>
  </si>
  <si>
    <t>Tidak Ada</t>
  </si>
  <si>
    <r>
      <rPr>
        <b/>
        <sz val="12"/>
        <color rgb="FF3C7D22"/>
        <rFont val="Arial"/>
      </rPr>
      <t xml:space="preserve">TENDER SELESAI. KRONOLOGI PAKET:
</t>
    </r>
    <r>
      <rPr>
        <b/>
        <sz val="12"/>
        <color rgb="FF000000"/>
        <rFont val="Arial"/>
      </rPr>
      <t xml:space="preserve">1. </t>
    </r>
    <r>
      <rPr>
        <sz val="12"/>
        <color rgb="FF000000"/>
        <rFont val="Arial"/>
      </rPr>
      <t>Paket diterima BP2JK, Kamis 31 Juli 2025 dan dinyatakan lengkap. SK Pokja ditetapkan tanggal 31 Juli 2025
2. Paket selesai direvisi oleh PPK dan tayang pada tanggal 5 Agustus 2025
3. Pembukaan dokumen penawaran 15 Agustus 2025, dan evaluasi penawaran sampai 8 September 2025
4. Klarifikasi metode pelaksanaan, kirim permohonan tim teknis 1 September 2025 dan SK Tim Teknis dari Unor BM diterima 8 September 2025. Rencana evaluasi Penawaran sampai 8 September 2025, tetapi pokja membutuhkan waktu klarifikasi ke Penjual alat dan klarifikasi metode kerja ke tim teknis. Penelitian terhadap jawaban klarifikasi teknis dari tim teknis ttg metode pelaksanaan, tgl. 12 September 2025. Penelitian lanjutan 19 September 2025
5. Waktu evaluasi mundur sampai 24 September 2025. 
6. Penyampaian data ke TPM 29 September 2025 melalui link share point TPM. Dinyatakan lengkap oleh TPM 2 Oktober 2025 dan Pokja telah mengirim surat usulan penetapan ke Menteri PU (surat tanda terima lengkap oleh TPM belum diterima pokja)
7. Surat Penetapan menteri tgl 6 November 2025.
8. Penetapan pemenang 7 November 2025 dan Masa sanggah sampai 12 November 2025 14:30. Kirim BAHP 13 November 2025</t>
    </r>
  </si>
  <si>
    <r>
      <rPr>
        <b/>
        <sz val="12"/>
        <color rgb="FF000000"/>
        <rFont val="Arial"/>
      </rPr>
      <t xml:space="preserve">KENDALA LIBUR NASIONAL
</t>
    </r>
    <r>
      <rPr>
        <sz val="12"/>
        <color rgb="FF000000"/>
        <rFont val="Arial"/>
      </rPr>
      <t xml:space="preserve">Tidak ada
</t>
    </r>
    <r>
      <rPr>
        <b/>
        <sz val="12"/>
        <color rgb="FF000000"/>
        <rFont val="Arial"/>
      </rPr>
      <t xml:space="preserve">
KENDALA SISTEM
</t>
    </r>
    <r>
      <rPr>
        <sz val="12"/>
        <color rgb="FF000000"/>
        <rFont val="Arial"/>
      </rPr>
      <t xml:space="preserve">1. Penyampaian data melalui link sharepoint dan dinyatakan lengkap oleh Pokja 29 September 2025. Data dinyatakan lengkap oleh TPM 2 Oktober 2025 </t>
    </r>
    <r>
      <rPr>
        <b/>
        <sz val="12"/>
        <color rgb="FF000000"/>
        <rFont val="Arial"/>
      </rPr>
      <t xml:space="preserve">(3 HK)
KENDALA PROSES KLARIFIKASI
</t>
    </r>
    <r>
      <rPr>
        <sz val="12"/>
        <color rgb="FF000000"/>
        <rFont val="Arial"/>
      </rPr>
      <t xml:space="preserve">1. Klarifikasi Alat (surat permohonan tanggal 29 Agustus, jabawan klarifikai tanggal 2 September) </t>
    </r>
    <r>
      <rPr>
        <b/>
        <sz val="12"/>
        <color rgb="FF000000"/>
        <rFont val="Arial"/>
      </rPr>
      <t xml:space="preserve">(4 HK)
</t>
    </r>
    <r>
      <rPr>
        <sz val="12"/>
        <color rgb="FF000000"/>
        <rFont val="Arial"/>
      </rPr>
      <t xml:space="preserve">2. Klarifikasi Alat (surat permohonan tanggal 4 September, jabawan klarifikai tanggal 9 September) </t>
    </r>
    <r>
      <rPr>
        <b/>
        <sz val="12"/>
        <color rgb="FF000000"/>
        <rFont val="Arial"/>
      </rPr>
      <t xml:space="preserve">(5 HK)
</t>
    </r>
    <r>
      <rPr>
        <sz val="12"/>
        <color rgb="FF000000"/>
        <rFont val="Arial"/>
      </rPr>
      <t xml:space="preserve">3. Klarifikasi Alat (surat permohonan tanggal 9 September, jabawan klarifikai tanggal 12 September) </t>
    </r>
    <r>
      <rPr>
        <b/>
        <sz val="12"/>
        <color rgb="FF000000"/>
        <rFont val="Arial"/>
      </rPr>
      <t xml:space="preserve">(3HK)
4. Klarifikasi Tim Teknis  (Permohonan tanggal 12 September 2025, klarifikai tanggal 15 September) (3 HK)
</t>
    </r>
    <r>
      <rPr>
        <sz val="12"/>
        <color rgb="FF000000"/>
        <rFont val="Arial"/>
      </rPr>
      <t xml:space="preserve">5. Menunggu penetapan PA (2 Oktober - 6 November 2025) </t>
    </r>
    <r>
      <rPr>
        <b/>
        <sz val="12"/>
        <color rgb="FF000000"/>
        <rFont val="Arial"/>
      </rPr>
      <t>(35 HK)</t>
    </r>
  </si>
  <si>
    <t>PT. ADITYA SINAR PRATAMA</t>
  </si>
  <si>
    <t>JALAN BAYPAS IDA BAGUS MANTRA NOMOR 225, BANJAR DINAS MINGGIR, , Kab. Klungkung, Provinsi Bali 80716 - Klungkung (Kab.) - Bali</t>
  </si>
  <si>
    <t>02.480.213.4-904.000</t>
  </si>
  <si>
    <t xml:space="preserve">ptadityasinarpratama1990@gmail.com
</t>
  </si>
  <si>
    <t>087761298320</t>
  </si>
  <si>
    <t>2.15</t>
  </si>
  <si>
    <r>
      <t xml:space="preserve">OPLAH:
</t>
    </r>
    <r>
      <rPr>
        <b/>
        <sz val="12"/>
        <color rgb="FF000000"/>
        <rFont val="Arial"/>
      </rPr>
      <t>Rehabilitasi Jaringan Utama DI Kewenangan Pemerintah Daerah di Wilayah BBWS Brantas</t>
    </r>
  </si>
  <si>
    <t>Feby Lorentika, ST
Elly Sulistyowati, SE
Farah Rosa Bela Asnawi, S.Ars
Dahniar Achlis, S.Ars.
Lalu Yodit Dwi Anggara, S.Ars.</t>
  </si>
  <si>
    <t>Wan Achmad Reza Rinatha, ST, MT
Arie Ardiansyah, SH
Rifqathin Ulya, S.H.,M.H</t>
  </si>
  <si>
    <r>
      <rPr>
        <b/>
        <sz val="12"/>
        <color rgb="FF000000"/>
        <rFont val="Arial"/>
      </rPr>
      <t xml:space="preserve">Tender Selesai. Kronologi Paket:
</t>
    </r>
    <r>
      <rPr>
        <sz val="12"/>
        <color rgb="FF000000"/>
        <rFont val="Arial"/>
      </rPr>
      <t>1. Paket masuk ke BP2JK Jatim Tanggal 11 Agustus dalam konsisi untuk kelengkapan dokumen lelang masih belum lengkap ada perbaikan pada KAK, HPS dan juga belum membuat paket pada LPSE.
2. Paket sudah terbit SK pokja tanggal 13 Agustus 2025 dan sudah diaktifkan penugasan di  LPSE pokja
3. Tayang di LPSE 14 Agustus 2025. upload dokumen penawaran sampai 19 Agustus 2025 08:30
4. Evaluasi penawaran tanggal 19 Agustus 2025, Pembuktian kualifikasi 20 Agustus dan klarifikasi negosiasi 21 Agustus 2025
5. Kontrak dilaksanakan 2 September 2025</t>
    </r>
  </si>
  <si>
    <r>
      <rPr>
        <b/>
        <sz val="12"/>
        <color rgb="FF000000"/>
        <rFont val="Arial"/>
      </rPr>
      <t xml:space="preserve">KENDALA LIBUR NASIONAL: </t>
    </r>
    <r>
      <rPr>
        <sz val="12"/>
        <color rgb="FF000000"/>
        <rFont val="Arial"/>
      </rPr>
      <t xml:space="preserve">Tidak ada
</t>
    </r>
    <r>
      <rPr>
        <b/>
        <sz val="12"/>
        <color rgb="FF000000"/>
        <rFont val="Arial"/>
      </rPr>
      <t xml:space="preserve">
KENDALA SISTEM: </t>
    </r>
    <r>
      <rPr>
        <sz val="12"/>
        <color rgb="FF000000"/>
        <rFont val="Arial"/>
      </rPr>
      <t xml:space="preserve">Tidak Ada
</t>
    </r>
    <r>
      <rPr>
        <b/>
        <sz val="12"/>
        <color rgb="FF000000"/>
        <rFont val="Arial"/>
      </rPr>
      <t xml:space="preserve">
KENDALA PROSES KLARIFIKASI: </t>
    </r>
    <r>
      <rPr>
        <sz val="12"/>
        <color rgb="FF000000"/>
        <rFont val="Arial"/>
      </rPr>
      <t>Belum Ada proses klarifikasi</t>
    </r>
  </si>
  <si>
    <t>PT. PEMBANGUNAN PERUMAHAN</t>
  </si>
  <si>
    <t xml:space="preserve">	Jl Letjend TB Simatupang No 57 Pasar Rebo - Jakarta Timur (Kota) - DKI Jakarta</t>
  </si>
  <si>
    <t>2.16</t>
  </si>
  <si>
    <t>Pelebaran Jalan Menambah Lajur Sadang (Bts. Kab. Lamongan) - Bts. Kota Gresik Tahap II</t>
  </si>
  <si>
    <t>Feby Lorentika, ST
Risa Monika, S.IP
Ahnaf Dzaky Rheinanda, S.H.
Ardhi Wisnu Nugraha, S.T.
Dahniar Achlis, S.Ars.</t>
  </si>
  <si>
    <t>Arie Ardiansyah, SH
Wan Achmad Reza Rinatha, ST, MT
Daffah Ulfi Rahmatillah,SH</t>
  </si>
  <si>
    <r>
      <rPr>
        <b/>
        <sz val="12"/>
        <color rgb="FFFF0000"/>
        <rFont val="Arial"/>
      </rPr>
      <t xml:space="preserve">Penolakan hasil penetapan pemenang oleh PPK berdasarkan surat PPK No: BM 0402 – Bbpjn5.10.3/2763, 6 Oktober 2025, perihal: Penolakan Penetapan Pemenang. Akan dilaksanakan rapat bersama PPK Rabu, 8 Oktober 2025
</t>
    </r>
    <r>
      <rPr>
        <b/>
        <sz val="12"/>
        <color rgb="FF000000"/>
        <rFont val="Arial"/>
      </rPr>
      <t xml:space="preserve">EVALUASI ULANG
Tahap saat ini: SPPBJ sampai 12 Desember 2025 16.00 WIB
TENDER SELESAI. KRONOLOGI PAKET :
1. </t>
    </r>
    <r>
      <rPr>
        <sz val="12"/>
        <color rgb="FF000000"/>
        <rFont val="Arial"/>
      </rPr>
      <t>Paket sudah ditugaskan diaktifkan di lpse pokja dan sipasti. Paket dinyatakan lengkap tanggal 14 Agustus 2025 dan SK pokja terbit 14 Agustus 2025
2. Reviu Dok Persiapan tanggal 15 Agustus 2025, terdapat revisi dokumen oleh PPK dan dijanjikan selesai tanggal 15 Agustus 2025 sore. Pokja akan menayangkan jika revisi dokumen persiapan sudah sesuai.
3. Upload dokumen penawaran sampai 22 Agustus 2025
4. Evaluasi Penawaran sampai 18 September 2025
5. Klarifikasi metode kerja ke tim teknis dibalas 12 September 2025, sehingga penelitian dilaksanakan 15 September 2025
6. Masa Sanggah sampai 23 September 2025 13:30 WIB. Terdapat 1 sanggahan yang dijawab 24 September 2025 sehingga Masa Sanggah Banding sampai 29 september jam 16.00 WIB. BAHP telah diserahkan ke PPK 1 Oktober 2025
7. Proses evaluasi ulang sampai 21 November 2025
8. Evaluasi penawaran sampai 21 November 2025 11:00. Terdapat 12 penawaran. Rencana penetapan pemenang mundur 26 November 2025 karena pokja pemilihan membutuhkan waktu klarifikasi personil berdasarkan surat KPA terkait penolakan ppk dan karena terdapat peserta yang tidak memperpanjang Jaminan Penawaran
9. Masa sanggah sampai 1 Desember 2025 16:00 WIB. terdapat 2 sanggahan. Masa sanggah banding sampai 8 Desember 2025 pukul 12.30 WIB.</t>
    </r>
  </si>
  <si>
    <r>
      <rPr>
        <b/>
        <sz val="12"/>
        <color rgb="FF000000"/>
        <rFont val="Arial"/>
      </rPr>
      <t xml:space="preserve">KENDALA LIBUR NASIONAL
</t>
    </r>
    <r>
      <rPr>
        <sz val="12"/>
        <color rgb="FF000000"/>
        <rFont val="Arial"/>
      </rPr>
      <t xml:space="preserve">Tidak ada
</t>
    </r>
    <r>
      <rPr>
        <b/>
        <sz val="12"/>
        <color rgb="FF000000"/>
        <rFont val="Arial"/>
      </rPr>
      <t xml:space="preserve">
KENDALA SISTEM
</t>
    </r>
    <r>
      <rPr>
        <sz val="12"/>
        <color rgb="FF000000"/>
        <rFont val="Arial"/>
      </rPr>
      <t xml:space="preserve">Tidak Ada
</t>
    </r>
    <r>
      <rPr>
        <b/>
        <sz val="12"/>
        <color rgb="FF000000"/>
        <rFont val="Arial"/>
      </rPr>
      <t xml:space="preserve">
KENDALA PROSES KLARIFIKASI
</t>
    </r>
    <r>
      <rPr>
        <sz val="12"/>
        <color rgb="FF000000"/>
        <rFont val="Arial"/>
      </rPr>
      <t>1. Klarifikasi kebenaran surat sewa dan kapasitas peralatan untuk 2 peserta (Surat dikirim tanggal 4 September, dibalas 8 September (5 HK)
2. Klarifikasi terkait metode kerja kepada Tim Teknis dari KPA (surat dikirim tanggal 10 September, dibalas 12 September 2025) (3 HK)
3. Penetapan awal 18 September 2025, PA menyetujui penolakan PPK dan mulai evaluasi ulang 23 Oktober 2025 (34 HK)
4. Klarifikasi kebenaran referensi personel sebanyak 24 surat tujuan, surat pertama dikirim tanggal 31 Oktober dan surat terakhir dibalas 21 November (22 HK)</t>
    </r>
  </si>
  <si>
    <t>TENDER</t>
  </si>
  <si>
    <t>2.17</t>
  </si>
  <si>
    <t>Penggantian Jembatan Bokwedi</t>
  </si>
  <si>
    <t>Dwi Bagus Bawono, ST
(+62 853-8774-7646)</t>
  </si>
  <si>
    <t>Gunawan Arif Wibowo, S.AP., M.T
Elly Sulistyowati, SE
Dhina Tri Hendriani, SE
Farah Rosa Bela Asnawi, S.Ars
Lalu Yodit Dwi Anggara, S.Ars.</t>
  </si>
  <si>
    <t>Dyah Kusumaning Putri, S.E
Daffah Ulfi Rahmatillah,SH
Teddy Marza Kurniawan, S.H</t>
  </si>
  <si>
    <r>
      <rPr>
        <b/>
        <sz val="12"/>
        <color rgb="FF000000"/>
        <rFont val="Arial"/>
      </rPr>
      <t xml:space="preserve">EVALUASI ULANG: </t>
    </r>
    <r>
      <rPr>
        <b/>
        <sz val="12"/>
        <color rgb="FFFF0000"/>
        <rFont val="Arial"/>
      </rPr>
      <t xml:space="preserve">PA/KPA menyetujui penolakan oleh PPK atas hasil pemilihan
</t>
    </r>
    <r>
      <rPr>
        <b/>
        <sz val="12"/>
        <color rgb="FF000000"/>
        <rFont val="Arial"/>
      </rPr>
      <t xml:space="preserve">TENDER SELESAI. KRONOLOGI PAKET :
</t>
    </r>
    <r>
      <rPr>
        <sz val="12"/>
        <color rgb="FF000000"/>
        <rFont val="Arial"/>
      </rPr>
      <t xml:space="preserve">1.Paket sudah ditugaskan diaktifkan di lpse pokja. Paket dinyatakan lengkap tanggal 14 Agustus 2025 pukul 18.00 WIB (PPK menyampaikan paket pukul 16.15 WIB)
2. SK terbit 15 Agustus 2025
3. Reviu Dok Persiapan 19 Agustus 2025
4. Tayang tanggal 20 Agustus 2025, dan Upload Dokumen Penawaran sampai tanggal 29 Agustus 2025, pukul 10:00 WIB
5. Evaluasi Penawaran sampai 12 September 2025
6. Sudah dilakukan penelitian pada tanggal 10 September 2025 
7. Penetapan mundur sampai 24 September 2025 karena terdapat informasi baru bahwa SKP calon pemenang kurang sehingga dilakukan klarifikasi tambahan dan pembuktian ulang tanggal 23 September 2025
8. Penetapan 24 September 2025 dan Masa sanggah sampai 29 September 2025 13:00 WIB. Tidak ada sanggah pada paket ini
9. Terdapat penolakan PPK dan dinyatakan evaluasi ulang oleh KPA atas rekomendasi TPPR (Nota Dinas TTPR tanggal 17 Oktober 2025, Surat KPA PJN III Jatim rekomendasi evaluasi ulang tanggal 23 Oktober 2025, Memo dinas Kabalai BP2JK Jatim rekomendasi evaluasi ulang tanggal 23 Oktober 2025.
</t>
    </r>
    <r>
      <rPr>
        <b/>
        <sz val="12"/>
        <color rgb="FF000000"/>
        <rFont val="Arial"/>
      </rPr>
      <t xml:space="preserve">EVALUASI ULANG:
</t>
    </r>
    <r>
      <rPr>
        <sz val="12"/>
        <color rgb="FF000000"/>
        <rFont val="Arial"/>
      </rPr>
      <t>1. Evaluasi penawaran sampai 21 November 2025 15:00 WIB. Rencana penetapan pemenang berubah menjadi 21 November 2025 karena pokja pemilihan membutuhkan waktu klarifikasi personil berdasarkan surat KPA terkait penolakan ppk
2. Penetapan dan pengumuman pemenang 19 November 2025 14:01 WIB. Masa sanggah sampai 24 November 15:50 WIB. Tidak ada sanggah pada paket ini.
3. SPPBJ 26 November 2025</t>
    </r>
  </si>
  <si>
    <r>
      <rPr>
        <b/>
        <sz val="12"/>
        <color rgb="FF000000"/>
        <rFont val="Arial"/>
      </rPr>
      <t xml:space="preserve">KENDALA LIBUR NASIONAL: </t>
    </r>
    <r>
      <rPr>
        <sz val="12"/>
        <color rgb="FF000000"/>
        <rFont val="Arial"/>
      </rPr>
      <t xml:space="preserve">Tidak ada
</t>
    </r>
    <r>
      <rPr>
        <b/>
        <sz val="12"/>
        <color rgb="FF000000"/>
        <rFont val="Arial"/>
      </rPr>
      <t xml:space="preserve">KENDALA SISTEM: </t>
    </r>
    <r>
      <rPr>
        <sz val="12"/>
        <color rgb="FF000000"/>
        <rFont val="Arial"/>
      </rPr>
      <t xml:space="preserve">Tidak Ada
</t>
    </r>
    <r>
      <rPr>
        <b/>
        <sz val="12"/>
        <color rgb="FF000000"/>
        <rFont val="Arial"/>
      </rPr>
      <t xml:space="preserve">KENDALA PROSES KLARIFIKASI
</t>
    </r>
    <r>
      <rPr>
        <sz val="12"/>
        <color rgb="FF000000"/>
        <rFont val="Arial"/>
      </rPr>
      <t xml:space="preserve">1. Klarifikasi terkait keabsahan jaminan penawaran ke penerbit jaminan (surat 11 s.d. 15 September 2025) 
2. Klarifikasi terkait peralatan utama kepada 2 peserta (surat 11 s.d. 15 September 2025)
4. Klarifikasi rencana jadwal penugasan personil dan penggunaan peralatan utama kepada PPK pemilik paket (surat disampaikan tanggal 11 September dengan batas waktu s.d. 15 September 2025)
3. Klarifikasi indikasi peralatan utama terkontrak pada PPK pengguna jasa (surat 11 September s.d. 18 September 2025) </t>
    </r>
    <r>
      <rPr>
        <b/>
        <sz val="12"/>
        <color rgb="FF000000"/>
        <rFont val="Arial"/>
      </rPr>
      <t>(8 HK)</t>
    </r>
    <r>
      <rPr>
        <sz val="12"/>
        <color rgb="FF000000"/>
        <rFont val="Arial"/>
      </rPr>
      <t>;
4. Sebelum penetapan pemenang (19 September 2025), pokja melakukan pengecekan terhadap data calon pemenang di SiKAP dengan indikasi paket terkontrak di TA 2025 sejumlah 6 paket (melebihi SKP) sehingga perlu dilakukan klarifikasi kebenaran ke peserta (surat 19 September 2025 - 23 September 2025 pukul 10:00 WIB) dan dibalas tanggal 23 September 2025)</t>
    </r>
    <r>
      <rPr>
        <b/>
        <sz val="12"/>
        <color rgb="FF000000"/>
        <rFont val="Arial"/>
      </rPr>
      <t xml:space="preserve"> (5 HK)
</t>
    </r>
    <r>
      <rPr>
        <sz val="12"/>
        <color rgb="FF000000"/>
        <rFont val="Arial"/>
      </rPr>
      <t xml:space="preserve">5. Penetapan awal 24 September 2025 dan PA menyetujui penolakan PPK dan mulai evaluasi ulang 24 Oktober 2025 </t>
    </r>
    <r>
      <rPr>
        <b/>
        <sz val="12"/>
        <color rgb="FF000000"/>
        <rFont val="Arial"/>
      </rPr>
      <t xml:space="preserve">(30 HK)
</t>
    </r>
    <r>
      <rPr>
        <sz val="12"/>
        <color rgb="FF000000"/>
        <rFont val="Arial"/>
      </rPr>
      <t>6. Klarifikasi referensi personil kepada pengguna jasa terkait pengalaman seluruh peserta yang meragukan. Surat dikirimkan tanggal 7 November 2025 - 14 November 2025 (</t>
    </r>
    <r>
      <rPr>
        <b/>
        <sz val="12"/>
        <color rgb="FF000000"/>
        <rFont val="Arial"/>
      </rPr>
      <t>8 HK</t>
    </r>
    <r>
      <rPr>
        <sz val="12"/>
        <color rgb="FF000000"/>
        <rFont val="Arial"/>
      </rPr>
      <t>)</t>
    </r>
  </si>
  <si>
    <t>2.18</t>
  </si>
  <si>
    <t>Preservasi Rehabilitasi Minor Jalan Kota Pasuruan - Probolinggo</t>
  </si>
  <si>
    <t>Feby Lorentika, ST
Risa Monika, S.IP
Maryam Amin, SE
Moh. Wildan Andhra Kusuma, S.T.
Namiratus Syarifah, S.T.</t>
  </si>
  <si>
    <t>Wan Achmad Reza Rinatha, ST, MT
Agnesia Margaretha Gunawan, S.IAN
Daffah Ulfi Rahmatillah,SH</t>
  </si>
  <si>
    <r>
      <rPr>
        <b/>
        <sz val="14"/>
        <color rgb="FF186C24"/>
        <rFont val="Arial"/>
      </rPr>
      <t xml:space="preserve">TENDER SELESAI. KRONOLOGI PAKET :
</t>
    </r>
    <r>
      <rPr>
        <sz val="12"/>
        <color rgb="FF000000"/>
        <rFont val="Arial"/>
      </rPr>
      <t>1.Paket sudah ditugaskan diaktifkan di lpse pokja. Paket dinyatakan lengkap tanggal 14 Agustus 2025 pukul 18.00 WIB (PPK menyampaikan paket pukul 16.15 WIB)
2. SK terbit 15 Agustus 2025
3. Reviu Dok Persiapan 19 Agustus 2025
4. Tayang tanggal 20 Agustus 2025, dan Upload Dokumen Penawaran sampai tanggal 29 Agustus 2025, pukul 10:00 WIB
5. Evaluasi Penawaran sampai 12 September 2025, penelitian dilakukan 9 - 10 September 2025
6. Klarifikasi peralatan ke penyedia jasa 11 - 15 September 2025.
7. Evaluasi Penawaran sampai 12 September 2025 tetapi diperlukan waktu tambahan untuk klarifikasi peralatan sampai 15 September 2025. Pembuktian kualifikasi dilakukan sampai 22 September 2025
8. Penetapan Pemenang 22 September 2025 dan Masa Sanggah sampai 29 September 2025 08:00 WIB.
9. Tidak ada sanggah pada paket ini. BAHP disampaikan 30 September 2025</t>
    </r>
  </si>
  <si>
    <r>
      <rPr>
        <b/>
        <sz val="12"/>
        <color rgb="FF000000"/>
        <rFont val="Arial"/>
      </rPr>
      <t xml:space="preserve">KENDALA LIBUR NASIONAL
</t>
    </r>
    <r>
      <rPr>
        <sz val="12"/>
        <color rgb="FF000000"/>
        <rFont val="Arial"/>
      </rPr>
      <t xml:space="preserve">Tidak ada
</t>
    </r>
    <r>
      <rPr>
        <b/>
        <sz val="12"/>
        <color rgb="FF000000"/>
        <rFont val="Arial"/>
      </rPr>
      <t xml:space="preserve">
KENDALA SISTEM
</t>
    </r>
    <r>
      <rPr>
        <sz val="12"/>
        <color rgb="FF000000"/>
        <rFont val="Arial"/>
      </rPr>
      <t xml:space="preserve">Tidak Ada
</t>
    </r>
    <r>
      <rPr>
        <b/>
        <sz val="12"/>
        <color rgb="FF000000"/>
        <rFont val="Arial"/>
      </rPr>
      <t xml:space="preserve">
KENDALA PROSES KLARIFIKASI
</t>
    </r>
    <r>
      <rPr>
        <sz val="12"/>
        <color rgb="FF000000"/>
        <rFont val="Arial"/>
      </rPr>
      <t>1. Sudah dilakukan Penelitian pada tanggal 10 September 2025
2. hasil penelitian perlu dilakukan klarifikasi teknis alat, jawaban klarifikasi maksimal disampaikan tanggal 15 September 2025 pukul 08.00 WIB</t>
    </r>
  </si>
  <si>
    <t>PUNCAK JAYA KONSTRUKSI</t>
  </si>
  <si>
    <t>Jl. Komering No. 4 Kel. Darmo Kec. Wonokromo - Surabaya (Kota) - Jawa Timur</t>
  </si>
  <si>
    <t>2.19</t>
  </si>
  <si>
    <r>
      <rPr>
        <b/>
        <sz val="12"/>
        <color rgb="FFFF0000"/>
        <rFont val="Arial"/>
      </rPr>
      <t xml:space="preserve">PENETAPAN PA:
</t>
    </r>
    <r>
      <rPr>
        <b/>
        <sz val="12"/>
        <color rgb="FF000000"/>
        <rFont val="Arial"/>
      </rPr>
      <t>Rehabilitasi Bendung Jatimlerek</t>
    </r>
  </si>
  <si>
    <t>Gunawan Arif Wibowo, S.AP., M.T
Feby Lorentika, ST
Dhina Tri Hendriani, SE
Elly Sulistyowati, SE
Risa Monika, S.IP</t>
  </si>
  <si>
    <t>Wan Achmad Reza Rinatha, ST, MT
Sasetyo Gilang Kusumo, SH
Agnesia Margaretha Gunawan, S.IAN</t>
  </si>
  <si>
    <r>
      <rPr>
        <b/>
        <sz val="12"/>
        <color rgb="FF4EA72E"/>
        <rFont val="Arial"/>
      </rPr>
      <t xml:space="preserve">TENDER SELESAI. KRONOLOGI :
</t>
    </r>
    <r>
      <rPr>
        <sz val="12"/>
        <color rgb="FF000000"/>
        <rFont val="Arial"/>
      </rPr>
      <t>1. Paket dinyatakan lengkap tanggal 22 Agustus 2025 dan ditugaskan di LPSE serta SK terbit 22 Agustus 2025
2. Reviu Dok persiapan 26 Agustus 2025. Ditayangkan setelah perubahan RUP berdasarkan Surat PPK No. 613/Bbws10.08.02/2025, 4 September 2025, hal: Penyampaian Perubahan ID Paket RUP  berdasarkan Surat PPK Irigasi dan Rawa II No.  613/Bbws10.08.02/2025, tanggal 4 September 2025, hal: Penyampaian Perubahan ID Paket RUP
4. Tayang LPSE 9 September 2025 13:00 WIB. Upload Dok. Penawaran sampai 19 September 2025 15:00 WIB
5. Pembukaan Dokumen Penawaran tanggal 19 September 2025 15:05. Terdapat 3 peserta yang memasukan penawaran. 
6. Evaluasi Penawaran paralel dengan evaluasi kualifikasi sampai Pembuktian kualifikasi hingga 13 Oktober 2025 16:00 WIB. 
7. Pengajuan Pemenang PA melalui aplikasi SIPEMENANG oleh Pokja 13 November 2025. Paket dinyatakan lengkap 14 November 2025. Tim TPM meminta surat pernyataan karena terdapat perbedaan nama paket di RUP, LPSE. Tanggal 19 November 2025 kirim Surat usulan menteri melalui TPM. Per tanggal 26 November 2025 proses sirkular.
8. Penetapan Pemenang 6 Desember 2025 dan Masa sanggah sampai 11 Desember 2025 08:30 WIB.
9. BAHP diserahkan 11 Desember 2025</t>
    </r>
  </si>
  <si>
    <r>
      <rPr>
        <b/>
        <sz val="12"/>
        <color rgb="FF000000"/>
        <rFont val="Arial"/>
      </rPr>
      <t xml:space="preserve">KENDALA LIBUR NASIONAL: </t>
    </r>
    <r>
      <rPr>
        <sz val="12"/>
        <color rgb="FF000000"/>
        <rFont val="Arial"/>
      </rPr>
      <t xml:space="preserve">Tidak ada
</t>
    </r>
    <r>
      <rPr>
        <b/>
        <sz val="12"/>
        <color rgb="FF000000"/>
        <rFont val="Arial"/>
      </rPr>
      <t xml:space="preserve">KENDALA SISTEM: </t>
    </r>
    <r>
      <rPr>
        <sz val="12"/>
        <color rgb="FF000000"/>
        <rFont val="Arial"/>
      </rPr>
      <t xml:space="preserve">Tidak Ada
</t>
    </r>
    <r>
      <rPr>
        <b/>
        <sz val="12"/>
        <color rgb="FF000000"/>
        <rFont val="Arial"/>
      </rPr>
      <t xml:space="preserve">KENDALA PROSES KLARIFIKASI/ LAINNYA:
</t>
    </r>
    <r>
      <rPr>
        <sz val="12"/>
        <color rgb="FF000000"/>
        <rFont val="Arial"/>
      </rPr>
      <t>1. Usulan Penetapan menteri dinyatakan lengkap 14 November 2025 dan Surat Penetapan Menteri diterima 5 Desember 2025 pukul 23.00 WIB (22 HK)</t>
    </r>
  </si>
  <si>
    <t>WIKA - JET, KSO</t>
  </si>
  <si>
    <t>WIKA: Jl. D.I. Panjaitan Kav. 9-10 - Jakarta Timur (Kota) - DKI Jakarta
JET: Surabaya</t>
  </si>
  <si>
    <t>01.001.615.2-093.000</t>
  </si>
  <si>
    <t>2.20</t>
  </si>
  <si>
    <r>
      <rPr>
        <b/>
        <sz val="12"/>
        <color rgb="FFFF0000"/>
        <rFont val="Arial"/>
      </rPr>
      <t xml:space="preserve">MADRASAH:
</t>
    </r>
    <r>
      <rPr>
        <b/>
        <sz val="12"/>
        <color rgb="FF000000"/>
        <rFont val="Arial"/>
      </rPr>
      <t>Rehabilitasi dan Renovasi Madrasah PHTC Provinsi Jawa Timur 7</t>
    </r>
  </si>
  <si>
    <t>MYC Usulan</t>
  </si>
  <si>
    <t>Feby Lorentika, ST
Gunawan Arif Wibowo, S.AP., M.T
Elly Sulistyowati, SE
Risa Monika, S.IP
Dhina Tri Hendriani, SE</t>
  </si>
  <si>
    <t>Wan Achmad Reza Rinatha, ST, MT
Rifqathin Ulya, S.H.,M.H
Daffah Ulfi Rahmatillah,SH</t>
  </si>
  <si>
    <r>
      <rPr>
        <b/>
        <sz val="12"/>
        <color rgb="FFFF0000"/>
        <rFont val="Arial"/>
      </rPr>
      <t xml:space="preserve">TAHAP SAAT INI: </t>
    </r>
    <r>
      <rPr>
        <b/>
        <sz val="12"/>
        <color rgb="FF000000"/>
        <rFont val="Arial"/>
      </rPr>
      <t xml:space="preserve">SPPBJ sampai 23 Desember 2025 16.00 WIB
KRONOLOGI PAKET :
</t>
    </r>
    <r>
      <rPr>
        <sz val="12"/>
        <color rgb="FF000000"/>
        <rFont val="Arial"/>
      </rPr>
      <t>1. Paket dinyatakan lengkap tanggal 25 Agustus 2025. SK terbit 27 Agustus 2025 dan ditugaskan di LPSE Pokja 27 Agustus 2025
2. Upload Dokumen Penawaran semula 12 September 2025, pukul 15:00 WIB menjadi 15 September 2025 15:00 karena addendum dok pemilihan terkait perbaikan data dokumen persiapan PPK (hasil reviu Dokumen Pemilihan oleh Tim Pelaksana) sehingga memerlukan tambahan waktu upload dokumen penawaran.
3. Pembukaan penawaran 15 September 2025 15:01 WIB, dari 12 peserta terdapat 3 peserta dibawah 80% HPS. Evaluasi penawaran semula 9 Oktober menjadi 7 November dan menjadi 21 November 2025 karena membutuhkan waktu untuk evaluasi kewajaran harga 1 peserta dengan 503 MPU. 14 November 2025 baru dapat AHSP dari PPK, sehingga saat ini masih dalam inputing ke kertas kerja EKH. Rencana rapat kesepakatan koefisien dan harga tanggal 
4. Evaluasi Penawaran mundur sampai 21 November 2025 karena membutuhkan waktu EKH. (Rosa dan Namira)
5. Evaluasi penawaran mundur sampai 12 Desember 2025 karena membutuhkan waktu EKH. EKH dilakukan terhadap 1 peserta pada, rencana  rapat kesepakatan koefisien dan HSD dengan penyedia (PT. Rajendra Pratama Jaya) 10 - 11 Desember 2025. Terdapat permasalahan terkait PT Rajendra Pratama Jaya yang saat ini msih menunggu konsultasi dengan LKPP. 12 peserta, terdapat 7 peserta gugur, 5 peserta yang lulus. 2 peserta sudah lulus pembuktian kualifikasi dan 1 cadangan siap dilakukan pembuktian jika PT. Rajendra Pratama Jaya Gugur.
6. Penetapan Pemenang 12 Desember 2025 dan Masa sanggah sampai 17 Desember 2025 15:35 WIB. Terdapat 2 sanggah dijawab tanggal 17 dan 18 Desember 2025
7. Masa sanggah banding sampai 24 Desember 2025 08:00 WIB.</t>
    </r>
  </si>
  <si>
    <t>KENDALA LIBUR NASIONAL
Tidak ada
KENDALA SISTEM
Tidak Ada
KENDALA PROSES KLARIFIKASI: (1 HK)
- Klarifikasi Jaminan Penawaran 22 September 2025 (telah diupload)
- Jawaban klarifikasi Jaminan penawaran 22 September 2025 (telah diupload)
Addendum Dokumen PPK (3 HK)
- Batas akhir penyampaian dokumen penawaran awal: 12 September 2025 15:00
- Batas akhir penyampaian dokumen penawaran karena addendum dokumen PPK: 15 September 2025 15:00
- Dokumen PPK yang diaddendum: Rancangan Kontrak dan KAK
EVALUASI KEWAJARAN HARGA (503 MPU): (70 HK)
- Permintaan Data Dukung EKH 3 Oktober 2025 (Surat &amp; tangkapan layar SPSE dan email telah diupload)
- BA Klarifikasi Koefisien &amp; Harga (EKH) 12 Desember 2025 (BA &amp; tangkapan layar email telah diupload)
- EKH: 70 HK</t>
  </si>
  <si>
    <t>PT. ERA JAYA WIJAYA</t>
  </si>
  <si>
    <t>Jl. WR Supratman No.92 RT.03 - RW.03 Kel. Bendogerit Kec. Sananwetan - Blitar (Kota) - Jawa Timur</t>
  </si>
  <si>
    <t>2.21</t>
  </si>
  <si>
    <r>
      <rPr>
        <b/>
        <sz val="12"/>
        <color rgb="FFFF0000"/>
        <rFont val="Arial"/>
      </rPr>
      <t xml:space="preserve">MADRASAH:
</t>
    </r>
    <r>
      <rPr>
        <b/>
        <sz val="12"/>
        <color rgb="FF000000"/>
        <rFont val="Arial"/>
      </rPr>
      <t>Rehabilitasi dan Renovasi Madrasah PHTC Provinsi Jawa Timur 8</t>
    </r>
  </si>
  <si>
    <t>Gunawan Arif Wibowo, S.AP., M.T
Feby Lorentika, ST
Maryam Amin, SE
Dhina Tri Hendriani, SE
Elly Sulistyowati, SE</t>
  </si>
  <si>
    <r>
      <rPr>
        <b/>
        <sz val="12"/>
        <color rgb="FFFF0000"/>
        <rFont val="Arial"/>
      </rPr>
      <t>TAHAP SAAT INI:</t>
    </r>
    <r>
      <rPr>
        <b/>
        <sz val="12"/>
        <color rgb="FF000000"/>
        <rFont val="Arial"/>
      </rPr>
      <t xml:space="preserve"> SPPBJ sampai 26 Desember 2025 12:00 WIB
Tahapan Persiapan :
</t>
    </r>
    <r>
      <rPr>
        <sz val="12"/>
        <color rgb="FF000000"/>
        <rFont val="Arial"/>
      </rPr>
      <t>1. Paket dinyatakan lengkap tanggal 25 Agustus 2025 dan SK terbit 27 Agustus 2025
2. Ditugaskan di LPSE Pokja 27 Agustus 2025
3. Upload Dokumen Penawaran semula 12 September 2025, pukul 15:00 WIB berubah menjadi 15 September 2025 pukul 16:00 WIB karena addendum dok pemilihan terkait perbaikan data dokumen persiapan PPK (hasil reviu Dokumen Pemilihan oleh Tim Pelaksana) sehingga memerlukan tambahan waktu upload dokumen penawaran
4. Pembukaan Penawaran 15 September 2025, dari 17 Penawaran, 9 Penawaran di bawah 80% HPS. Evaluasi mundur menjadi 10 Okober 2025
5. Evaluasi kewajaran harga sampai 14 November 2025 terhadap 3 peserta dengan 115 Mata Pembayaran
6. Evaluasi kewajaran harga mundur sampai 28 November 2025 terhadap 3 peserta dengan 115 Mata Pembayaran (Dzaky, Wisnu dan aldo).
7. Dari 17 Penawaran, 11 Peserta gugur dan 6 peserta lulus. terdapat 2 peserta yang akan dilakukan rapat kesepakatan koefisian dengan tim teknis pada 12 dan 15 Desember 2025.
8. Penetapan Pemenang 17 Desember 2025 dan Masa sanggah sampai 22 Desember 2025 14:00 WIB
9. Masa sanggah banding sampai 30 Desember 2025 07.30 WIB.</t>
    </r>
  </si>
  <si>
    <t>KENDALA LIBUR NASIONAL
Tidak ada
KENDALA SISTEM
Tidak Ada
KENDALA PROSES KLARIFIKASI: (5 HK) (26 Sep 25 s/d 1 Okt 25) =&gt; Beririsan dengan proses EKH
- Klarifikasi Peralatan 26 September 2025 (telah diupload)
- Jawaban Klarifikasi Peralatan 3 Desember 2025 (telah diupload)
Addendum Dokumen PPK: (3 HK)
- Batas akhir penyampaian dokumen penawaran awal: 12 September 2025 15:00
- Batas akhir penyampaian dokumen penawaran karena addendum dokumen PPK: 15 September 2025 15:00
- Dokumen PPK yang diaddendum: Rancangan Kontrak, KAK dan DED
EVALUASI KEWAJARAN HARGA ( 115 MPU - 2 Peserta): 77 HK
- Permintaan Data Dukung EKH peserta ke-1: 2 Oktober 2025 (Surat &amp; tangkapan layar email telah diupload)
- BA Klarifikasi Koefisien &amp; Harga (EKH) 16 Desember 2025 (BA &amp; tangkapan layar email telah diupload)
- Permintaan Data Dukung EKH peserta ke-2: 2 Oktober 2025 (Surat &amp; tangkapan layar email telah diupload)
- BA Klarifikasi Koefisien &amp; Harga (EKH) 17 Desember 2025 (BA &amp; tangkapan layar email telah diupload)</t>
  </si>
  <si>
    <t>PT. ZHAFIRA TETAP JAYA</t>
  </si>
  <si>
    <t>JL. STM/ Pembangunan No. 12/18 Medan - Medan (Kota) - Sumatera Utara</t>
  </si>
  <si>
    <t>2.22</t>
  </si>
  <si>
    <r>
      <rPr>
        <b/>
        <sz val="12"/>
        <color rgb="FFFF0000"/>
        <rFont val="Arial"/>
      </rPr>
      <t xml:space="preserve">MADRASAH:
</t>
    </r>
    <r>
      <rPr>
        <b/>
        <sz val="12"/>
        <color rgb="FF000000"/>
        <rFont val="Arial"/>
      </rPr>
      <t>Rehabilitasi dan Renovasi Madrasah PHTC Provinsi Jawa Timur 4</t>
    </r>
  </si>
  <si>
    <t>Gunawan Arif Wibowo, S.AP., M.T
Maryam Amin, SE
Dhina Tri Hendriani, SE
Risa Monika, S.IP
Elly Sulistyowati, SE</t>
  </si>
  <si>
    <t>Teddy Marza Kurniawan, S.H
Sasetyo Gilang Kusumo, SH
Wan Achmad Reza Rinatha, ST, MT</t>
  </si>
  <si>
    <r>
      <rPr>
        <b/>
        <sz val="12"/>
        <color rgb="FF4EA72E"/>
        <rFont val="Arial"/>
      </rPr>
      <t xml:space="preserve">TENDER SELESAI. KRONOLOGI PAKET:
</t>
    </r>
    <r>
      <rPr>
        <sz val="12"/>
        <color rgb="FF000000"/>
        <rFont val="Arial"/>
      </rPr>
      <t>1. SK terbit 2 September 2025 sedangkan paket dinyatakan lengkap dan baru bisa ditugaskan di LPSE tanggal 3 September 2025
2. Reviu Dok. Persiapan 8 September 2025. Tayang LPSE 11 September 2025
3. Upload Dokumen Penawaran sampai 19 September 2025 12:00 WIB. Pembukaan 19 September 2025 12:01 WIB. Dari 13 penawaran, terdapat 4 peserta dibawah 80% HPS. EKH dilakukan terhadap 545 item MPU.
4. Surat Permintaan Data Dukung Evaluasi Kewajaran Harga kepada peserta tanggal 26 September 2025 dikirim ke email tanggal 26 September 2025. 
5. BA Klarifikasi Koefisien &amp; Harga (EKH) tanggal 28 November 2025 dikirim ke email tanggal 28 November 2025. BA Klarifikasi Koefisien &amp; Harga (EKH) ttd peserta dikirim tanggal 28 November 2025.
6. Evaluasi Penawaran sampai 28 November 2025.  Dari 13 penawaran, terdapat 4 peserta dibawah 80% HPS. EKH dilaksanakan terhadap 545 MPU.
7. Penetapan pemenang 28 November 2025 20.01 WIB. Masa sanggah sampai 4 Desember 2025 09.00 WIB. Terdapat 1 sanggah dan telah dijawab 5 Desember 2025
8. Masa sanggah banding sampai 10 Desember 2025. Tidak ada sanggah banding. BAHP diserahkan 10 Desember 2025</t>
    </r>
  </si>
  <si>
    <r>
      <rPr>
        <b/>
        <sz val="12"/>
        <color rgb="FF000000"/>
        <rFont val="Arial"/>
      </rPr>
      <t xml:space="preserve">KENDALA LIBUR NASIONAL
</t>
    </r>
    <r>
      <rPr>
        <sz val="12"/>
        <color rgb="FF000000"/>
        <rFont val="Arial"/>
      </rPr>
      <t xml:space="preserve">Tidak ada
</t>
    </r>
    <r>
      <rPr>
        <b/>
        <sz val="12"/>
        <color rgb="FF000000"/>
        <rFont val="Arial"/>
      </rPr>
      <t xml:space="preserve">
KENDALA SISTEM
</t>
    </r>
    <r>
      <rPr>
        <sz val="12"/>
        <color rgb="FF000000"/>
        <rFont val="Arial"/>
      </rPr>
      <t xml:space="preserve">Tidak Ada
</t>
    </r>
    <r>
      <rPr>
        <b/>
        <sz val="12"/>
        <color rgb="FF000000"/>
        <rFont val="Arial"/>
      </rPr>
      <t xml:space="preserve">
KENDALA PROSES KLARIFIKASI
</t>
    </r>
    <r>
      <rPr>
        <sz val="12"/>
        <color rgb="FF000000"/>
        <rFont val="Arial"/>
      </rPr>
      <t xml:space="preserve">- Klarifikasi personel terkontrak 3 November 2025 (sudah diupload)
- Surat Jawaban Klarifikasi 4 November 2025 (sudah diupload)
EVALUASI KEWAJARAN HARGA (545 MPU): 63 HK
</t>
    </r>
    <r>
      <rPr>
        <b/>
        <sz val="12"/>
        <color rgb="FF000000"/>
        <rFont val="Arial"/>
      </rPr>
      <t xml:space="preserve">- </t>
    </r>
    <r>
      <rPr>
        <sz val="12"/>
        <color rgb="FF000000"/>
        <rFont val="Arial"/>
      </rPr>
      <t>Permintaan Data Dukung EKH 26 September 2025 (Surat &amp; tangkapan layar email sudah diupload)
- BA Klarifikasi Koefisien &amp; Harga (EKH) 28 November 2025 (BA &amp; tangkapan layar email sudah diupload)
- EKH: 63 HK</t>
    </r>
  </si>
  <si>
    <t>PT. WAHYU ADI GUNA</t>
  </si>
  <si>
    <t>Jl. SMA 14 NO.46C LT. 2 RT.002/004, CILILITAN, KEC. KRAMATJATI - Jakarta Timur (Kota) - DKI Jakarta</t>
  </si>
  <si>
    <t>2.23</t>
  </si>
  <si>
    <r>
      <rPr>
        <b/>
        <sz val="12"/>
        <color rgb="FFFF0000"/>
        <rFont val="Arial"/>
      </rPr>
      <t xml:space="preserve">MADRASAH:
</t>
    </r>
    <r>
      <rPr>
        <b/>
        <sz val="12"/>
        <color rgb="FF000000"/>
        <rFont val="Arial"/>
      </rPr>
      <t>Rehabilitasi dan Renovasi Madrasah PHTC Provinsi Jawa Timur 5</t>
    </r>
  </si>
  <si>
    <t>Sasetyo Gilang Kusumo, SH
Wan Achmad Reza Rinatha, ST, MT
Teddy Marza Kurniawan, S.H</t>
  </si>
  <si>
    <r>
      <rPr>
        <b/>
        <sz val="12"/>
        <color rgb="FFFF0000"/>
        <rFont val="Arial"/>
      </rPr>
      <t xml:space="preserve">CATATAN: TERDAPAT PENOLAKAN PPK KARENA PIHAK YANG MEWAKILI PERUSAHAAN UNTUK TTD KONTRAK DIANGGAP TIDAK MEMENUHI SECARA HUKUM&gt; </t>
    </r>
    <r>
      <rPr>
        <b/>
        <sz val="12"/>
        <color rgb="FF3C7D22"/>
        <rFont val="Arial"/>
      </rPr>
      <t>TENDER SELESAI.</t>
    </r>
    <r>
      <rPr>
        <b/>
        <sz val="12"/>
        <color rgb="FF8ED973"/>
        <rFont val="Arial"/>
      </rPr>
      <t xml:space="preserve"> </t>
    </r>
    <r>
      <rPr>
        <b/>
        <sz val="12"/>
        <color rgb="FF000000"/>
        <rFont val="Arial"/>
      </rPr>
      <t xml:space="preserve">KRONOLOGI:
</t>
    </r>
    <r>
      <rPr>
        <sz val="12"/>
        <color rgb="FF000000"/>
        <rFont val="Arial"/>
      </rPr>
      <t xml:space="preserve">1. SK terbit 2 Agustus 2025 sedangkan paket dinyatakan lengkap dan baru bisa ditugaskan di LPSE tanggal 3 September 2025
2. Reviu Dok. Persiapan 8 September 2025, Tayang LPSE 10 September 2025 17:00
3. Upload Dokumen Penawaran sampai 19 September 2025 13:00 WIB. Pembukaan Dokumen Penawaran 19 September 2025 16:29 WIB. Dari 11 penawaran terdapat 4 penawaran dibawah 80% HPS
4. Evaluasi penawaran sampai 31 Oktober 2025. Penetapan Pemenang 31 Oktober 2025
5. Masa Sanggah sampai 5 November 2025 08:30 WIB. Terdapat 1 sanggah dinyatakan benar sehingga dilakukan evaluasi ulang
6. Penetapan ulang 12 November 2025 dan masa sanggah sampai 17 November 2025. Menyampaikan BAHP 17 November 2025
7. Pada Masa Sanggah sampai 5 November 2025 08:30 WIB terdapat 1 sanggah yang dinyatakan benar sehingga dilakukan evaluasi ulang sampai 12 November 2025. Penetapan ulang 12 November 2025 dan masa sanggah sampai 17 November 2025
8. Surat Penolakan PPK </t>
    </r>
  </si>
  <si>
    <r>
      <rPr>
        <b/>
        <sz val="12"/>
        <color rgb="FF000000"/>
        <rFont val="Arial"/>
      </rPr>
      <t xml:space="preserve">KENDALA LIBUR NASIONAL
</t>
    </r>
    <r>
      <rPr>
        <sz val="12"/>
        <color rgb="FF000000"/>
        <rFont val="Arial"/>
      </rPr>
      <t xml:space="preserve">Tidak ada
</t>
    </r>
    <r>
      <rPr>
        <b/>
        <sz val="12"/>
        <color rgb="FF000000"/>
        <rFont val="Arial"/>
      </rPr>
      <t xml:space="preserve">
KENDALA SISTEM
</t>
    </r>
    <r>
      <rPr>
        <sz val="12"/>
        <color rgb="FF000000"/>
        <rFont val="Arial"/>
      </rPr>
      <t xml:space="preserve">Tidak Ada
</t>
    </r>
    <r>
      <rPr>
        <b/>
        <sz val="12"/>
        <color rgb="FF000000"/>
        <rFont val="Arial"/>
      </rPr>
      <t xml:space="preserve">
KENDALA PROSES KLARIFIKASI
</t>
    </r>
    <r>
      <rPr>
        <sz val="12"/>
        <color rgb="FF000000"/>
        <rFont val="Arial"/>
      </rPr>
      <t xml:space="preserve">1. Penetapan sampai dengan evaluasi ulang karena terdapat sanggah benar 
2. Evaluasi Kewajaran Harga (EKH)
- Surat Permohonan Tim Teknis Pendamping Evaluasi Kewajaran Harga Paket Rehabilitasi dan Renovasi Madrasah PHTC Provinsi Jawa Timur 5 (1 Oktober 2025 - 2 Oktober 2025) (1HK)
</t>
    </r>
    <r>
      <rPr>
        <b/>
        <sz val="12"/>
        <color rgb="FF000000"/>
        <rFont val="Arial"/>
      </rPr>
      <t>- Surat Permintaan data dukung EKH (6 Oktober 2025 - 13 Oktober 2025) (7 HK)
- Pelaksanaan Evaluasi Kewajaran Harga (EKH) Paket Rehabilitasi dan Renovasi Madrasah PHTC Provinsi Jawa Timur 5 20 Oktober 2025. BA Tim teknis 21 Oktober 2025 tetapi baru disampaikan 27 Oktober 2025 melalui WA (7 HK)
- Sanggah benar dan jawaban sanggah (5 November 2025 - 7 November 2025) (2 HK)
- Penetapan pemenang tanggal 31 Oktober 2025 terdapat sanggah tanggal 5 November 2025 dijawab tanggal 7 November 2025 dengan sanggahan dinyatakan benar dan evaluasi ulang tanggal 7 November (7 HK)</t>
    </r>
  </si>
  <si>
    <t>PT. Rajendra Pratama Jaya</t>
  </si>
  <si>
    <t xml:space="preserve">	Jl. Trunojoyo No. 52 - Jember (Kab.) - Jawa Timur</t>
  </si>
  <si>
    <t>0716278437626000</t>
  </si>
  <si>
    <t>pt_rajendrapratamajaya@yahoo.com</t>
  </si>
  <si>
    <t>0331-484956</t>
  </si>
  <si>
    <t>2.24</t>
  </si>
  <si>
    <r>
      <rPr>
        <b/>
        <sz val="12"/>
        <color rgb="FFFF0000"/>
        <rFont val="Arial"/>
      </rPr>
      <t xml:space="preserve">MADRASAH:
</t>
    </r>
    <r>
      <rPr>
        <b/>
        <sz val="12"/>
        <color rgb="FF000000"/>
        <rFont val="Arial"/>
      </rPr>
      <t>Rehabilitasi dan Renovasi Madrasah PHTC Provinsi Jawa Timur 6</t>
    </r>
  </si>
  <si>
    <t>Gunawan Arif Wibowo, S.AP., M.T
Dhina Tri Hendriani, SE
Maryam Amin, SE
Elly Sulistyowati, SE
Risa Monika, S.IP</t>
  </si>
  <si>
    <r>
      <rPr>
        <b/>
        <sz val="12"/>
        <color rgb="FF3C7D22"/>
        <rFont val="Arial"/>
      </rPr>
      <t xml:space="preserve">TENDER SELESAI. KRONOLOGI PAKET :
</t>
    </r>
    <r>
      <rPr>
        <sz val="12"/>
        <color rgb="FF000000"/>
        <rFont val="Arial"/>
      </rPr>
      <t>1. SK terbit 2 Agustus 2025 sedangkan paket dinyatakan lengkap dan baru bisa ditugaskan di LPSE tanggal 3 September 2025
2. Reviu Dok. Persiapan 8 September 2025, Tayang LPSE 10 September 2025 17:00
3. Upload Dokumen Penawaran sampai 19 September 2025 13:00 WIB
4. Pembukaan Dokumen Penawaran 19 September 2025 16:29 WIB. Dari 7 penawaran terdapat 3 penawaran dibawah 80% HPS. Evaluasi penawaran sampai 29 Oktober 2025 14:00 WIB
5. Penetapan pemenang 29 Oktober 2025 dan Masa sanggah sampai 4 November 2025 08:30 WIB. Tidak ada sanggah pada paket ini
6. BAHP disampaikan 10 November 2025</t>
    </r>
  </si>
  <si>
    <r>
      <rPr>
        <b/>
        <sz val="12"/>
        <color rgb="FF000000"/>
        <rFont val="Arial"/>
      </rPr>
      <t xml:space="preserve">KENDALA LIBUR NASIONAL
</t>
    </r>
    <r>
      <rPr>
        <sz val="12"/>
        <color rgb="FF000000"/>
        <rFont val="Arial"/>
      </rPr>
      <t xml:space="preserve">Tidak ada
</t>
    </r>
    <r>
      <rPr>
        <b/>
        <sz val="12"/>
        <color rgb="FF000000"/>
        <rFont val="Arial"/>
      </rPr>
      <t xml:space="preserve">
KENDALA SISTEM
</t>
    </r>
    <r>
      <rPr>
        <sz val="12"/>
        <color rgb="FF000000"/>
        <rFont val="Arial"/>
      </rPr>
      <t xml:space="preserve">Tidak Ada
</t>
    </r>
    <r>
      <rPr>
        <b/>
        <sz val="12"/>
        <color rgb="FF000000"/>
        <rFont val="Arial"/>
      </rPr>
      <t xml:space="preserve">
KENDALA PROSES KLARIFIKASI
1. Evaluasi Kewajaran Harga (EKH)
- Surat Permintaan data dukung EKH (6 Oktober 2025 - 13 Oktober 2025) (7 HK)
</t>
    </r>
  </si>
  <si>
    <t>2.25</t>
  </si>
  <si>
    <r>
      <rPr>
        <b/>
        <sz val="12"/>
        <color rgb="FFFF0000"/>
        <rFont val="Arial"/>
      </rPr>
      <t xml:space="preserve">MADRASAH:
</t>
    </r>
    <r>
      <rPr>
        <b/>
        <sz val="12"/>
        <color rgb="FF000000"/>
        <rFont val="Arial"/>
      </rPr>
      <t>Rehabilitasi dan Renovasi Madrasah PHTC Provinsi Jawa Timur 9</t>
    </r>
  </si>
  <si>
    <t>Feby Lorentika, ST
Elly Sulistyowati, SE
Maryam Amin, SE
Dhina Tri Hendriani, SE
Risa Monika, S.IP</t>
  </si>
  <si>
    <t>Teddy Marza Kurniawan, S.H
Arie Ardiansyah, SH
Daffah Ulfi Rahmatillah,SH</t>
  </si>
  <si>
    <r>
      <rPr>
        <b/>
        <sz val="12"/>
        <color rgb="FF3C7D22"/>
        <rFont val="Arial"/>
      </rPr>
      <t xml:space="preserve">TENDER SELESAI. KRONOLOGI PAKET:
</t>
    </r>
    <r>
      <rPr>
        <sz val="12"/>
        <color rgb="FF000000"/>
        <rFont val="Arial"/>
      </rPr>
      <t>1. SK terbit tanggal 8 September 2025 dan dilakukan reviu Dokumen Persiapan 11 September 2025
2. Paket belum selesai direvisi oleh tim PPK di 16 September 2025. Karena masih terdapat item pembayaran yang tidak memiliki harga satuan dan perbedaan item mpu antara yang di hps dengan yang tercantum di KAK dst , sehingga diperlukan revisi kembali.
3. Tayang LPSE 17 September 2025. Upload Dokumen Penawaran semula 25 September 2025 14:00 WIB, menjadi 29 September 2025 14:00 WIB karena terdapat adendum Dokumen Pemilihan
4. Evaluasi dokumen penawaran dan pembuktian kualifikasi sampai 22 Oktober 2025 14:00 WIB. Dari 7 Penawaran terdapat 1 penawaran &lt; 80% HPS
5. Penetapan pemenang 23 Oktober 2025 18:35 WIB. Masa sanggah sampai 29 Oktober 2025 07:30 WIB</t>
    </r>
  </si>
  <si>
    <t xml:space="preserve">PT PERMATA ANUGERAH YALAPERSADA	</t>
  </si>
  <si>
    <t>Jl. Gayungsari Barat No. 91 - Lantai 1 Surabaya - Surabaya (Kota) - Jawa Timur</t>
  </si>
  <si>
    <t>2.26</t>
  </si>
  <si>
    <r>
      <rPr>
        <b/>
        <sz val="12"/>
        <color rgb="FFFF0000"/>
        <rFont val="Arial"/>
      </rPr>
      <t xml:space="preserve">MADRASAH:
</t>
    </r>
    <r>
      <rPr>
        <b/>
        <sz val="12"/>
        <color rgb="FF000000"/>
        <rFont val="Arial"/>
      </rPr>
      <t>Rehabilitasi dan Renovasi Madrasah PHTC Provinsi Jawa Timur 10</t>
    </r>
  </si>
  <si>
    <t>Gunawan Arif Wibowo, S.AP., M.T
Risa Monika, S.IP
Dhina Tri Hendriani, SE
Maryam Amin, SE
Elly Sulistyowati, SE</t>
  </si>
  <si>
    <r>
      <rPr>
        <b/>
        <sz val="12"/>
        <color rgb="FF4EA72E"/>
        <rFont val="Arial"/>
      </rPr>
      <t xml:space="preserve">TENDER SELESAI. KRONOLOGI PAKET:
</t>
    </r>
    <r>
      <rPr>
        <sz val="12"/>
        <color rgb="FF000000"/>
        <rFont val="Arial"/>
      </rPr>
      <t>1. SK terbit tanggal 8 September 2025 dan dilakukan reviu Dokumen Persiapan 11 September 2025, terdapat revisi dokumen persiapan PPK yang dijanjikan selesai 12 September 2025. Paket ditayangkan setelah revisi selesai.
2. Tayang LPSE 15 September 2025 dan Upload Dokumen Penawaran sampai 24 September 2025 08:00 WIB
3. Pembukaan Penawaran 24 September. Evaluasi Penawaran dan Pembuktian kualifikasi sampai 28 November 2025 15:30 WIB. Dari 17 penawaran, terdapat 4 penawaran dibawah 80% HPS. Terdapat dokumen  kualifikasi yang perlu diklarifikasi. Klarifikasi data kualifikasi dilakukan tanggal  20 November 2025. EKH 1 peserta dengan 537 MPU (wildan dan Yodit)
4. Pokja Pemilihan meminta Daftar MPU dan analisa tanggal 10 Oktober 2025
5. Terdapat perubahan SK Pokja tanggal 12 November 2025
6. Pokja Pemilihan mendapatkan analisa dari PPK tanggal 12 November 2025. Pemintaan data dukung EKH ke peserta tanggal 14 November 2025. Pembahasan Zoom dengan peserta dan tim teknis tanggal 2 Desember 2025. EKH sudah selesai
9. Pembuktian sampai 12 Desember 2025. Penetapan 12 Desember 2025 dan Masa sanggah sampai 17 Desember 2025 11:30 WIB. Tidak ada sanggah pada paket ini
10. BAHP disampaikan 17 Desember 2025</t>
    </r>
  </si>
  <si>
    <r>
      <rPr>
        <b/>
        <sz val="12"/>
        <color rgb="FF000000"/>
        <rFont val="Arial"/>
      </rPr>
      <t xml:space="preserve">KENDALA LIBUR NASIONAL
</t>
    </r>
    <r>
      <rPr>
        <sz val="12"/>
        <color rgb="FF000000"/>
        <rFont val="Arial"/>
      </rPr>
      <t xml:space="preserve">Tidak ada
</t>
    </r>
    <r>
      <rPr>
        <b/>
        <sz val="12"/>
        <color rgb="FF000000"/>
        <rFont val="Arial"/>
      </rPr>
      <t xml:space="preserve">
KENDALA SISTEM
</t>
    </r>
    <r>
      <rPr>
        <sz val="12"/>
        <color rgb="FF000000"/>
        <rFont val="Arial"/>
      </rPr>
      <t xml:space="preserve">Tidak Ada
</t>
    </r>
    <r>
      <rPr>
        <b/>
        <sz val="12"/>
        <color rgb="FF000000"/>
        <rFont val="Arial"/>
      </rPr>
      <t xml:space="preserve">
KENDALA PROSES KLARIFIKASI
</t>
    </r>
    <r>
      <rPr>
        <sz val="12"/>
        <color rgb="FF000000"/>
        <rFont val="Arial"/>
      </rPr>
      <t>Belum Ada proses klarifikasi
EVALUASI KEWAJARAN HARGA (537 MPU): 60 HK
- Permintaan MPU dan Analisa Ke PPK 10 Oktober 2025 (Pokja Pemilihan tidak bisa mengundang Peserta untuk meminta data dukung EKH karena PPK belum memberikan daftar MPU dan AHSP
- AHSP diberikan PPK kepada pokja tanggal 12 November 2025
- Permintaan Data Dukung EKH ke Peserta 14 November 2025 (Surat &amp; tangkapan layar email sudah diupload)
- BA Klarifikasi Koefisien &amp; Harga (EKH) 9 Desember 2025 (BA &amp; tangkapan layar email sudah diupload)
- EKH: 60 HK</t>
    </r>
  </si>
  <si>
    <t>PT. CIPTA ADHI GUNA</t>
  </si>
  <si>
    <t>Situmbuk Nagari Koto Tangah Kec. Tilatang Kamang Kab. Agam - Agam (Kab.) - Sumatera Barat</t>
  </si>
  <si>
    <t>2.27</t>
  </si>
  <si>
    <r>
      <rPr>
        <b/>
        <sz val="12"/>
        <color rgb="FFFF0000"/>
        <rFont val="Arial"/>
      </rPr>
      <t xml:space="preserve">MADRASAH:
</t>
    </r>
    <r>
      <rPr>
        <b/>
        <sz val="12"/>
        <color rgb="FF000000"/>
        <rFont val="Arial"/>
      </rPr>
      <t>Rehabilitasi dan Renovasi Madrasah PHTC Provinsi Jawa Timur 11</t>
    </r>
  </si>
  <si>
    <t>Fadlila Rohmadani, S.ST
Wan Achmad Reza Rinatha, ST, MT
Rifqathin Ulya, S.H.,M.H</t>
  </si>
  <si>
    <r>
      <rPr>
        <b/>
        <sz val="12"/>
        <color rgb="FFFF0000"/>
        <rFont val="Arial"/>
      </rPr>
      <t xml:space="preserve">Tahapan Saat Ini: </t>
    </r>
    <r>
      <rPr>
        <b/>
        <sz val="12"/>
        <color rgb="FF000000"/>
        <rFont val="Arial"/>
      </rPr>
      <t xml:space="preserve">SPPBJ sampai 23 Desember 16.00 WIB
</t>
    </r>
    <r>
      <rPr>
        <sz val="12"/>
        <color rgb="FF000000"/>
        <rFont val="Arial"/>
      </rPr>
      <t>1. SK terbit tanggal 8 September 2025 dan dilakukan reviu Dokumen Persiapan 11 September 2025. Terdapat revisi dokumen persiapan PPK yang dijanjikan selesai 12 September 2025. Pokja akan menayangkan jika paket selesai direvisi.
2. Paket tayang 15 September 2025 15:00 WIB. Upload Dokumen penawaran sampai 25 September 2025 15:00 WIB (terdapat addendum dokumen PPK yang menyebabkan batas akhir penyampaian penawaran mundur 1HK)
3. Pembukaan Penawaran 25 September. Evaluasi Penawaran dan Pembuktian kualifikasi sampai 21 November 2025. Dari 11 penawaran, terdapat 3 penawaran dibawah 80% HPS. EKH dilakukan terhadap 508 item MPU
5. Evaluasi penawaran: Dari 11 penawaran, sudah 9 penyedia yang gugur. 1 penyedia sudah selesai pembuktian dan 1 penyedia proses penyelesaian EKH setelah rapat kesepakatan koefisien dan HSD dengan penyedia (PT. Rajendra Pratama Jaya). Terdapat permasalahan terkait PT Rajendra Pratama Jaya yang saat ini msih menunggu konsultasi dengan LKPP
6. Penetapan 13 Desember 2025 dan Masa sanggah sampai 19 Desember 2025 09:00 WIB. Terdapat 1 sanggahan dan sudah dijawab oleh Pokja pada 19 Desember 2025</t>
    </r>
  </si>
  <si>
    <r>
      <rPr>
        <b/>
        <sz val="12"/>
        <color rgb="FF000000"/>
        <rFont val="Arial"/>
      </rPr>
      <t xml:space="preserve">KENDALA LIBUR NASIONAL
</t>
    </r>
    <r>
      <rPr>
        <sz val="12"/>
        <color rgb="FF000000"/>
        <rFont val="Arial"/>
      </rPr>
      <t xml:space="preserve">Tidak ada
</t>
    </r>
    <r>
      <rPr>
        <b/>
        <sz val="12"/>
        <color rgb="FF000000"/>
        <rFont val="Arial"/>
      </rPr>
      <t xml:space="preserve">
KENDALA SISTEM
</t>
    </r>
    <r>
      <rPr>
        <sz val="12"/>
        <color rgb="FF000000"/>
        <rFont val="Arial"/>
      </rPr>
      <t xml:space="preserve">Tidak Ada
</t>
    </r>
    <r>
      <rPr>
        <b/>
        <sz val="12"/>
        <color rgb="FF000000"/>
        <rFont val="Arial"/>
      </rPr>
      <t xml:space="preserve">
KENDALA PROSES KLARIFIKASI
</t>
    </r>
    <r>
      <rPr>
        <sz val="12"/>
        <color rgb="FF000000"/>
        <rFont val="Arial"/>
      </rPr>
      <t>Belum Ada proses klarifikasi
Addendum Dokumen PPK (1 HK)
- Batas akhir penyampaian dokumen penawaran awal: 24 September 2025 08:00
- Batas akhir penyampaian dokumen penawaran karena addendum dokumen PPK: 25 September 2025 15:00
- Dokumen PPK yang diaddendum: Rancangan Kontrak, KAK, DED, RKS
EVALUASI KEWAJARAN HARGA (508 MPU): 66 HK
- Permintaan Data Dukung EKH 7 Oktober 2025 (Surat &amp; tangkapan layar email sudah diupload)
- BA Klarifikasi Koefisien &amp; Harga (EKH) 12 Desember 2025 (BA &amp; tangkapan layar email sudah diupload)
- EKH: 66 HK</t>
    </r>
  </si>
  <si>
    <t>2.28</t>
  </si>
  <si>
    <r>
      <rPr>
        <b/>
        <sz val="12"/>
        <color rgb="FFFF0000"/>
        <rFont val="Arial"/>
      </rPr>
      <t xml:space="preserve">MADRASAH:
</t>
    </r>
    <r>
      <rPr>
        <b/>
        <sz val="12"/>
        <color rgb="FF000000"/>
        <rFont val="Arial"/>
      </rPr>
      <t>Rehabilitasi dan Renovasi Madrasah PHTC Provinsi Jawa Timur 12</t>
    </r>
  </si>
  <si>
    <t>Sasetyo Gilang Kusumo, SH
Wan Achmad Reza Rinatha, ST, MT
Rani Fajar Nestiti, S.T</t>
  </si>
  <si>
    <r>
      <rPr>
        <b/>
        <sz val="12"/>
        <color rgb="FF4EA72E"/>
        <rFont val="Arial"/>
      </rPr>
      <t xml:space="preserve">TENDER SELESAI. KRONOLOGI PAKET:
</t>
    </r>
    <r>
      <rPr>
        <sz val="12"/>
        <color rgb="FF000000"/>
        <rFont val="Arial"/>
      </rPr>
      <t>1. SK terbit tanggal 8 September 2025 dan dilakukan reviu Dokumen Persiapan 11 September 2025
2. Paket tayang pada tanggal 15 September 2025. Upload Dokumen penawaran sampai 24 September 2025 12:00 WIB
3. Pembukaan Penawaran 24 September. Evaluasi Penawaran dan Pembuktian kualifikasi sampai 17 Oktober 2025 14:00 WIB. Dari 5 penawaran, terdapat 1 penawaran dibawah 80% HPS.
4. Sudah penetapan pemenang 17 Oktober 14:01 WIB, masa sanggah sampai 22 Oktober 2025 15:31 WIB</t>
    </r>
  </si>
  <si>
    <t>PT NINDYA BETON</t>
  </si>
  <si>
    <t xml:space="preserve">JL. LETJEN. MT. HARYONO KAV. 22 CAWANG KRAMAT JATI - Jakarta Timur (Kota) - DKI Jakarta	</t>
  </si>
  <si>
    <t>2.31</t>
  </si>
  <si>
    <t>Pembangunan SPAM Diyeng II (Pelayanan SMA Taruna Nusantara) Kabupaten Malang</t>
  </si>
  <si>
    <t>Diah (+62 813-3067-4717)</t>
  </si>
  <si>
    <t>Feby Lorentika, ST
Elly Sulistyowati, SE
Maryam Amin, SE
Dhina Tri Hendriani, SE
Dahniar Achlis, S.Ars.</t>
  </si>
  <si>
    <r>
      <rPr>
        <sz val="11"/>
        <color rgb="FF000000"/>
        <rFont val="Arial"/>
      </rPr>
      <t xml:space="preserve">Fadlila Rohmadani, S.ST
Rani Fajar Nestiti, S.T
Daffah Ulfi Rahmatillah,SH
</t>
    </r>
    <r>
      <rPr>
        <b/>
        <sz val="11"/>
        <color rgb="FF000000"/>
        <rFont val="Arial"/>
      </rPr>
      <t xml:space="preserve">
TIMLIT PERUBAHAN
</t>
    </r>
    <r>
      <rPr>
        <sz val="11"/>
        <color rgb="FF000000"/>
        <rFont val="Arial"/>
      </rPr>
      <t>Maya Puspita Maharani, S.H.,LL.M
Rani Fajar Nestiti, S.T
Daffah Ulfi Rahmatillah,SH</t>
    </r>
  </si>
  <si>
    <r>
      <rPr>
        <b/>
        <sz val="12"/>
        <color rgb="FF4EA72E"/>
        <rFont val="Arial"/>
      </rPr>
      <t xml:space="preserve">TENDER SELESAI. KRONOLOGI PAKET:
</t>
    </r>
    <r>
      <rPr>
        <sz val="12"/>
        <color rgb="FF000000"/>
        <rFont val="Arial"/>
      </rPr>
      <t>1. SK Pokja terbit 1 Oktober 2025. Reviu dok persiapan dan Pengumuman tender 3 Oktober 2025. 
2. Upload Dokumen Penawaran semula 13 Oktober 2025 15:00 WIB menjadi 17 Oktober 2025 karena terdapat Addendum Dokumen berdasarkan Surat Nomor: PB 0205-Bpbpk13/1082 tanggal 13 Oktober 2025, Hal: Penyampaian Addendum Dokumen Lelang Paket Pekerjaan Pembangunan SPAM Diyeng II (Pelayanan SMA Taruna Nusantara) Kabupaten Malang. Pembukaan Penawaran 17 Oktober 2025
3. Pembukaan Dokumen Penawaran 27 Oktober 2025. Dari 18 penawaran yang masuk, terdapat 9 penawaran dibawah 80% HPS.
4. Evaluasi Penawaran semula sampai 27 Oktober 2025 menjadi 21 November 2025 dikarenakan terdapat klarifikasi yang diperlukan (pengalaman perusahaan berdasarkan data simpan, klarifikasi dokumen kualifikasi) dan EKH 2 peserta dengan 37 MPU. 
5. BA EKH Tanggal 25 November 2025 Selesai di TTD oleh Kedua Peserta
6. Evaluasi mundur menjadi 28 November 2025 karena masih menunggu hasil dari Tim Teknis Pendamping EKH dan klarifikasi data dukung EKH yang disampaikan penyedia serta proses klarifikasi teknis ke penyedia selanjutnya karena terdapat satu penyedia yang gugur evaluasi harga.
7. Penetapan pemenang 28 November 2025 dan Masa Sanggah sampai 3 Desember 2025 09:15 WIB. Penyampaian BAHP 3 Desember 2025</t>
    </r>
  </si>
  <si>
    <r>
      <rPr>
        <b/>
        <sz val="12"/>
        <color rgb="FF000000"/>
        <rFont val="Arial"/>
      </rPr>
      <t xml:space="preserve">KENDALA LIBUR NASIONAL: </t>
    </r>
    <r>
      <rPr>
        <sz val="12"/>
        <color rgb="FF000000"/>
        <rFont val="Arial"/>
      </rPr>
      <t xml:space="preserve">Tidak ada
</t>
    </r>
    <r>
      <rPr>
        <b/>
        <sz val="12"/>
        <color rgb="FF000000"/>
        <rFont val="Arial"/>
      </rPr>
      <t xml:space="preserve">
KENDALA SISTEM: </t>
    </r>
    <r>
      <rPr>
        <sz val="12"/>
        <color rgb="FF000000"/>
        <rFont val="Arial"/>
      </rPr>
      <t xml:space="preserve">Tidak Ada
</t>
    </r>
    <r>
      <rPr>
        <b/>
        <sz val="12"/>
        <color rgb="FF000000"/>
        <rFont val="Arial"/>
      </rPr>
      <t xml:space="preserve">
KENDALA PROSES (KLARIFIKASI DLL)
</t>
    </r>
    <r>
      <rPr>
        <sz val="12"/>
        <color rgb="FF000000"/>
        <rFont val="Arial"/>
      </rPr>
      <t xml:space="preserve">1. Permintaan memundurkan pembukaan penawaran menjadi 17 Oktober 2025 karena terdapat addendum berdasarkan Surat Kepala BPBPK Nomor: PB 0205-Bpbpk13/1082, tanggal 13 Oktober 2025 </t>
    </r>
    <r>
      <rPr>
        <b/>
        <sz val="12"/>
        <color rgb="FF000000"/>
        <rFont val="Arial"/>
      </rPr>
      <t xml:space="preserve">(4 HK)
</t>
    </r>
    <r>
      <rPr>
        <sz val="12"/>
        <color rgb="FF000000"/>
        <rFont val="Arial"/>
      </rPr>
      <t xml:space="preserve">2. Klarifikasi EKH: Undangan EKH 7 November 2025 ke 2 peserta (PT. Duta Rama &amp; PT. Rosa Lisca), dibalas peserta 13 dan 14 November 2025 </t>
    </r>
    <r>
      <rPr>
        <b/>
        <sz val="12"/>
        <color rgb="FF000000"/>
        <rFont val="Arial"/>
      </rPr>
      <t>(7HK)</t>
    </r>
  </si>
  <si>
    <t>PT. ROSA LISCA</t>
  </si>
  <si>
    <t>Ruko Mega Grosir Cempaka Mas Blok J No. 16, Jl. Letjend Suprapto - Jakarta Pusat (Kota) - DKI Jakarta</t>
  </si>
  <si>
    <t>2.32</t>
  </si>
  <si>
    <r>
      <rPr>
        <b/>
        <sz val="12"/>
        <color rgb="FFFF0000"/>
        <rFont val="Arial"/>
      </rPr>
      <t xml:space="preserve">OPLAH:
</t>
    </r>
    <r>
      <rPr>
        <b/>
        <sz val="12"/>
        <color rgb="FF000000"/>
        <rFont val="Arial"/>
      </rPr>
      <t>Peningkatan dan Rehabilitasi Jaringan Irigasi Utama Kewenangan Daerah di BBWS Brantas (Inpres Tahap III)</t>
    </r>
  </si>
  <si>
    <t>Feby Lorentika, ST
Elly Sulistyowati, SE
Risa Monika, S.IP
Maryam Amin, SE
Ahnaf Dzaky Rheinanda, SH</t>
  </si>
  <si>
    <t>Fadlila Rohmadani, ST
Arie Ardiansyah, SH
Sasetyo Gilang Kusumo, SH</t>
  </si>
  <si>
    <r>
      <rPr>
        <b/>
        <sz val="12"/>
        <color rgb="FFFF0000"/>
        <rFont val="Arial"/>
      </rPr>
      <t>PAKET OPLAH TAHAP III (PL).</t>
    </r>
    <r>
      <rPr>
        <b/>
        <sz val="12"/>
        <color rgb="FF4EA72E"/>
        <rFont val="Arial"/>
      </rPr>
      <t xml:space="preserve"> PENUNJUKAN LANGSUNG SELESAI
</t>
    </r>
    <r>
      <rPr>
        <sz val="12"/>
        <color rgb="FF000000"/>
        <rFont val="Arial"/>
      </rPr>
      <t>1. SK terbit 26 September 2025
2. Pendampingan dokumen persiapan PPK, 30 September 2025 dan tayang setelah dokumen lengkap 7 Oktober 2025
3. Upload Dokumen Penawaran 10 Oktober 2025 15:00 WIB
4. Evaluasi Penawaran sampai 14 Oktober 2025 15:30 WIB. Klarifikasi teknis dan negosiasi  14 Oktober 2025 15:31 WIB sampai 16 Oktober 16:30 WIB
5. Penandatanganan Kontrak sampai 24 Oktober 16:00 WIB</t>
    </r>
  </si>
  <si>
    <r>
      <rPr>
        <b/>
        <sz val="12"/>
        <color rgb="FF000000"/>
        <rFont val="Arial"/>
      </rPr>
      <t xml:space="preserve">KENDALA LIBUR NASIONAL: </t>
    </r>
    <r>
      <rPr>
        <sz val="12"/>
        <color rgb="FF000000"/>
        <rFont val="Arial"/>
      </rPr>
      <t xml:space="preserve">Tidak ada
</t>
    </r>
    <r>
      <rPr>
        <b/>
        <sz val="12"/>
        <color rgb="FF000000"/>
        <rFont val="Arial"/>
      </rPr>
      <t xml:space="preserve">
KENDALA SISTEM: </t>
    </r>
    <r>
      <rPr>
        <sz val="12"/>
        <color rgb="FF000000"/>
        <rFont val="Arial"/>
      </rPr>
      <t xml:space="preserve">Tidak Ada
</t>
    </r>
    <r>
      <rPr>
        <b/>
        <sz val="12"/>
        <color rgb="FF000000"/>
        <rFont val="Arial"/>
      </rPr>
      <t xml:space="preserve">
KENDALA PROSES KLARIFIKASI
</t>
    </r>
    <r>
      <rPr>
        <sz val="12"/>
        <color rgb="FF000000"/>
        <rFont val="Arial"/>
      </rPr>
      <t>Belum Ada proses klarifikasi</t>
    </r>
  </si>
  <si>
    <t>PT Pembangunan Perumahan (Persero) Tbk</t>
  </si>
  <si>
    <t>Jl Letjend TB Simatupang No 57 Pasar Rebo - Jakarta Timur (Kota) - DKI Jakarta</t>
  </si>
  <si>
    <t>01.001.613.7-093.000</t>
  </si>
  <si>
    <t>biro.ps@ptpp.co.id</t>
  </si>
  <si>
    <t>0218403883</t>
  </si>
  <si>
    <t>2.33</t>
  </si>
  <si>
    <r>
      <rPr>
        <b/>
        <sz val="12"/>
        <color rgb="FFFF0000"/>
        <rFont val="Arial"/>
      </rPr>
      <t xml:space="preserve">OPLAH:
</t>
    </r>
    <r>
      <rPr>
        <b/>
        <sz val="12"/>
        <color rgb="FF000000"/>
        <rFont val="Arial"/>
      </rPr>
      <t>Peningkatan dan Rehabilitasi Jaringan Tersier Daerah Irigasi Tahap III di Prov. Jawa Timur</t>
    </r>
  </si>
  <si>
    <t>Riska (+62 812-2284-8828)</t>
  </si>
  <si>
    <t>Elly Sulistyowati, SE
Maryam Amin, SE
Dhina Tri Hendriani, SE
Risa Monika, S.IP
Farah Rosa Bela A, A.Ars</t>
  </si>
  <si>
    <t>Fadlila Rohmadani, S.ST
Dyah Kusumaning Putri, SE
Sasetyo Gilang Kusumo, SH</t>
  </si>
  <si>
    <r>
      <rPr>
        <b/>
        <sz val="12"/>
        <color rgb="FFFF0000"/>
        <rFont val="Arial"/>
      </rPr>
      <t xml:space="preserve">PAKET OPLAH TAHAP III (PL). </t>
    </r>
    <r>
      <rPr>
        <b/>
        <sz val="12"/>
        <color rgb="FF4EA72E"/>
        <rFont val="Arial"/>
      </rPr>
      <t xml:space="preserve">PENUNJUKAN LANGSUNG SELESAI
</t>
    </r>
    <r>
      <rPr>
        <sz val="12"/>
        <color rgb="FF000000"/>
        <rFont val="Arial"/>
      </rPr>
      <t>1. Pendampingan dokumen persiapan PPK oleh BP2JK 30 September 2025. Paket disampaikan melalui TNDE 6 Oktober 2025 karena SIPBJ terkendala TKDN. SK terbit 7 Oktober 2025 berdasarkan permintaan PPK tanggal 6 Oktober 2025 melalui TNDE
2. Rencana Reviu DOk persiapan dengan pokja 9 Oktober 2025 karena dokumen PPK belum lengkap terupload di LPSE dan pokja pemilihan telah menyampaikan ke PPK
3. Upload dokumen penawaran sampai 14 Oktober 2025 15:00 WIB
4. Pembukaan dokumen penawaran 14 Oktober 2025 15:05 WIB
5. Klarifikasi teknis dan negosiasi sampai 16 Oktober 19:00 WIB
6. Penandatanganan Kontrak sampai 24 Oktober 15:00 WIB</t>
    </r>
  </si>
  <si>
    <t>https://spse.inaproc.id/pu/nontender/10469958000/pengumumanpl</t>
  </si>
  <si>
    <t>2.35</t>
  </si>
  <si>
    <t>Pembangunan Pasar Kesamben Kabupaten Blitar</t>
  </si>
  <si>
    <t>Feby Lorentika, ST
Risa Monika, S.IP
Dhina Tri Hendriani, SE
Maryam Amin, SE
Elly Sulistyowati, SE</t>
  </si>
  <si>
    <r>
      <rPr>
        <b/>
        <sz val="12"/>
        <color rgb="FFFF0000"/>
        <rFont val="Arial"/>
      </rPr>
      <t xml:space="preserve">Tahap Saat Ini: </t>
    </r>
    <r>
      <rPr>
        <b/>
        <sz val="12"/>
        <color rgb="FF000000"/>
        <rFont val="Arial"/>
      </rPr>
      <t xml:space="preserve">Masas anggah sampai 24 Desember 2025 15.10 WIB
</t>
    </r>
    <r>
      <rPr>
        <sz val="12"/>
        <color rgb="FF000000"/>
        <rFont val="Arial"/>
      </rPr>
      <t>1. Pengumuman SPSE 31 Oktober 2025. Pemasukan Penawaran sampai 7 November 2025 16:00 WIB berubah menjadi 11 November 2025 karena adanya Adendum Dokumen Pemilihan berdasarkan Surat PPK Pelaksanaan Prasarana Strategis I, Satuan Kerja Pelaksanaan Prasarana Strategis Jawa Timur Nomor: UM 0201/Gs19.1/747 tanggal 07 November 2025 Hal Pemberitahuan Perubahan/Penambahan Ke-2 (dua) Dokumen Tender Pembangunan Pasar Kesamben Kabupaten Blitar
2. Evaluasi Penawaran sampai 4 Desember 2025 12:00 WIB. (Klarifikasi ke 3 peserta dan 1 penawaran dibawah 80% dengan MPU EKH 118)
3. Proses evaluasi harga. Tanggal 8 data telah disampaikan penyedia jasa untuk data dukung EKH, saat ini proses input data dukung ke kertas kerja EKH dan rencana Rapat EKh dengan tim teknis dan penyedia 11 Desember 2025 tetapi tim teknis mengusulkan untuk mundur 12 Desember 2025. Pokja pemilihan telah mengundang peserta 11 Desember 2025
4. Evaluasi Penawaran mundur 11 Desember 2025. Dari 17 penawaran terdapat 1 penawaran di bawah 80% HPS.
5. Evaluasi Penawaran mundur 17 Desember 2025.
6.  Evaluasi Penawaran mundur sampai 19 Desember 2025 14.00 WIB. Dari 17 penawaran terdapat 1 penawaran di bawah 80% HPS.
7.  Pengumuman pemenang 19 Desember 2025 14.01 WIB</t>
    </r>
  </si>
  <si>
    <r>
      <rPr>
        <b/>
        <sz val="12"/>
        <color rgb="FF000000"/>
        <rFont val="Arial"/>
      </rPr>
      <t xml:space="preserve">KENDALA LIBUR NASIONAL
</t>
    </r>
    <r>
      <rPr>
        <sz val="12"/>
        <color rgb="FF000000"/>
        <rFont val="Arial"/>
      </rPr>
      <t xml:space="preserve">Tidak ada
</t>
    </r>
    <r>
      <rPr>
        <b/>
        <sz val="12"/>
        <color rgb="FF000000"/>
        <rFont val="Arial"/>
      </rPr>
      <t xml:space="preserve">
KENDALA SISTEM
</t>
    </r>
    <r>
      <rPr>
        <sz val="12"/>
        <color rgb="FF000000"/>
        <rFont val="Arial"/>
      </rPr>
      <t xml:space="preserve">Tidak Ada
</t>
    </r>
    <r>
      <rPr>
        <b/>
        <sz val="12"/>
        <color rgb="FF000000"/>
        <rFont val="Arial"/>
      </rPr>
      <t xml:space="preserve">
KENDALA PROSES KLARIFIKASI
</t>
    </r>
    <r>
      <rPr>
        <sz val="12"/>
        <color rgb="FF000000"/>
        <rFont val="Arial"/>
      </rPr>
      <t xml:space="preserve">1. Permintaan memundurkan pembukaan penawaran menjadi 11 November 2025 karena terdapat addendum berdasarkan Surat PPK Pelaksanaan Prasarana Strategis I, tanggal 07 November 2025 (5 HK)
2. Permohonan Tim Teknis Pendamping Evaluasi Kewajaran Harga kepada PPK tanggal 28 november 2025, dibalas 2 Desember 2025 (5 HK)
3. Klarifikasi keabsahan pengalaman personel tanggal 8 Desember 2025, terakhir dijawab tanggal 11 Desember 2025 (4 HK)
4. Undangan Permintaan Data untuk Kepentingan Klarifikasi dan Evaluasi Kewajaran Harga tanggal 3 Desember 2025 dibalas tanggal 8 Desember 2025 sesuai dengan permohonan penambahan waktu permintaan data EKH oleh PT. Citra Prasasti Konsorindo tanggal  5 Desember 2025 (6 HK)
5. Pengembalian BA Hasil Pendampingan Klarifikasi Kewajaran Harga dari Tim Teknis EKH tanggal 18 Desember 2025 untuk Proses EKH yang dilaksanakan Tanggal 12 Desember 2025 (6 HK)
</t>
    </r>
  </si>
  <si>
    <t>PT. CITRA PRASASTI KONSORINDO</t>
  </si>
  <si>
    <t>JI. Kemakmuran III No.58 Margajaya, Bekasi Selatan - Bekasi (Kota) - Jawa Barat</t>
  </si>
  <si>
    <t>2.36</t>
  </si>
  <si>
    <t>Rehabilitasi dan Renovasi Prasarana Sekolah Kabupaten Bojonegoro Lanjutan</t>
  </si>
  <si>
    <t>Feby Lorentika, ST
Risa Monika, S.IP
Elly Sulistyowati, SE
Maryam Amin, SE
Dhina Tri Hendriani, SE</t>
  </si>
  <si>
    <t>Teddy Marza Kurniawan, SH.
Sasetyo Gilang Kusumo, SH.
Rifqathin Ulya, SH., MH.</t>
  </si>
  <si>
    <r>
      <rPr>
        <sz val="12"/>
        <color rgb="FF000000"/>
        <rFont val="Arial"/>
      </rPr>
      <t xml:space="preserve">Merupakan paket yang saat ini masih dalam proses gugatan hukum di Pengadilan Negeri Surabaya sehingga sampai saat ini belum ada dokumen Berita Acara Pisah Batas untuk penetapan sisa volume pekerjaan sebagai dasar perhitungan HPS. Pokja pemilihan melalui Kepala BP2JK telah meminta arahan ke Direktur Pengadaan Jasa Konstruksi, apakah paket ini dapat ditayangkan atau tidak.
</t>
    </r>
    <r>
      <rPr>
        <b/>
        <sz val="12"/>
        <color rgb="FFFF0000"/>
        <rFont val="Arial"/>
      </rPr>
      <t xml:space="preserve">
TAHAP SAAT INI: </t>
    </r>
    <r>
      <rPr>
        <b/>
        <sz val="12"/>
        <color rgb="FF000000"/>
        <rFont val="Arial"/>
      </rPr>
      <t xml:space="preserve">SPPBJ dan penandatanganan kontrak sampai 31 Desember 2025 16.00 WIB
</t>
    </r>
    <r>
      <rPr>
        <sz val="12"/>
        <color rgb="FF000000"/>
        <rFont val="Arial"/>
      </rPr>
      <t>1. Pengumuman Tender 14 November 2025
2. Pemasukan Dokumen penawaran sampai 21 November 2025. Pembukaan  21 November 2025
3. Evaluasi Penawaran sampai 8 Desember 2025 14:00. Terdapat 5 peserta dibawah 80% dengan MPU 209 item.
4. Proses evaluasi harga. Tanggal 8 data telah disampaikan penyedia jasa untuk data dukung EKH, saat ini proses input data dukung ke kertas kerja EKH
5. Evaluasi penawaran sampai sd 17 Desember 2025 14;00 WIB. Dari 38 penawaran terdapat 5 penawaran di bawah 80% HPS
6. Penetapan Pemenang 17 Desember 2025 dan Masa Sanggah sampai 22 Desember 2025</t>
    </r>
  </si>
  <si>
    <t>ARKHA PUTRA PERKASA</t>
  </si>
  <si>
    <t>jl mawar kav zam zam blok c no 33 - Lumajang (Kab.) - Jawa Timur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</si>
</sst>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Rp&quot;#,##0;[Red]\-&quot;Rp&quot;#,##0"/>
    <numFmt numFmtId="43" formatCode="_-* #,##0.00_-;\-* #,##0.00_-;_-* &quot;-&quot;??_-;_-@_-"/>
    <numFmt numFmtId="164" formatCode="[$-421]dd\ mmmm\ yyyy"/>
    <numFmt numFmtId="165" formatCode="[$-F800]dddd\,\ mmmm\ dd\,\ yyyy"/>
    <numFmt numFmtId="166" formatCode="d\ mmmm\ yyyy"/>
    <numFmt numFmtId="167" formatCode="_(* #,##0_);_(* \(#,##0\);_(* &quot;-&quot;_);_(@_)"/>
    <numFmt numFmtId="168" formatCode="[$-421]dd\ mmmm\ yyyy;@"/>
    <numFmt numFmtId="169" formatCode="_-* #,##0_-;\-* #,##0_-;_-* &quot;-&quot;??_-;_-@_-"/>
  </numFmts>
  <fonts count="147">
    <font>
      <sz val="11"/>
      <color theme="1"/>
      <name val="Calibri"/>
      <family val="2"/>
      <scheme val="minor"/>
    </font>
    <font>
      <u/>
      <sz val="11"/>
      <color theme="10"/>
      <name val="Calibri"/>
      <family val="2"/>
      <scheme val="minor"/>
    </font>
    <font>
      <sz val="10"/>
      <color theme="1"/>
      <name val="Arial"/>
      <charset val="1"/>
    </font>
    <font>
      <b/>
      <sz val="10"/>
      <color rgb="FFFFFFFF"/>
      <name val="Arial"/>
      <charset val="1"/>
    </font>
    <font>
      <b/>
      <sz val="11"/>
      <color theme="1"/>
      <name val="Aptos Narrow"/>
      <family val="2"/>
      <scheme val="minor"/>
    </font>
    <font>
      <b/>
      <sz val="36"/>
      <color theme="1"/>
      <name val="Aptos Narrow"/>
      <family val="2"/>
      <scheme val="minor"/>
    </font>
    <font>
      <b/>
      <sz val="10"/>
      <color theme="1"/>
      <name val="Arial"/>
      <charset val="1"/>
    </font>
    <font>
      <b/>
      <sz val="14"/>
      <color theme="1"/>
      <name val="Calibri"/>
      <family val="2"/>
      <scheme val="minor"/>
    </font>
    <font>
      <b/>
      <sz val="11"/>
      <color theme="0"/>
      <name val="Aptos Narrow"/>
      <family val="2"/>
      <scheme val="minor"/>
    </font>
    <font>
      <sz val="11"/>
      <color theme="0"/>
      <name val="Calibri"/>
      <family val="2"/>
      <scheme val="minor"/>
    </font>
    <font>
      <b/>
      <sz val="11"/>
      <color theme="0"/>
      <name val="Calibri"/>
      <family val="2"/>
      <scheme val="minor"/>
    </font>
    <font>
      <b/>
      <sz val="14"/>
      <color rgb="FF000000"/>
      <name val="Arial"/>
    </font>
    <font>
      <sz val="12"/>
      <color rgb="FF000000"/>
      <name val="Arial"/>
    </font>
    <font>
      <sz val="14"/>
      <color rgb="FF000000"/>
      <name val="Arial"/>
    </font>
    <font>
      <b/>
      <i/>
      <sz val="14"/>
      <color rgb="FF000000"/>
      <name val="Arial"/>
    </font>
    <font>
      <sz val="11"/>
      <color rgb="FF000000"/>
      <name val="Arial"/>
    </font>
    <font>
      <i/>
      <sz val="14"/>
      <color rgb="FF000000"/>
      <name val="Arial"/>
    </font>
    <font>
      <b/>
      <sz val="12"/>
      <color rgb="FF000000"/>
      <name val="Arial"/>
    </font>
    <font>
      <sz val="12"/>
      <name val="Calibri"/>
    </font>
    <font>
      <sz val="11"/>
      <color rgb="FF000000"/>
      <name val="Tahoma"/>
    </font>
    <font>
      <sz val="11"/>
      <color rgb="FF000000"/>
      <name val="Calibri"/>
    </font>
    <font>
      <sz val="12"/>
      <color rgb="FF000000"/>
      <name val="Calibri"/>
    </font>
    <font>
      <sz val="12"/>
      <color theme="1"/>
      <name val="Calibri"/>
      <scheme val="minor"/>
    </font>
    <font>
      <sz val="11"/>
      <color rgb="FF000000"/>
      <name val="Calibri"/>
      <family val="2"/>
      <scheme val="minor"/>
    </font>
    <font>
      <sz val="12"/>
      <color rgb="FF000000"/>
      <name val="Arial"/>
      <family val="2"/>
    </font>
    <font>
      <sz val="11"/>
      <color rgb="FF000000"/>
      <name val="Arial"/>
      <family val="2"/>
    </font>
    <font>
      <sz val="10"/>
      <color rgb="FF000000"/>
      <name val="Times New Roman"/>
      <family val="1"/>
    </font>
    <font>
      <b/>
      <sz val="11"/>
      <name val="Arial"/>
      <family val="2"/>
    </font>
    <font>
      <b/>
      <sz val="11"/>
      <color rgb="FF000000"/>
      <name val="Arial"/>
      <family val="2"/>
    </font>
    <font>
      <b/>
      <sz val="11"/>
      <color rgb="FF000000"/>
      <name val="Arial"/>
    </font>
    <font>
      <b/>
      <i/>
      <sz val="11"/>
      <color rgb="FF000000"/>
      <name val="Arial"/>
    </font>
    <font>
      <b/>
      <u/>
      <sz val="11"/>
      <color rgb="FF000000"/>
      <name val="Arial"/>
      <family val="2"/>
    </font>
    <font>
      <b/>
      <sz val="11"/>
      <color theme="1"/>
      <name val="Times New Roman"/>
    </font>
    <font>
      <sz val="11"/>
      <color theme="1"/>
      <name val="Times New Roman"/>
    </font>
    <font>
      <u/>
      <sz val="11"/>
      <color theme="1"/>
      <name val="Times New Roman"/>
    </font>
    <font>
      <b/>
      <sz val="12"/>
      <color rgb="FF000000"/>
      <name val="Arial"/>
      <family val="2"/>
    </font>
    <font>
      <b/>
      <sz val="11"/>
      <color theme="1"/>
      <name val="Arial"/>
    </font>
    <font>
      <b/>
      <sz val="11"/>
      <color theme="1"/>
      <name val="Aptos Narrow"/>
    </font>
    <font>
      <sz val="11"/>
      <color theme="1"/>
      <name val="Arial"/>
    </font>
    <font>
      <sz val="10"/>
      <name val="Arial"/>
    </font>
    <font>
      <b/>
      <sz val="36"/>
      <color theme="1"/>
      <name val="Aptos Narrow"/>
    </font>
    <font>
      <sz val="10"/>
      <color theme="1"/>
      <name val="Arial"/>
    </font>
    <font>
      <u/>
      <sz val="11"/>
      <color rgb="FF0000FF"/>
      <name val="Arial"/>
    </font>
    <font>
      <u/>
      <sz val="11"/>
      <color theme="1"/>
      <name val="Arial"/>
    </font>
    <font>
      <b/>
      <u/>
      <sz val="11"/>
      <color theme="1"/>
      <name val="Arial"/>
    </font>
    <font>
      <u/>
      <sz val="11"/>
      <color rgb="FF467886"/>
      <name val="Arial"/>
    </font>
    <font>
      <i/>
      <sz val="11"/>
      <color rgb="FF000000"/>
      <name val="Arial"/>
    </font>
    <font>
      <b/>
      <sz val="11"/>
      <color theme="0"/>
      <name val="Arial"/>
    </font>
    <font>
      <sz val="11"/>
      <color theme="0"/>
      <name val="Arial"/>
    </font>
    <font>
      <b/>
      <sz val="10"/>
      <color theme="0"/>
      <name val="Arial"/>
    </font>
    <font>
      <b/>
      <sz val="11"/>
      <color theme="1"/>
      <name val="Calibri"/>
      <family val="2"/>
      <scheme val="minor"/>
    </font>
    <font>
      <b/>
      <sz val="10"/>
      <color theme="0"/>
      <name val="Arial"/>
      <charset val="1"/>
    </font>
    <font>
      <b/>
      <sz val="10"/>
      <color theme="1"/>
      <name val="Arial"/>
    </font>
    <font>
      <b/>
      <sz val="10"/>
      <color theme="0"/>
      <name val="Calibri"/>
      <family val="2"/>
      <scheme val="minor"/>
    </font>
    <font>
      <sz val="10"/>
      <color rgb="FF000000"/>
      <name val="Arial"/>
      <charset val="1"/>
    </font>
    <font>
      <b/>
      <sz val="10"/>
      <color theme="1"/>
      <name val="Calibri"/>
      <family val="2"/>
      <scheme val="minor"/>
    </font>
    <font>
      <b/>
      <sz val="12"/>
      <color theme="1"/>
      <name val="Calibri"/>
      <family val="2"/>
      <scheme val="minor"/>
    </font>
    <font>
      <sz val="10"/>
      <color rgb="FF000000"/>
      <name val="Arial"/>
    </font>
    <font>
      <b/>
      <sz val="10"/>
      <color rgb="FF000000"/>
      <name val="Arial"/>
    </font>
    <font>
      <sz val="11"/>
      <color theme="1"/>
      <name val="Calibri"/>
      <charset val="1"/>
    </font>
    <font>
      <sz val="11"/>
      <color rgb="FF000000"/>
      <name val="Calibri"/>
      <charset val="1"/>
    </font>
    <font>
      <sz val="11"/>
      <color rgb="FF242424"/>
      <name val="Aptos Narrow"/>
      <charset val="1"/>
    </font>
    <font>
      <sz val="11"/>
      <color rgb="FF000000"/>
      <name val="Aptos Narrow"/>
    </font>
    <font>
      <sz val="11"/>
      <color rgb="FF000000"/>
      <name val="Calibri"/>
      <charset val="134"/>
    </font>
    <font>
      <i/>
      <sz val="11"/>
      <color theme="1"/>
      <name val="Calibri"/>
      <family val="2"/>
      <scheme val="minor"/>
    </font>
    <font>
      <b/>
      <i/>
      <sz val="11"/>
      <color theme="1"/>
      <name val="Calibri"/>
      <family val="2"/>
      <scheme val="minor"/>
    </font>
    <font>
      <b/>
      <i/>
      <sz val="11"/>
      <color rgb="FF000000"/>
      <name val="Calibri"/>
      <scheme val="minor"/>
    </font>
    <font>
      <b/>
      <sz val="11"/>
      <color rgb="FF000000"/>
      <name val="Calibri"/>
      <scheme val="minor"/>
    </font>
    <font>
      <b/>
      <sz val="11"/>
      <color rgb="FF000000"/>
      <name val="Calibri"/>
      <family val="2"/>
      <scheme val="minor"/>
    </font>
    <font>
      <i/>
      <sz val="11"/>
      <color rgb="FF000000"/>
      <name val="Calibri"/>
      <scheme val="minor"/>
    </font>
    <font>
      <sz val="11"/>
      <color rgb="FF000000"/>
      <name val="Calibri"/>
      <scheme val="minor"/>
    </font>
    <font>
      <b/>
      <sz val="11"/>
      <color theme="0"/>
      <name val="Calibri"/>
      <charset val="1"/>
    </font>
    <font>
      <sz val="11"/>
      <color theme="1"/>
      <name val="Arial Narrow"/>
      <charset val="134"/>
    </font>
    <font>
      <sz val="11"/>
      <color rgb="FF000000"/>
      <name val="Arial Narrow"/>
      <charset val="134"/>
    </font>
    <font>
      <sz val="11"/>
      <color theme="1" tint="4.9989318521683403E-2"/>
      <name val="Calibri"/>
      <charset val="134"/>
      <scheme val="minor"/>
    </font>
    <font>
      <b/>
      <sz val="10"/>
      <name val="Arial"/>
    </font>
    <font>
      <sz val="10"/>
      <name val="Arial Narrow"/>
      <family val="2"/>
    </font>
    <font>
      <b/>
      <sz val="10"/>
      <name val="Arial Narrow"/>
      <family val="2"/>
    </font>
    <font>
      <b/>
      <sz val="10"/>
      <name val="Arial"/>
      <family val="2"/>
    </font>
    <font>
      <sz val="22"/>
      <name val="Arial"/>
      <family val="2"/>
    </font>
    <font>
      <i/>
      <sz val="10"/>
      <name val="Arial Narrow"/>
      <family val="2"/>
    </font>
    <font>
      <b/>
      <u/>
      <sz val="10"/>
      <name val="Arial"/>
      <family val="2"/>
    </font>
    <font>
      <b/>
      <sz val="11"/>
      <color rgb="FF000000"/>
      <name val="Times New Roman"/>
    </font>
    <font>
      <b/>
      <sz val="11"/>
      <color theme="0"/>
      <name val="Times New Roman"/>
    </font>
    <font>
      <b/>
      <i/>
      <sz val="11"/>
      <color theme="0"/>
      <name val="Times New Roman"/>
    </font>
    <font>
      <sz val="11"/>
      <color rgb="FF000000"/>
      <name val="Times New Roman"/>
    </font>
    <font>
      <i/>
      <sz val="11"/>
      <color rgb="FF000000"/>
      <name val="Times New Roman"/>
    </font>
    <font>
      <sz val="11"/>
      <color rgb="FF000000"/>
      <name val="Carlito"/>
    </font>
    <font>
      <i/>
      <sz val="11"/>
      <name val="Carlito"/>
    </font>
    <font>
      <sz val="11"/>
      <name val="Carlito"/>
    </font>
    <font>
      <i/>
      <sz val="11"/>
      <color rgb="FF000000"/>
      <name val="Carlito"/>
    </font>
    <font>
      <b/>
      <i/>
      <sz val="11"/>
      <color rgb="FFFFFFFF"/>
      <name val="Times New Roman"/>
    </font>
    <font>
      <b/>
      <sz val="11"/>
      <color rgb="FFFFFFFF"/>
      <name val="Times New Roman"/>
    </font>
    <font>
      <sz val="11"/>
      <color rgb="FF000000"/>
      <name val="Times New Roman"/>
      <charset val="1"/>
    </font>
    <font>
      <b/>
      <sz val="26"/>
      <color theme="1"/>
      <name val="Aptos Narrow"/>
      <family val="2"/>
      <scheme val="minor"/>
    </font>
    <font>
      <b/>
      <sz val="18"/>
      <color theme="0"/>
      <name val="Aptos Narrow"/>
      <family val="2"/>
      <scheme val="minor"/>
    </font>
    <font>
      <sz val="12"/>
      <color theme="1"/>
      <name val="Arial"/>
    </font>
    <font>
      <b/>
      <sz val="14"/>
      <color rgb="FFFFFFFF"/>
      <name val="Calibri"/>
      <charset val="1"/>
    </font>
    <font>
      <b/>
      <sz val="16"/>
      <color rgb="FFFFFFFF"/>
      <name val="Calibri"/>
      <charset val="1"/>
    </font>
    <font>
      <b/>
      <sz val="11"/>
      <color rgb="FFFFFFFF"/>
      <name val="Calibri"/>
      <charset val="1"/>
    </font>
    <font>
      <b/>
      <sz val="20"/>
      <color rgb="FFFFFFFF"/>
      <name val="Calibri"/>
      <charset val="1"/>
    </font>
    <font>
      <b/>
      <sz val="12"/>
      <color rgb="FFFFFFFF"/>
      <name val="Calibri"/>
      <charset val="1"/>
    </font>
    <font>
      <b/>
      <sz val="10"/>
      <color rgb="FFFFFFFF"/>
      <name val="Calibri"/>
      <charset val="1"/>
    </font>
    <font>
      <b/>
      <sz val="26"/>
      <color rgb="FFFFFFFF"/>
      <name val="Calibri"/>
      <charset val="1"/>
    </font>
    <font>
      <sz val="16"/>
      <color theme="0"/>
      <name val="Aptos Narrow"/>
      <family val="2"/>
      <scheme val="minor"/>
    </font>
    <font>
      <sz val="14"/>
      <color theme="0"/>
      <name val="Aptos Narrow"/>
      <family val="2"/>
      <scheme val="minor"/>
    </font>
    <font>
      <b/>
      <sz val="14"/>
      <color theme="0"/>
      <name val="Arial"/>
    </font>
    <font>
      <b/>
      <sz val="20"/>
      <color theme="1"/>
      <name val="Calibri"/>
      <charset val="1"/>
    </font>
    <font>
      <b/>
      <sz val="16"/>
      <color theme="1"/>
      <name val="Calibri"/>
      <charset val="1"/>
    </font>
    <font>
      <b/>
      <sz val="12"/>
      <color theme="1"/>
      <name val="Arial"/>
    </font>
    <font>
      <b/>
      <sz val="16"/>
      <color theme="1"/>
      <name val="Aptos Narrow"/>
      <family val="2"/>
      <scheme val="minor"/>
    </font>
    <font>
      <b/>
      <sz val="12"/>
      <color theme="1"/>
      <name val="Aptos Narrow"/>
      <family val="2"/>
      <scheme val="minor"/>
    </font>
    <font>
      <sz val="15"/>
      <color theme="1"/>
      <name val="Aptos Narrow"/>
      <family val="2"/>
      <scheme val="minor"/>
    </font>
    <font>
      <sz val="26"/>
      <color rgb="FFFF0000"/>
      <name val="Aptos Narrow"/>
      <family val="2"/>
      <scheme val="minor"/>
    </font>
    <font>
      <b/>
      <sz val="15"/>
      <color theme="1"/>
      <name val="Aptos Narrow"/>
      <family val="2"/>
      <scheme val="minor"/>
    </font>
    <font>
      <u/>
      <sz val="15"/>
      <color theme="10"/>
      <name val="Aptos Narrow"/>
      <family val="2"/>
      <scheme val="minor"/>
    </font>
    <font>
      <b/>
      <sz val="15"/>
      <color rgb="FF000000"/>
      <name val="Aptos Narrow"/>
      <family val="2"/>
      <scheme val="minor"/>
    </font>
    <font>
      <sz val="11"/>
      <color rgb="FF000000"/>
      <name val="Aptos Narrow"/>
      <scheme val="minor"/>
    </font>
    <font>
      <b/>
      <sz val="11"/>
      <color rgb="FF000000"/>
      <name val="Aptos Narrow"/>
      <scheme val="minor"/>
    </font>
    <font>
      <b/>
      <sz val="26"/>
      <color theme="1"/>
      <name val="Arial"/>
    </font>
    <font>
      <b/>
      <sz val="13"/>
      <color rgb="FF000000"/>
      <name val="Arial"/>
    </font>
    <font>
      <sz val="13"/>
      <color rgb="FF000000"/>
      <name val="Arial"/>
    </font>
    <font>
      <b/>
      <sz val="16"/>
      <color theme="1"/>
      <name val="Arial"/>
    </font>
    <font>
      <b/>
      <sz val="12"/>
      <color rgb="FFFF0000"/>
      <name val="Arial"/>
    </font>
    <font>
      <sz val="13"/>
      <color theme="1"/>
      <name val="Arial"/>
    </font>
    <font>
      <b/>
      <sz val="18"/>
      <color theme="1"/>
      <name val="Arial"/>
    </font>
    <font>
      <b/>
      <sz val="12"/>
      <color rgb="FF4EA72E"/>
      <name val="Arial"/>
    </font>
    <font>
      <b/>
      <sz val="34"/>
      <color theme="1"/>
      <name val="Arial"/>
    </font>
    <font>
      <b/>
      <sz val="36"/>
      <color theme="1"/>
      <name val="Arial"/>
    </font>
    <font>
      <b/>
      <sz val="12"/>
      <color rgb="FF3C7D22"/>
      <name val="Arial"/>
    </font>
    <font>
      <b/>
      <sz val="12"/>
      <color rgb="FFBD5015"/>
      <name val="Arial"/>
    </font>
    <font>
      <sz val="14"/>
      <color theme="1"/>
      <name val="Arial"/>
    </font>
    <font>
      <b/>
      <sz val="13"/>
      <color rgb="FF4EA72E"/>
      <name val="Arial"/>
    </font>
    <font>
      <b/>
      <sz val="48"/>
      <color theme="1"/>
      <name val="Arial"/>
    </font>
    <font>
      <b/>
      <sz val="14"/>
      <color rgb="FF4EA72E"/>
      <name val="Arial"/>
    </font>
    <font>
      <b/>
      <sz val="28"/>
      <color theme="1"/>
      <name val="Arial"/>
    </font>
    <font>
      <sz val="12"/>
      <color theme="1"/>
      <name val="Aptos Narrow"/>
      <family val="2"/>
      <scheme val="minor"/>
    </font>
    <font>
      <sz val="38"/>
      <color theme="1"/>
      <name val="Arial"/>
    </font>
    <font>
      <b/>
      <sz val="38"/>
      <color theme="1"/>
      <name val="Arial"/>
    </font>
    <font>
      <sz val="14"/>
      <color rgb="FF495057"/>
      <name val="IBM Plex Sans"/>
      <family val="2"/>
      <charset val="1"/>
    </font>
    <font>
      <b/>
      <sz val="20"/>
      <color theme="1"/>
      <name val="Arial"/>
    </font>
    <font>
      <b/>
      <sz val="14"/>
      <color rgb="FF186C24"/>
      <name val="Arial"/>
    </font>
    <font>
      <b/>
      <sz val="12"/>
      <color rgb="FF8ED973"/>
      <name val="Arial"/>
    </font>
    <font>
      <b/>
      <sz val="20"/>
      <color theme="1"/>
      <name val="Calibri"/>
      <family val="2"/>
      <scheme val="minor"/>
    </font>
    <font>
      <sz val="11"/>
      <color rgb="FF000000"/>
      <name val="Times New Roman"/>
      <family val="1"/>
    </font>
    <font>
      <i/>
      <sz val="11"/>
      <color rgb="FF000000"/>
      <name val="Times New Roman"/>
      <family val="1"/>
    </font>
    <font>
      <b/>
      <sz val="11"/>
      <color rgb="FF000000"/>
      <name val="Times New Roman"/>
      <family val="1"/>
    </font>
  </fonts>
  <fills count="40">
    <fill>
      <patternFill patternType="none"/>
    </fill>
    <fill>
      <patternFill patternType="gray125"/>
    </fill>
    <fill>
      <patternFill patternType="solid">
        <fgColor rgb="FF073763"/>
        <bgColor indexed="64"/>
      </patternFill>
    </fill>
    <fill>
      <patternFill patternType="solid">
        <fgColor rgb="FFFFFFFF"/>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rgb="FF002060"/>
        <bgColor indexed="64"/>
      </patternFill>
    </fill>
    <fill>
      <patternFill patternType="solid">
        <fgColor rgb="FFBDD6EE"/>
        <bgColor rgb="FFBDD6EE"/>
      </patternFill>
    </fill>
    <fill>
      <patternFill patternType="solid">
        <fgColor rgb="FF9BC2E6"/>
      </patternFill>
    </fill>
    <fill>
      <patternFill patternType="solid">
        <fgColor rgb="FFFFFF00"/>
        <bgColor indexed="64"/>
      </patternFill>
    </fill>
    <fill>
      <patternFill patternType="solid">
        <fgColor rgb="FFC0E4F5"/>
        <bgColor rgb="FFC0E4F5"/>
      </patternFill>
    </fill>
    <fill>
      <patternFill patternType="solid">
        <fgColor rgb="FFD9F2D0"/>
        <bgColor rgb="FFD9F2D0"/>
      </patternFill>
    </fill>
    <fill>
      <patternFill patternType="solid">
        <fgColor rgb="FFFFFFFF"/>
        <bgColor rgb="FFFFFFFF"/>
      </patternFill>
    </fill>
    <fill>
      <patternFill patternType="solid">
        <fgColor theme="0"/>
        <bgColor theme="0"/>
      </patternFill>
    </fill>
    <fill>
      <patternFill patternType="solid">
        <fgColor rgb="FFDAF2D0"/>
        <bgColor rgb="FFDAF2D0"/>
      </patternFill>
    </fill>
    <fill>
      <patternFill patternType="solid">
        <fgColor rgb="FFD9EAD3"/>
        <bgColor rgb="FFD9EAD3"/>
      </patternFill>
    </fill>
    <fill>
      <patternFill patternType="solid">
        <fgColor rgb="FFD9F2D0"/>
        <bgColor indexed="64"/>
      </patternFill>
    </fill>
    <fill>
      <patternFill patternType="solid">
        <fgColor rgb="FFD9EAD3"/>
        <bgColor indexed="64"/>
      </patternFill>
    </fill>
    <fill>
      <patternFill patternType="solid">
        <fgColor theme="9" tint="0.79998168889431442"/>
        <bgColor indexed="64"/>
      </patternFill>
    </fill>
    <fill>
      <patternFill patternType="solid">
        <fgColor theme="0"/>
        <bgColor indexed="64"/>
      </patternFill>
    </fill>
    <fill>
      <patternFill patternType="solid">
        <fgColor theme="8" tint="0.79998168889431442"/>
        <bgColor indexed="64"/>
      </patternFill>
    </fill>
    <fill>
      <patternFill patternType="solid">
        <fgColor theme="1"/>
        <bgColor indexed="64"/>
      </patternFill>
    </fill>
    <fill>
      <patternFill patternType="solid">
        <fgColor theme="0" tint="-0.14999847407452621"/>
        <bgColor indexed="64"/>
      </patternFill>
    </fill>
    <fill>
      <patternFill patternType="solid">
        <fgColor rgb="FFFFC000"/>
        <bgColor indexed="64"/>
      </patternFill>
    </fill>
    <fill>
      <patternFill patternType="solid">
        <fgColor rgb="FFFF0000"/>
        <bgColor indexed="64"/>
      </patternFill>
    </fill>
    <fill>
      <patternFill patternType="solid">
        <fgColor theme="4" tint="-0.499984740745262"/>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theme="9"/>
        <bgColor indexed="64"/>
      </patternFill>
    </fill>
    <fill>
      <patternFill patternType="solid">
        <fgColor rgb="FF0C343D"/>
        <bgColor indexed="64"/>
      </patternFill>
    </fill>
    <fill>
      <patternFill patternType="solid">
        <fgColor theme="9" tint="-0.249977111117893"/>
        <bgColor indexed="64"/>
      </patternFill>
    </fill>
    <fill>
      <patternFill patternType="solid">
        <fgColor theme="0" tint="-4.9989318521683403E-2"/>
        <bgColor indexed="64"/>
      </patternFill>
    </fill>
    <fill>
      <patternFill patternType="solid">
        <fgColor theme="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8" tint="0.39997558519241921"/>
        <bgColor indexed="64"/>
      </patternFill>
    </fill>
    <fill>
      <patternFill patternType="solid">
        <fgColor rgb="FFE2EFDA"/>
        <bgColor rgb="FF000000"/>
      </patternFill>
    </fill>
    <fill>
      <patternFill patternType="solid">
        <fgColor theme="7" tint="0.39997558519241921"/>
        <bgColor indexed="64"/>
      </patternFill>
    </fill>
    <fill>
      <patternFill patternType="solid">
        <fgColor theme="7" tint="0.59999389629810485"/>
        <bgColor indexed="64"/>
      </patternFill>
    </fill>
  </fills>
  <borders count="35">
    <border>
      <left/>
      <right/>
      <top/>
      <bottom/>
      <diagonal/>
    </border>
    <border>
      <left style="thin">
        <color rgb="FFCCCCCC"/>
      </left>
      <right style="thin">
        <color rgb="FF000000"/>
      </right>
      <top style="thin">
        <color rgb="FFCCCCCC"/>
      </top>
      <bottom style="thin">
        <color rgb="FF000000"/>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CCCCCC"/>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top style="thin">
        <color rgb="FF000000"/>
      </top>
      <bottom style="thin">
        <color rgb="FF000000"/>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CCCCCC"/>
      </left>
      <right/>
      <top style="thin">
        <color rgb="FF000000"/>
      </top>
      <bottom style="thin">
        <color rgb="FF000000"/>
      </bottom>
      <diagonal/>
    </border>
    <border>
      <left style="thin">
        <color rgb="FFCCCCCC"/>
      </left>
      <right/>
      <top style="thin">
        <color rgb="FFCCCCCC"/>
      </top>
      <bottom style="thin">
        <color rgb="FF000000"/>
      </bottom>
      <diagonal/>
    </border>
    <border>
      <left style="thin">
        <color indexed="64"/>
      </left>
      <right style="thin">
        <color indexed="64"/>
      </right>
      <top style="thin">
        <color indexed="8"/>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8"/>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top/>
      <bottom style="thin">
        <color theme="0"/>
      </bottom>
      <diagonal/>
    </border>
    <border>
      <left style="thin">
        <color indexed="64"/>
      </left>
      <right/>
      <top/>
      <bottom style="thin">
        <color indexed="64"/>
      </bottom>
      <diagonal/>
    </border>
  </borders>
  <cellStyleXfs count="4">
    <xf numFmtId="0" fontId="0" fillId="0" borderId="0"/>
    <xf numFmtId="0" fontId="1" fillId="0" borderId="0" applyNumberFormat="0" applyFill="0" applyBorder="0" applyAlignment="0" applyProtection="0"/>
    <xf numFmtId="0" fontId="23" fillId="0" borderId="0"/>
    <xf numFmtId="0" fontId="26" fillId="0" borderId="0"/>
  </cellStyleXfs>
  <cellXfs count="1743">
    <xf numFmtId="0" fontId="0" fillId="0" borderId="0" xfId="0"/>
    <xf numFmtId="0" fontId="2" fillId="0" borderId="1" xfId="0" applyFont="1" applyBorder="1" applyAlignment="1">
      <alignment readingOrder="1"/>
    </xf>
    <xf numFmtId="0" fontId="2" fillId="0" borderId="1" xfId="0" applyFont="1" applyBorder="1" applyAlignment="1">
      <alignment wrapText="1" readingOrder="1"/>
    </xf>
    <xf numFmtId="0" fontId="3" fillId="2" borderId="3" xfId="0" applyFont="1" applyFill="1" applyBorder="1" applyAlignment="1">
      <alignment horizontal="center" vertical="center" wrapText="1" readingOrder="1"/>
    </xf>
    <xf numFmtId="0" fontId="3" fillId="2" borderId="4" xfId="0" applyFont="1" applyFill="1" applyBorder="1" applyAlignment="1">
      <alignment horizontal="center" vertical="center" wrapText="1" readingOrder="1"/>
    </xf>
    <xf numFmtId="15" fontId="2" fillId="0" borderId="1" xfId="0" applyNumberFormat="1" applyFont="1" applyBorder="1" applyAlignment="1">
      <alignment horizontal="center" vertical="center" wrapText="1" readingOrder="1"/>
    </xf>
    <xf numFmtId="0" fontId="2" fillId="0" borderId="1" xfId="0" applyFont="1" applyBorder="1" applyAlignment="1">
      <alignment horizontal="center" vertical="center" wrapText="1" readingOrder="1"/>
    </xf>
    <xf numFmtId="0" fontId="0" fillId="0" borderId="0" xfId="0" applyAlignment="1">
      <alignment horizontal="center" vertical="center"/>
    </xf>
    <xf numFmtId="0" fontId="2" fillId="3" borderId="1" xfId="0" applyFont="1" applyFill="1" applyBorder="1" applyAlignment="1">
      <alignment horizontal="left" vertical="center" wrapText="1" readingOrder="1"/>
    </xf>
    <xf numFmtId="0" fontId="2" fillId="0" borderId="2" xfId="0" applyFont="1" applyBorder="1" applyAlignment="1">
      <alignment horizontal="center" vertical="center" wrapText="1" readingOrder="1"/>
    </xf>
    <xf numFmtId="0" fontId="2" fillId="3" borderId="1" xfId="0" quotePrefix="1" applyFont="1" applyFill="1" applyBorder="1" applyAlignment="1">
      <alignment horizontal="left" vertical="center" wrapText="1" readingOrder="1"/>
    </xf>
    <xf numFmtId="1" fontId="2" fillId="3" borderId="1" xfId="0" applyNumberFormat="1" applyFont="1" applyFill="1" applyBorder="1" applyAlignment="1">
      <alignment horizontal="left" vertical="center" wrapText="1" readingOrder="1"/>
    </xf>
    <xf numFmtId="0" fontId="2" fillId="3" borderId="1" xfId="0" quotePrefix="1" applyFont="1" applyFill="1" applyBorder="1" applyAlignment="1">
      <alignment horizontal="left" vertical="center" readingOrder="1"/>
    </xf>
    <xf numFmtId="0" fontId="2" fillId="0" borderId="1" xfId="0" quotePrefix="1" applyFont="1" applyBorder="1" applyAlignment="1">
      <alignment horizontal="left" vertical="center" wrapText="1" readingOrder="1"/>
    </xf>
    <xf numFmtId="0" fontId="5" fillId="0" borderId="3" xfId="0" applyFont="1" applyBorder="1" applyAlignment="1">
      <alignment horizontal="center" vertical="center"/>
    </xf>
    <xf numFmtId="0" fontId="0" fillId="0" borderId="0" xfId="0" applyAlignment="1">
      <alignment horizontal="left" vertical="center" wrapText="1"/>
    </xf>
    <xf numFmtId="0" fontId="0" fillId="0" borderId="0" xfId="0" applyAlignment="1">
      <alignment vertical="center"/>
    </xf>
    <xf numFmtId="0" fontId="0" fillId="0" borderId="0" xfId="0" applyAlignment="1">
      <alignment horizontal="left" vertical="center"/>
    </xf>
    <xf numFmtId="0" fontId="2" fillId="3" borderId="9" xfId="0" applyFont="1" applyFill="1" applyBorder="1" applyAlignment="1">
      <alignment horizontal="center" vertical="center" readingOrder="1"/>
    </xf>
    <xf numFmtId="0" fontId="2" fillId="3" borderId="10" xfId="0" applyFont="1" applyFill="1" applyBorder="1" applyAlignment="1">
      <alignment horizontal="center" vertical="center" readingOrder="1"/>
    </xf>
    <xf numFmtId="0" fontId="6" fillId="3" borderId="7" xfId="0" applyFont="1" applyFill="1" applyBorder="1" applyAlignment="1">
      <alignment horizontal="left" vertical="center" wrapText="1" readingOrder="1"/>
    </xf>
    <xf numFmtId="0" fontId="6" fillId="3" borderId="6" xfId="0" applyFont="1" applyFill="1" applyBorder="1" applyAlignment="1">
      <alignment horizontal="left" vertical="center" wrapText="1" readingOrder="1"/>
    </xf>
    <xf numFmtId="0" fontId="0" fillId="0" borderId="3" xfId="0" applyBorder="1" applyAlignment="1">
      <alignment wrapText="1"/>
    </xf>
    <xf numFmtId="0" fontId="0" fillId="0" borderId="3" xfId="0" applyBorder="1" applyAlignment="1">
      <alignment horizontal="left" vertical="center" wrapText="1"/>
    </xf>
    <xf numFmtId="0" fontId="0" fillId="0" borderId="3" xfId="0" applyBorder="1" applyAlignment="1">
      <alignment horizontal="center" vertical="center"/>
    </xf>
    <xf numFmtId="0" fontId="1" fillId="0" borderId="3" xfId="1" applyBorder="1" applyAlignment="1">
      <alignment vertical="center"/>
    </xf>
    <xf numFmtId="0" fontId="6" fillId="3" borderId="9" xfId="0" applyFont="1" applyFill="1" applyBorder="1" applyAlignment="1">
      <alignment horizontal="left" vertical="center" wrapText="1" readingOrder="1"/>
    </xf>
    <xf numFmtId="0" fontId="6" fillId="3" borderId="10" xfId="0" applyFont="1" applyFill="1" applyBorder="1" applyAlignment="1">
      <alignment horizontal="left" vertical="center" wrapText="1" readingOrder="1"/>
    </xf>
    <xf numFmtId="0" fontId="0" fillId="0" borderId="3" xfId="0" applyBorder="1" applyAlignment="1">
      <alignment vertical="top" wrapText="1"/>
    </xf>
    <xf numFmtId="15" fontId="0" fillId="0" borderId="3" xfId="0" applyNumberFormat="1" applyBorder="1" applyAlignment="1">
      <alignment horizontal="left" vertical="center" wrapText="1"/>
    </xf>
    <xf numFmtId="0" fontId="2" fillId="5" borderId="8" xfId="0" applyFont="1" applyFill="1" applyBorder="1" applyAlignment="1">
      <alignment horizontal="center" vertical="center" readingOrder="1"/>
    </xf>
    <xf numFmtId="0" fontId="6" fillId="5" borderId="5" xfId="0" applyFont="1" applyFill="1" applyBorder="1" applyAlignment="1">
      <alignment horizontal="left" vertical="center" wrapText="1" readingOrder="1"/>
    </xf>
    <xf numFmtId="0" fontId="0" fillId="5" borderId="3" xfId="0" applyFill="1" applyBorder="1" applyAlignment="1">
      <alignment wrapText="1"/>
    </xf>
    <xf numFmtId="0" fontId="0" fillId="5" borderId="3" xfId="0" applyFill="1" applyBorder="1" applyAlignment="1">
      <alignment horizontal="left" vertical="center" wrapText="1"/>
    </xf>
    <xf numFmtId="0" fontId="0" fillId="5" borderId="3" xfId="0" applyFill="1" applyBorder="1" applyAlignment="1">
      <alignment horizontal="center" vertical="center"/>
    </xf>
    <xf numFmtId="0" fontId="4" fillId="5" borderId="3" xfId="0" applyFont="1" applyFill="1" applyBorder="1" applyAlignment="1">
      <alignment horizontal="center" vertical="center" wrapText="1"/>
    </xf>
    <xf numFmtId="0" fontId="1" fillId="5" borderId="3" xfId="1" applyFill="1" applyBorder="1" applyAlignment="1">
      <alignment vertical="center"/>
    </xf>
    <xf numFmtId="0" fontId="4" fillId="4" borderId="3" xfId="0" applyFont="1" applyFill="1" applyBorder="1" applyAlignment="1">
      <alignment vertical="center" wrapText="1"/>
    </xf>
    <xf numFmtId="0" fontId="4" fillId="6" borderId="3" xfId="0" applyFont="1" applyFill="1" applyBorder="1" applyAlignment="1">
      <alignment vertical="center" wrapText="1"/>
    </xf>
    <xf numFmtId="0" fontId="8" fillId="7" borderId="3" xfId="0" applyFont="1" applyFill="1" applyBorder="1" applyAlignment="1">
      <alignment horizontal="center" vertical="center"/>
    </xf>
    <xf numFmtId="0" fontId="8" fillId="7" borderId="3" xfId="0" applyFont="1" applyFill="1" applyBorder="1" applyAlignment="1">
      <alignment horizontal="center" vertical="center" wrapText="1"/>
    </xf>
    <xf numFmtId="0" fontId="8" fillId="7" borderId="5" xfId="0" applyFont="1" applyFill="1" applyBorder="1" applyAlignment="1">
      <alignment horizontal="center" vertical="center" wrapText="1"/>
    </xf>
    <xf numFmtId="0" fontId="0" fillId="0" borderId="0" xfId="0" applyAlignment="1">
      <alignment horizontal="center" vertical="center" wrapText="1"/>
    </xf>
    <xf numFmtId="0" fontId="9" fillId="0" borderId="0" xfId="0" applyFont="1" applyAlignment="1">
      <alignment horizontal="center" vertical="center" wrapText="1"/>
    </xf>
    <xf numFmtId="0" fontId="0" fillId="0" borderId="3" xfId="0" applyBorder="1"/>
    <xf numFmtId="0" fontId="9" fillId="0" borderId="0" xfId="0" applyFont="1"/>
    <xf numFmtId="0" fontId="10" fillId="7" borderId="3" xfId="0" applyFont="1" applyFill="1" applyBorder="1" applyAlignment="1">
      <alignment horizontal="center" vertical="center" wrapText="1"/>
    </xf>
    <xf numFmtId="0" fontId="12" fillId="0" borderId="0" xfId="0" applyFont="1" applyAlignment="1">
      <alignment vertical="center"/>
    </xf>
    <xf numFmtId="0" fontId="13" fillId="0" borderId="0" xfId="0" applyFont="1" applyAlignment="1">
      <alignment vertical="center"/>
    </xf>
    <xf numFmtId="0" fontId="13" fillId="0" borderId="0" xfId="0" applyFont="1" applyAlignment="1">
      <alignment vertical="center" wrapText="1"/>
    </xf>
    <xf numFmtId="0" fontId="13" fillId="0" borderId="0" xfId="0" applyFont="1" applyAlignment="1">
      <alignment horizontal="center" vertical="center"/>
    </xf>
    <xf numFmtId="0" fontId="11" fillId="0" borderId="0" xfId="0" applyFont="1" applyAlignment="1">
      <alignment vertical="center"/>
    </xf>
    <xf numFmtId="0" fontId="15" fillId="0" borderId="0" xfId="0" applyFont="1" applyAlignment="1">
      <alignment vertical="center"/>
    </xf>
    <xf numFmtId="0" fontId="17" fillId="0" borderId="0" xfId="0" applyFont="1" applyAlignment="1">
      <alignment vertical="center"/>
    </xf>
    <xf numFmtId="0" fontId="12" fillId="0" borderId="0" xfId="0" applyFont="1" applyAlignment="1">
      <alignment vertical="center" wrapText="1"/>
    </xf>
    <xf numFmtId="0" fontId="12" fillId="0" borderId="0" xfId="0" applyFont="1" applyAlignment="1">
      <alignment horizontal="center" vertical="center"/>
    </xf>
    <xf numFmtId="0" fontId="17" fillId="8" borderId="3" xfId="0" applyFont="1" applyFill="1" applyBorder="1" applyAlignment="1">
      <alignment horizontal="center" vertical="center" wrapText="1"/>
    </xf>
    <xf numFmtId="0" fontId="12" fillId="0" borderId="3" xfId="0" applyFont="1" applyBorder="1" applyAlignment="1">
      <alignment horizontal="center" vertical="center" wrapText="1"/>
    </xf>
    <xf numFmtId="0" fontId="12" fillId="0" borderId="3" xfId="0" applyFont="1" applyBorder="1" applyAlignment="1">
      <alignment horizontal="left" vertical="center" wrapText="1"/>
    </xf>
    <xf numFmtId="0" fontId="12" fillId="0" borderId="3" xfId="0" quotePrefix="1" applyFont="1" applyBorder="1" applyAlignment="1">
      <alignment horizontal="center" vertical="center" wrapText="1"/>
    </xf>
    <xf numFmtId="0" fontId="12" fillId="0" borderId="3" xfId="0" applyFont="1" applyBorder="1" applyAlignment="1">
      <alignment vertical="center" wrapText="1"/>
    </xf>
    <xf numFmtId="0" fontId="12" fillId="0" borderId="3" xfId="0" applyFont="1" applyBorder="1" applyAlignment="1">
      <alignment horizontal="center" vertical="center"/>
    </xf>
    <xf numFmtId="0" fontId="12" fillId="0" borderId="3" xfId="0" applyFont="1" applyBorder="1" applyAlignment="1">
      <alignment vertical="center"/>
    </xf>
    <xf numFmtId="0" fontId="12" fillId="0" borderId="3" xfId="0" quotePrefix="1" applyFont="1" applyBorder="1" applyAlignment="1">
      <alignment horizontal="center" vertical="center"/>
    </xf>
    <xf numFmtId="0" fontId="20" fillId="0" borderId="0" xfId="0" applyFont="1" applyAlignment="1">
      <alignment vertical="center"/>
    </xf>
    <xf numFmtId="0" fontId="12" fillId="0" borderId="0" xfId="0" applyFont="1" applyAlignment="1">
      <alignment horizontal="center" vertical="center" wrapText="1"/>
    </xf>
    <xf numFmtId="0" fontId="17" fillId="8" borderId="5" xfId="0" applyFont="1" applyFill="1" applyBorder="1" applyAlignment="1">
      <alignment horizontal="center" vertical="center" wrapText="1"/>
    </xf>
    <xf numFmtId="0" fontId="17" fillId="8" borderId="6" xfId="0" applyFont="1" applyFill="1" applyBorder="1" applyAlignment="1">
      <alignment horizontal="center" vertical="center" wrapText="1"/>
    </xf>
    <xf numFmtId="0" fontId="12" fillId="0" borderId="3" xfId="0" quotePrefix="1" applyFont="1" applyBorder="1" applyAlignment="1">
      <alignment horizontal="left" vertical="center" wrapText="1"/>
    </xf>
    <xf numFmtId="0" fontId="21" fillId="0" borderId="3" xfId="0" applyFont="1" applyBorder="1" applyAlignment="1">
      <alignment vertical="center"/>
    </xf>
    <xf numFmtId="0" fontId="21" fillId="0" borderId="0" xfId="0" applyFont="1" applyAlignment="1">
      <alignment vertical="center"/>
    </xf>
    <xf numFmtId="0" fontId="21" fillId="0" borderId="0" xfId="0" applyFont="1" applyAlignment="1">
      <alignment vertical="center" wrapText="1"/>
    </xf>
    <xf numFmtId="0" fontId="21" fillId="0" borderId="0" xfId="0" applyFont="1" applyAlignment="1">
      <alignment horizontal="center" vertical="center" wrapText="1"/>
    </xf>
    <xf numFmtId="0" fontId="21" fillId="0" borderId="0" xfId="0" applyFont="1" applyAlignment="1">
      <alignment horizontal="center" vertical="center"/>
    </xf>
    <xf numFmtId="0" fontId="22" fillId="0" borderId="0" xfId="0" applyFont="1" applyAlignment="1">
      <alignment horizontal="center" vertical="center"/>
    </xf>
    <xf numFmtId="0" fontId="11" fillId="8" borderId="3" xfId="0" applyFont="1" applyFill="1" applyBorder="1" applyAlignment="1">
      <alignment horizontal="center" vertical="center" wrapText="1"/>
    </xf>
    <xf numFmtId="0" fontId="13" fillId="0" borderId="3" xfId="0" applyFont="1" applyBorder="1" applyAlignment="1">
      <alignment horizontal="center" vertical="center" wrapText="1"/>
    </xf>
    <xf numFmtId="0" fontId="13" fillId="0" borderId="3" xfId="0" applyFont="1" applyBorder="1" applyAlignment="1">
      <alignment horizontal="left" vertical="center" wrapText="1"/>
    </xf>
    <xf numFmtId="0" fontId="13" fillId="0" borderId="3" xfId="0" quotePrefix="1" applyFont="1" applyBorder="1" applyAlignment="1">
      <alignment horizontal="center" vertical="center" wrapText="1"/>
    </xf>
    <xf numFmtId="0" fontId="12" fillId="0" borderId="9" xfId="0" applyFont="1" applyBorder="1" applyAlignment="1">
      <alignment horizontal="center" vertical="center" wrapText="1"/>
    </xf>
    <xf numFmtId="0" fontId="13" fillId="0" borderId="6" xfId="0" applyFont="1" applyBorder="1" applyAlignment="1">
      <alignment vertical="center" wrapText="1"/>
    </xf>
    <xf numFmtId="0" fontId="13" fillId="0" borderId="3" xfId="0" applyFont="1" applyBorder="1" applyAlignment="1">
      <alignment vertical="center" wrapText="1"/>
    </xf>
    <xf numFmtId="0" fontId="13" fillId="0" borderId="3" xfId="0" applyFont="1" applyBorder="1" applyAlignment="1">
      <alignment vertical="center"/>
    </xf>
    <xf numFmtId="0" fontId="13" fillId="0" borderId="3" xfId="0" applyFont="1" applyBorder="1" applyAlignment="1">
      <alignment horizontal="center" vertical="center"/>
    </xf>
    <xf numFmtId="0" fontId="24" fillId="0" borderId="0" xfId="2" applyFont="1" applyAlignment="1">
      <alignment horizontal="center" vertical="center"/>
    </xf>
    <xf numFmtId="0" fontId="24" fillId="0" borderId="0" xfId="2" applyFont="1" applyAlignment="1">
      <alignment vertical="center"/>
    </xf>
    <xf numFmtId="0" fontId="25" fillId="0" borderId="0" xfId="2" applyFont="1"/>
    <xf numFmtId="0" fontId="24" fillId="0" borderId="15" xfId="2" applyFont="1" applyBorder="1" applyAlignment="1">
      <alignment horizontal="center" vertical="center"/>
    </xf>
    <xf numFmtId="0" fontId="24" fillId="0" borderId="15" xfId="2" applyFont="1" applyBorder="1" applyAlignment="1">
      <alignment horizontal="center" vertical="center" wrapText="1"/>
    </xf>
    <xf numFmtId="0" fontId="24" fillId="0" borderId="15" xfId="2" applyFont="1" applyBorder="1" applyAlignment="1">
      <alignment vertical="center" wrapText="1"/>
    </xf>
    <xf numFmtId="0" fontId="24" fillId="0" borderId="0" xfId="2" applyFont="1" applyAlignment="1">
      <alignment horizontal="center" vertical="center" wrapText="1"/>
    </xf>
    <xf numFmtId="0" fontId="27" fillId="9" borderId="16" xfId="3" applyFont="1" applyFill="1" applyBorder="1" applyAlignment="1">
      <alignment horizontal="center" vertical="center" wrapText="1"/>
    </xf>
    <xf numFmtId="0" fontId="27" fillId="0" borderId="0" xfId="3" applyFont="1" applyAlignment="1">
      <alignment vertical="center" wrapText="1"/>
    </xf>
    <xf numFmtId="1" fontId="28" fillId="9" borderId="16" xfId="3" applyNumberFormat="1" applyFont="1" applyFill="1" applyBorder="1" applyAlignment="1">
      <alignment horizontal="center" vertical="center" wrapText="1" shrinkToFit="1"/>
    </xf>
    <xf numFmtId="0" fontId="25" fillId="0" borderId="0" xfId="2" applyFont="1" applyAlignment="1">
      <alignment horizontal="center" vertical="center"/>
    </xf>
    <xf numFmtId="0" fontId="25" fillId="0" borderId="0" xfId="2" applyFont="1" applyAlignment="1">
      <alignment vertical="center" wrapText="1"/>
    </xf>
    <xf numFmtId="0" fontId="25" fillId="0" borderId="0" xfId="2" applyFont="1" applyAlignment="1">
      <alignment vertical="center"/>
    </xf>
    <xf numFmtId="0" fontId="25" fillId="0" borderId="0" xfId="2" applyFont="1" applyAlignment="1">
      <alignment horizontal="left" vertical="top" wrapText="1"/>
    </xf>
    <xf numFmtId="0" fontId="25" fillId="0" borderId="0" xfId="2" applyFont="1" applyAlignment="1">
      <alignment horizontal="center" vertical="top" wrapText="1"/>
    </xf>
    <xf numFmtId="0" fontId="25" fillId="0" borderId="0" xfId="2" applyFont="1" applyAlignment="1">
      <alignment wrapText="1"/>
    </xf>
    <xf numFmtId="0" fontId="25" fillId="0" borderId="0" xfId="2" applyFont="1" applyAlignment="1">
      <alignment vertical="top" wrapText="1"/>
    </xf>
    <xf numFmtId="0" fontId="31" fillId="0" borderId="0" xfId="2" applyFont="1" applyAlignment="1">
      <alignment vertical="center" wrapText="1"/>
    </xf>
    <xf numFmtId="0" fontId="33" fillId="0" borderId="0" xfId="0" applyFont="1"/>
    <xf numFmtId="0" fontId="33" fillId="0" borderId="0" xfId="0" applyFont="1" applyAlignment="1">
      <alignment horizontal="center"/>
    </xf>
    <xf numFmtId="0" fontId="33" fillId="0" borderId="3" xfId="0" applyFont="1" applyBorder="1" applyAlignment="1">
      <alignment horizontal="center" vertical="top"/>
    </xf>
    <xf numFmtId="0" fontId="33" fillId="0" borderId="3" xfId="0" applyFont="1" applyBorder="1" applyAlignment="1">
      <alignment horizontal="left" vertical="top" wrapText="1"/>
    </xf>
    <xf numFmtId="0" fontId="33" fillId="0" borderId="3" xfId="0" applyFont="1" applyBorder="1" applyAlignment="1">
      <alignment horizontal="center" vertical="top" wrapText="1"/>
    </xf>
    <xf numFmtId="0" fontId="33" fillId="0" borderId="3" xfId="0" applyFont="1" applyBorder="1" applyAlignment="1">
      <alignment horizontal="center" vertical="center"/>
    </xf>
    <xf numFmtId="0" fontId="33" fillId="0" borderId="0" xfId="0" applyFont="1" applyAlignment="1">
      <alignment horizontal="center" vertical="center"/>
    </xf>
    <xf numFmtId="0" fontId="33" fillId="0" borderId="0" xfId="0" applyFont="1" applyAlignment="1">
      <alignment horizontal="left" vertical="center"/>
    </xf>
    <xf numFmtId="0" fontId="25" fillId="0" borderId="6" xfId="2" quotePrefix="1" applyFont="1" applyBorder="1" applyAlignment="1">
      <alignment horizontal="left" vertical="top" wrapText="1"/>
    </xf>
    <xf numFmtId="0" fontId="25" fillId="0" borderId="12" xfId="2" applyFont="1" applyBorder="1" applyAlignment="1">
      <alignment horizontal="center" vertical="top" wrapText="1"/>
    </xf>
    <xf numFmtId="0" fontId="25" fillId="0" borderId="16" xfId="2" applyFont="1" applyBorder="1" applyAlignment="1">
      <alignment horizontal="center" vertical="top" wrapText="1"/>
    </xf>
    <xf numFmtId="0" fontId="25" fillId="0" borderId="16" xfId="2" applyFont="1" applyBorder="1" applyAlignment="1">
      <alignment wrapText="1"/>
    </xf>
    <xf numFmtId="0" fontId="25" fillId="0" borderId="17" xfId="2" quotePrefix="1" applyFont="1" applyBorder="1" applyAlignment="1">
      <alignment horizontal="left" vertical="top" wrapText="1"/>
    </xf>
    <xf numFmtId="0" fontId="15" fillId="0" borderId="6" xfId="2" quotePrefix="1" applyFont="1" applyBorder="1" applyAlignment="1">
      <alignment horizontal="left" vertical="top" wrapText="1"/>
    </xf>
    <xf numFmtId="0" fontId="25" fillId="0" borderId="3" xfId="2" applyFont="1" applyBorder="1" applyAlignment="1">
      <alignment horizontal="center" vertical="top" wrapText="1"/>
    </xf>
    <xf numFmtId="0" fontId="25" fillId="0" borderId="3" xfId="2" quotePrefix="1" applyFont="1" applyBorder="1" applyAlignment="1">
      <alignment horizontal="left" vertical="top" wrapText="1"/>
    </xf>
    <xf numFmtId="0" fontId="15" fillId="0" borderId="16" xfId="2" applyFont="1" applyBorder="1" applyAlignment="1">
      <alignment horizontal="center" vertical="top" wrapText="1"/>
    </xf>
    <xf numFmtId="0" fontId="25" fillId="0" borderId="3" xfId="2" applyFont="1" applyBorder="1" applyAlignment="1">
      <alignment horizontal="left" vertical="top" wrapText="1"/>
    </xf>
    <xf numFmtId="0" fontId="15" fillId="0" borderId="17" xfId="2" quotePrefix="1" applyFont="1" applyBorder="1" applyAlignment="1">
      <alignment horizontal="left" vertical="top" wrapText="1"/>
    </xf>
    <xf numFmtId="0" fontId="15" fillId="0" borderId="3" xfId="2" quotePrefix="1" applyFont="1" applyBorder="1" applyAlignment="1">
      <alignment horizontal="left" vertical="top" wrapText="1"/>
    </xf>
    <xf numFmtId="0" fontId="25" fillId="0" borderId="18" xfId="2" applyFont="1" applyBorder="1" applyAlignment="1">
      <alignment horizontal="center" vertical="top" wrapText="1"/>
    </xf>
    <xf numFmtId="0" fontId="25" fillId="0" borderId="16" xfId="2" applyFont="1" applyBorder="1" applyAlignment="1">
      <alignment horizontal="center" vertical="top"/>
    </xf>
    <xf numFmtId="0" fontId="25" fillId="0" borderId="16" xfId="2" applyFont="1" applyBorder="1" applyAlignment="1">
      <alignment vertical="top" wrapText="1"/>
    </xf>
    <xf numFmtId="0" fontId="25" fillId="0" borderId="16" xfId="2" quotePrefix="1" applyFont="1" applyBorder="1" applyAlignment="1">
      <alignment horizontal="center" vertical="top"/>
    </xf>
    <xf numFmtId="0" fontId="25" fillId="0" borderId="16" xfId="2" applyFont="1" applyBorder="1" applyAlignment="1">
      <alignment horizontal="left" vertical="top" wrapText="1"/>
    </xf>
    <xf numFmtId="0" fontId="25" fillId="0" borderId="17" xfId="2" applyFont="1" applyBorder="1" applyAlignment="1">
      <alignment horizontal="center" vertical="top" wrapText="1"/>
    </xf>
    <xf numFmtId="0" fontId="15" fillId="0" borderId="17" xfId="0" quotePrefix="1" applyFont="1" applyBorder="1" applyAlignment="1">
      <alignment vertical="top" wrapText="1"/>
    </xf>
    <xf numFmtId="0" fontId="15" fillId="0" borderId="3" xfId="0" applyFont="1" applyBorder="1" applyAlignment="1">
      <alignment vertical="top" wrapText="1"/>
    </xf>
    <xf numFmtId="0" fontId="36" fillId="11" borderId="3" xfId="0" applyFont="1" applyFill="1" applyBorder="1" applyAlignment="1">
      <alignment horizontal="center" vertical="center" wrapText="1"/>
    </xf>
    <xf numFmtId="0" fontId="36" fillId="11" borderId="5" xfId="0" applyFont="1" applyFill="1" applyBorder="1" applyAlignment="1">
      <alignment horizontal="center" vertical="center" wrapText="1"/>
    </xf>
    <xf numFmtId="0" fontId="37" fillId="0" borderId="0" xfId="0" applyFont="1" applyAlignment="1">
      <alignment horizontal="center" vertical="center" wrapText="1"/>
    </xf>
    <xf numFmtId="0" fontId="38" fillId="12" borderId="3" xfId="0" applyFont="1" applyFill="1" applyBorder="1" applyAlignment="1">
      <alignment wrapText="1"/>
    </xf>
    <xf numFmtId="164" fontId="38" fillId="12" borderId="3" xfId="0" applyNumberFormat="1" applyFont="1" applyFill="1" applyBorder="1" applyAlignment="1">
      <alignment horizontal="center" vertical="center" wrapText="1"/>
    </xf>
    <xf numFmtId="0" fontId="38" fillId="12" borderId="3" xfId="0" applyFont="1" applyFill="1" applyBorder="1" applyAlignment="1">
      <alignment vertical="center" wrapText="1"/>
    </xf>
    <xf numFmtId="0" fontId="38" fillId="12" borderId="3" xfId="0" applyFont="1" applyFill="1" applyBorder="1" applyAlignment="1">
      <alignment horizontal="center" vertical="center" wrapText="1"/>
    </xf>
    <xf numFmtId="164" fontId="38" fillId="13" borderId="3" xfId="0" applyNumberFormat="1" applyFont="1" applyFill="1" applyBorder="1" applyAlignment="1">
      <alignment horizontal="center" vertical="center" wrapText="1"/>
    </xf>
    <xf numFmtId="0" fontId="38" fillId="13" borderId="3" xfId="0" applyFont="1" applyFill="1" applyBorder="1" applyAlignment="1">
      <alignment vertical="center" wrapText="1"/>
    </xf>
    <xf numFmtId="0" fontId="38" fillId="13" borderId="3" xfId="0" applyFont="1" applyFill="1" applyBorder="1" applyAlignment="1">
      <alignment horizontal="center" vertical="center" wrapText="1"/>
    </xf>
    <xf numFmtId="0" fontId="37" fillId="11" borderId="3" xfId="0" applyFont="1" applyFill="1" applyBorder="1" applyAlignment="1">
      <alignment vertical="center" wrapText="1"/>
    </xf>
    <xf numFmtId="0" fontId="40" fillId="0" borderId="3" xfId="0" applyFont="1" applyBorder="1" applyAlignment="1">
      <alignment horizontal="center" vertical="center"/>
    </xf>
    <xf numFmtId="0" fontId="41" fillId="13" borderId="0" xfId="0" applyFont="1" applyFill="1"/>
    <xf numFmtId="0" fontId="40" fillId="13" borderId="0" xfId="0" applyFont="1" applyFill="1" applyAlignment="1">
      <alignment horizontal="center" vertical="center"/>
    </xf>
    <xf numFmtId="0" fontId="38" fillId="14" borderId="3" xfId="0" applyFont="1" applyFill="1" applyBorder="1" applyAlignment="1">
      <alignment horizontal="center" vertical="center" wrapText="1"/>
    </xf>
    <xf numFmtId="0" fontId="38" fillId="14" borderId="3" xfId="0" applyFont="1" applyFill="1" applyBorder="1" applyAlignment="1">
      <alignment vertical="center" wrapText="1"/>
    </xf>
    <xf numFmtId="0" fontId="41" fillId="14" borderId="0" xfId="0" applyFont="1" applyFill="1"/>
    <xf numFmtId="0" fontId="38" fillId="0" borderId="3" xfId="0" applyFont="1" applyBorder="1" applyAlignment="1">
      <alignment vertical="center" wrapText="1"/>
    </xf>
    <xf numFmtId="0" fontId="42" fillId="0" borderId="3" xfId="0" applyFont="1" applyBorder="1" applyAlignment="1">
      <alignment vertical="center" wrapText="1"/>
    </xf>
    <xf numFmtId="0" fontId="41" fillId="0" borderId="0" xfId="0" applyFont="1"/>
    <xf numFmtId="0" fontId="38" fillId="0" borderId="3" xfId="0" applyFont="1" applyBorder="1" applyAlignment="1">
      <alignment vertical="top" wrapText="1"/>
    </xf>
    <xf numFmtId="0" fontId="38" fillId="0" borderId="3" xfId="0" applyFont="1" applyBorder="1" applyAlignment="1">
      <alignment vertical="center"/>
    </xf>
    <xf numFmtId="0" fontId="38" fillId="0" borderId="11" xfId="0" applyFont="1" applyBorder="1" applyAlignment="1">
      <alignment horizontal="center" vertical="center" wrapText="1"/>
    </xf>
    <xf numFmtId="0" fontId="38" fillId="0" borderId="3" xfId="0" applyFont="1" applyBorder="1" applyAlignment="1">
      <alignment horizontal="center" vertical="center" wrapText="1"/>
    </xf>
    <xf numFmtId="164" fontId="38" fillId="0" borderId="3" xfId="0" applyNumberFormat="1" applyFont="1" applyBorder="1" applyAlignment="1">
      <alignment horizontal="center" vertical="center" wrapText="1"/>
    </xf>
    <xf numFmtId="0" fontId="43" fillId="0" borderId="3" xfId="0" applyFont="1" applyBorder="1" applyAlignment="1">
      <alignment wrapText="1"/>
    </xf>
    <xf numFmtId="0" fontId="38" fillId="12" borderId="3" xfId="0" applyFont="1" applyFill="1" applyBorder="1" applyAlignment="1">
      <alignment vertical="top" wrapText="1"/>
    </xf>
    <xf numFmtId="0" fontId="38" fillId="0" borderId="3" xfId="0" applyFont="1" applyBorder="1" applyAlignment="1">
      <alignment wrapText="1"/>
    </xf>
    <xf numFmtId="0" fontId="38" fillId="14" borderId="3" xfId="0" applyFont="1" applyFill="1" applyBorder="1" applyAlignment="1">
      <alignment vertical="top" wrapText="1"/>
    </xf>
    <xf numFmtId="164" fontId="38" fillId="14" borderId="3" xfId="0" applyNumberFormat="1" applyFont="1" applyFill="1" applyBorder="1" applyAlignment="1">
      <alignment horizontal="center" vertical="center" wrapText="1"/>
    </xf>
    <xf numFmtId="0" fontId="15" fillId="0" borderId="22" xfId="0" applyFont="1" applyBorder="1" applyAlignment="1">
      <alignment horizontal="left" vertical="top" wrapText="1"/>
    </xf>
    <xf numFmtId="0" fontId="15" fillId="0" borderId="6" xfId="0" applyFont="1" applyBorder="1" applyAlignment="1">
      <alignment horizontal="left" vertical="top" wrapText="1"/>
    </xf>
    <xf numFmtId="0" fontId="15" fillId="12" borderId="22" xfId="0" applyFont="1" applyFill="1" applyBorder="1" applyAlignment="1">
      <alignment horizontal="left" vertical="top" wrapText="1"/>
    </xf>
    <xf numFmtId="0" fontId="38" fillId="0" borderId="5" xfId="0" applyFont="1" applyBorder="1" applyAlignment="1">
      <alignment wrapText="1"/>
    </xf>
    <xf numFmtId="0" fontId="38" fillId="0" borderId="5" xfId="0" applyFont="1" applyBorder="1" applyAlignment="1">
      <alignment vertical="center" wrapText="1"/>
    </xf>
    <xf numFmtId="0" fontId="36" fillId="0" borderId="3" xfId="0" applyFont="1" applyBorder="1" applyAlignment="1">
      <alignment horizontal="center" vertical="center" wrapText="1"/>
    </xf>
    <xf numFmtId="0" fontId="36" fillId="12" borderId="3" xfId="0" applyFont="1" applyFill="1" applyBorder="1" applyAlignment="1">
      <alignment horizontal="center" vertical="center" wrapText="1"/>
    </xf>
    <xf numFmtId="0" fontId="42" fillId="0" borderId="3" xfId="0" applyFont="1" applyBorder="1"/>
    <xf numFmtId="0" fontId="38" fillId="0" borderId="5" xfId="0" applyFont="1" applyBorder="1" applyAlignment="1">
      <alignment vertical="top" wrapText="1"/>
    </xf>
    <xf numFmtId="164" fontId="38" fillId="0" borderId="5" xfId="0" applyNumberFormat="1" applyFont="1" applyBorder="1" applyAlignment="1">
      <alignment horizontal="center" vertical="center" wrapText="1"/>
    </xf>
    <xf numFmtId="0" fontId="38" fillId="0" borderId="24" xfId="0" applyFont="1" applyBorder="1" applyAlignment="1">
      <alignment horizontal="center" vertical="center" wrapText="1"/>
    </xf>
    <xf numFmtId="0" fontId="38" fillId="12" borderId="5" xfId="0" applyFont="1" applyFill="1" applyBorder="1" applyAlignment="1">
      <alignment horizontal="center" vertical="center" wrapText="1"/>
    </xf>
    <xf numFmtId="0" fontId="38" fillId="12" borderId="5" xfId="0" applyFont="1" applyFill="1" applyBorder="1" applyAlignment="1">
      <alignment vertical="center" wrapText="1"/>
    </xf>
    <xf numFmtId="0" fontId="38" fillId="0" borderId="5" xfId="0" applyFont="1" applyBorder="1" applyAlignment="1">
      <alignment horizontal="center" vertical="center" wrapText="1"/>
    </xf>
    <xf numFmtId="0" fontId="38" fillId="16" borderId="3" xfId="0" applyFont="1" applyFill="1" applyBorder="1" applyAlignment="1">
      <alignment vertical="top" wrapText="1"/>
    </xf>
    <xf numFmtId="0" fontId="38" fillId="16" borderId="3" xfId="0" applyFont="1" applyFill="1" applyBorder="1" applyAlignment="1">
      <alignment horizontal="center" vertical="center" wrapText="1"/>
    </xf>
    <xf numFmtId="0" fontId="38" fillId="16" borderId="3" xfId="0" applyFont="1" applyFill="1" applyBorder="1" applyAlignment="1">
      <alignment vertical="center" wrapText="1"/>
    </xf>
    <xf numFmtId="0" fontId="41" fillId="16" borderId="0" xfId="0" applyFont="1" applyFill="1"/>
    <xf numFmtId="166" fontId="38" fillId="0" borderId="3" xfId="0" applyNumberFormat="1" applyFont="1" applyBorder="1" applyAlignment="1">
      <alignment horizontal="center" vertical="center" wrapText="1"/>
    </xf>
    <xf numFmtId="0" fontId="36" fillId="12" borderId="8" xfId="0" applyFont="1" applyFill="1" applyBorder="1" applyAlignment="1">
      <alignment horizontal="center" vertical="center" wrapText="1"/>
    </xf>
    <xf numFmtId="0" fontId="41" fillId="0" borderId="0" xfId="0" applyFont="1" applyAlignment="1">
      <alignment vertical="center"/>
    </xf>
    <xf numFmtId="0" fontId="38" fillId="15" borderId="3" xfId="0" applyFont="1" applyFill="1" applyBorder="1" applyAlignment="1">
      <alignment vertical="top" wrapText="1"/>
    </xf>
    <xf numFmtId="0" fontId="38" fillId="15" borderId="3" xfId="0" applyFont="1" applyFill="1" applyBorder="1" applyAlignment="1">
      <alignment horizontal="center" vertical="center" wrapText="1"/>
    </xf>
    <xf numFmtId="0" fontId="38" fillId="15" borderId="3" xfId="0" applyFont="1" applyFill="1" applyBorder="1" applyAlignment="1">
      <alignment vertical="center" wrapText="1"/>
    </xf>
    <xf numFmtId="0" fontId="36" fillId="15" borderId="3" xfId="0" applyFont="1" applyFill="1" applyBorder="1" applyAlignment="1">
      <alignment horizontal="center" vertical="center" wrapText="1"/>
    </xf>
    <xf numFmtId="0" fontId="36" fillId="15" borderId="8" xfId="0" applyFont="1" applyFill="1" applyBorder="1" applyAlignment="1">
      <alignment horizontal="center" vertical="center" wrapText="1"/>
    </xf>
    <xf numFmtId="0" fontId="42" fillId="15" borderId="3" xfId="0" applyFont="1" applyFill="1" applyBorder="1"/>
    <xf numFmtId="0" fontId="42" fillId="16" borderId="3" xfId="0" applyFont="1" applyFill="1" applyBorder="1"/>
    <xf numFmtId="1" fontId="38" fillId="12" borderId="3" xfId="0" applyNumberFormat="1" applyFont="1" applyFill="1" applyBorder="1" applyAlignment="1">
      <alignment horizontal="center" vertical="top"/>
    </xf>
    <xf numFmtId="1" fontId="38" fillId="0" borderId="3" xfId="0" applyNumberFormat="1" applyFont="1" applyBorder="1" applyAlignment="1">
      <alignment horizontal="center" vertical="top"/>
    </xf>
    <xf numFmtId="0" fontId="42" fillId="16" borderId="3" xfId="0" applyFont="1" applyFill="1" applyBorder="1" applyAlignment="1">
      <alignment horizontal="center"/>
    </xf>
    <xf numFmtId="0" fontId="42" fillId="16" borderId="3" xfId="0" applyFont="1" applyFill="1" applyBorder="1" applyAlignment="1">
      <alignment horizontal="center" wrapText="1"/>
    </xf>
    <xf numFmtId="0" fontId="38" fillId="16" borderId="3" xfId="0" applyFont="1" applyFill="1" applyBorder="1" applyAlignment="1">
      <alignment horizontal="center"/>
    </xf>
    <xf numFmtId="0" fontId="38" fillId="0" borderId="3" xfId="0" quotePrefix="1" applyFont="1" applyBorder="1" applyAlignment="1">
      <alignment horizontal="center" vertical="center" wrapText="1"/>
    </xf>
    <xf numFmtId="0" fontId="38" fillId="0" borderId="3" xfId="0" quotePrefix="1" applyFont="1" applyBorder="1" applyAlignment="1">
      <alignment vertical="center" wrapText="1"/>
    </xf>
    <xf numFmtId="0" fontId="38" fillId="14" borderId="3" xfId="0" quotePrefix="1" applyFont="1" applyFill="1" applyBorder="1" applyAlignment="1">
      <alignment horizontal="center" vertical="center" wrapText="1"/>
    </xf>
    <xf numFmtId="0" fontId="38" fillId="12" borderId="3" xfId="0" quotePrefix="1" applyFont="1" applyFill="1" applyBorder="1" applyAlignment="1">
      <alignment horizontal="center" vertical="center" wrapText="1"/>
    </xf>
    <xf numFmtId="0" fontId="38" fillId="12" borderId="3" xfId="0" quotePrefix="1" applyFont="1" applyFill="1" applyBorder="1" applyAlignment="1">
      <alignment vertical="center" wrapText="1"/>
    </xf>
    <xf numFmtId="0" fontId="38" fillId="13" borderId="3" xfId="0" applyFont="1" applyFill="1" applyBorder="1" applyAlignment="1">
      <alignment vertical="top" wrapText="1"/>
    </xf>
    <xf numFmtId="0" fontId="36" fillId="12" borderId="11" xfId="0" applyFont="1" applyFill="1" applyBorder="1" applyAlignment="1">
      <alignment horizontal="center" vertical="center" wrapText="1"/>
    </xf>
    <xf numFmtId="0" fontId="36" fillId="14" borderId="3" xfId="0" applyFont="1" applyFill="1" applyBorder="1" applyAlignment="1">
      <alignment horizontal="center" vertical="center" wrapText="1"/>
    </xf>
    <xf numFmtId="0" fontId="36" fillId="14" borderId="11" xfId="0" applyFont="1" applyFill="1" applyBorder="1" applyAlignment="1">
      <alignment horizontal="center" vertical="center" wrapText="1"/>
    </xf>
    <xf numFmtId="0" fontId="36" fillId="13" borderId="11" xfId="0" applyFont="1" applyFill="1" applyBorder="1" applyAlignment="1">
      <alignment horizontal="center" vertical="center" wrapText="1"/>
    </xf>
    <xf numFmtId="0" fontId="38" fillId="0" borderId="0" xfId="0" applyFont="1"/>
    <xf numFmtId="0" fontId="36" fillId="0" borderId="0" xfId="0" applyFont="1" applyAlignment="1">
      <alignment horizontal="center" vertical="center" wrapText="1"/>
    </xf>
    <xf numFmtId="0" fontId="41" fillId="13" borderId="3" xfId="0" applyFont="1" applyFill="1" applyBorder="1" applyAlignment="1">
      <alignment vertical="center" wrapText="1"/>
    </xf>
    <xf numFmtId="0" fontId="38" fillId="13" borderId="3" xfId="0" applyFont="1" applyFill="1" applyBorder="1" applyAlignment="1">
      <alignment vertical="center"/>
    </xf>
    <xf numFmtId="0" fontId="36" fillId="13" borderId="0" xfId="0" applyFont="1" applyFill="1" applyAlignment="1">
      <alignment vertical="center" wrapText="1"/>
    </xf>
    <xf numFmtId="0" fontId="38" fillId="0" borderId="3" xfId="0" applyFont="1" applyBorder="1"/>
    <xf numFmtId="0" fontId="36" fillId="0" borderId="11" xfId="0" applyFont="1" applyBorder="1" applyAlignment="1">
      <alignment horizontal="center" vertical="center" wrapText="1"/>
    </xf>
    <xf numFmtId="0" fontId="38" fillId="0" borderId="6" xfId="0" applyFont="1" applyBorder="1" applyAlignment="1">
      <alignment horizontal="left" vertical="top" wrapText="1"/>
    </xf>
    <xf numFmtId="0" fontId="38" fillId="14" borderId="3" xfId="0" applyFont="1" applyFill="1" applyBorder="1"/>
    <xf numFmtId="15" fontId="15" fillId="0" borderId="6" xfId="0" applyNumberFormat="1" applyFont="1" applyBorder="1" applyAlignment="1">
      <alignment horizontal="left" vertical="top" wrapText="1"/>
    </xf>
    <xf numFmtId="164" fontId="38" fillId="12" borderId="3" xfId="0" quotePrefix="1" applyNumberFormat="1" applyFont="1" applyFill="1" applyBorder="1" applyAlignment="1">
      <alignment horizontal="center" vertical="center" wrapText="1"/>
    </xf>
    <xf numFmtId="164" fontId="38" fillId="0" borderId="3" xfId="0" quotePrefix="1" applyNumberFormat="1" applyFont="1" applyBorder="1" applyAlignment="1">
      <alignment horizontal="center" vertical="center" wrapText="1"/>
    </xf>
    <xf numFmtId="0" fontId="38" fillId="0" borderId="12" xfId="0" applyFont="1" applyBorder="1" applyAlignment="1">
      <alignment horizontal="center" vertical="center" wrapText="1"/>
    </xf>
    <xf numFmtId="0" fontId="38" fillId="0" borderId="5" xfId="0" applyFont="1" applyBorder="1" applyAlignment="1">
      <alignment vertical="top"/>
    </xf>
    <xf numFmtId="0" fontId="36" fillId="0" borderId="5" xfId="0" applyFont="1" applyBorder="1" applyAlignment="1">
      <alignment horizontal="center" vertical="center" wrapText="1"/>
    </xf>
    <xf numFmtId="0" fontId="36" fillId="0" borderId="8" xfId="0" applyFont="1" applyBorder="1" applyAlignment="1">
      <alignment horizontal="center" vertical="center" wrapText="1"/>
    </xf>
    <xf numFmtId="0" fontId="43" fillId="0" borderId="3" xfId="0" applyFont="1" applyBorder="1" applyAlignment="1">
      <alignment horizontal="left" wrapText="1"/>
    </xf>
    <xf numFmtId="0" fontId="38" fillId="15" borderId="13" xfId="0" applyFont="1" applyFill="1" applyBorder="1" applyAlignment="1">
      <alignment vertical="center" wrapText="1"/>
    </xf>
    <xf numFmtId="0" fontId="38" fillId="0" borderId="0" xfId="0" applyFont="1" applyAlignment="1">
      <alignment vertical="center" wrapText="1"/>
    </xf>
    <xf numFmtId="0" fontId="15" fillId="0" borderId="23" xfId="0" applyFont="1" applyBorder="1" applyAlignment="1">
      <alignment vertical="center" wrapText="1"/>
    </xf>
    <xf numFmtId="1" fontId="38" fillId="0" borderId="5" xfId="0" applyNumberFormat="1" applyFont="1" applyBorder="1" applyAlignment="1">
      <alignment horizontal="center" vertical="top"/>
    </xf>
    <xf numFmtId="0" fontId="38" fillId="0" borderId="8" xfId="0" applyFont="1" applyBorder="1" applyAlignment="1">
      <alignment horizontal="center" vertical="center" wrapText="1"/>
    </xf>
    <xf numFmtId="0" fontId="38" fillId="0" borderId="0" xfId="0" applyFont="1" applyAlignment="1">
      <alignment wrapText="1"/>
    </xf>
    <xf numFmtId="164" fontId="38" fillId="12" borderId="3" xfId="0" applyNumberFormat="1" applyFont="1" applyFill="1" applyBorder="1" applyAlignment="1">
      <alignment horizontal="center" vertical="top" wrapText="1"/>
    </xf>
    <xf numFmtId="0" fontId="38" fillId="12" borderId="3" xfId="0" applyFont="1" applyFill="1" applyBorder="1" applyAlignment="1">
      <alignment horizontal="center" vertical="top" wrapText="1"/>
    </xf>
    <xf numFmtId="164" fontId="38" fillId="0" borderId="3" xfId="0" applyNumberFormat="1" applyFont="1" applyBorder="1" applyAlignment="1">
      <alignment horizontal="center" vertical="top" wrapText="1"/>
    </xf>
    <xf numFmtId="0" fontId="38" fillId="0" borderId="3" xfId="0" applyFont="1" applyBorder="1" applyAlignment="1">
      <alignment horizontal="center" vertical="top" wrapText="1"/>
    </xf>
    <xf numFmtId="0" fontId="38" fillId="14" borderId="3" xfId="0" applyFont="1" applyFill="1" applyBorder="1" applyAlignment="1">
      <alignment horizontal="center" vertical="top" wrapText="1"/>
    </xf>
    <xf numFmtId="0" fontId="38" fillId="13" borderId="3" xfId="0" applyFont="1" applyFill="1" applyBorder="1" applyAlignment="1">
      <alignment horizontal="center" vertical="top" wrapText="1"/>
    </xf>
    <xf numFmtId="164" fontId="38" fillId="13" borderId="3" xfId="0" applyNumberFormat="1" applyFont="1" applyFill="1" applyBorder="1" applyAlignment="1">
      <alignment horizontal="center" vertical="top" wrapText="1"/>
    </xf>
    <xf numFmtId="0" fontId="38" fillId="18" borderId="22" xfId="0" applyFont="1" applyFill="1" applyBorder="1" applyAlignment="1">
      <alignment vertical="top" wrapText="1" readingOrder="1"/>
    </xf>
    <xf numFmtId="0" fontId="38" fillId="18" borderId="22" xfId="0" quotePrefix="1" applyFont="1" applyFill="1" applyBorder="1" applyAlignment="1">
      <alignment vertical="top" wrapText="1" readingOrder="1"/>
    </xf>
    <xf numFmtId="0" fontId="38" fillId="18" borderId="6" xfId="0" applyFont="1" applyFill="1" applyBorder="1" applyAlignment="1">
      <alignment horizontal="center" vertical="top" readingOrder="1"/>
    </xf>
    <xf numFmtId="15" fontId="38" fillId="18" borderId="22" xfId="0" quotePrefix="1" applyNumberFormat="1" applyFont="1" applyFill="1" applyBorder="1" applyAlignment="1">
      <alignment vertical="top" wrapText="1" readingOrder="1"/>
    </xf>
    <xf numFmtId="0" fontId="38" fillId="0" borderId="22" xfId="0" applyFont="1" applyBorder="1" applyAlignment="1">
      <alignment vertical="top" wrapText="1" readingOrder="1"/>
    </xf>
    <xf numFmtId="0" fontId="38" fillId="0" borderId="22" xfId="0" applyFont="1" applyBorder="1" applyAlignment="1">
      <alignment readingOrder="1"/>
    </xf>
    <xf numFmtId="0" fontId="38" fillId="16" borderId="3" xfId="0" applyFont="1" applyFill="1" applyBorder="1" applyAlignment="1">
      <alignment horizontal="left" vertical="top" wrapText="1"/>
    </xf>
    <xf numFmtId="0" fontId="38" fillId="0" borderId="3" xfId="0" applyFont="1" applyBorder="1" applyAlignment="1">
      <alignment horizontal="left" vertical="top" wrapText="1"/>
    </xf>
    <xf numFmtId="166" fontId="38" fillId="0" borderId="3" xfId="0" applyNumberFormat="1" applyFont="1" applyBorder="1" applyAlignment="1">
      <alignment horizontal="left" vertical="top" wrapText="1"/>
    </xf>
    <xf numFmtId="0" fontId="41" fillId="0" borderId="3" xfId="0" applyFont="1" applyBorder="1" applyAlignment="1">
      <alignment horizontal="left" vertical="top"/>
    </xf>
    <xf numFmtId="166" fontId="41" fillId="0" borderId="3" xfId="0" applyNumberFormat="1" applyFont="1" applyBorder="1" applyAlignment="1">
      <alignment horizontal="left" vertical="top"/>
    </xf>
    <xf numFmtId="0" fontId="38" fillId="16" borderId="3" xfId="0" applyFont="1" applyFill="1" applyBorder="1" applyAlignment="1">
      <alignment horizontal="center" vertical="top" wrapText="1"/>
    </xf>
    <xf numFmtId="0" fontId="38" fillId="0" borderId="3" xfId="0" applyFont="1" applyBorder="1" applyAlignment="1">
      <alignment horizontal="left" vertical="top"/>
    </xf>
    <xf numFmtId="0" fontId="38" fillId="0" borderId="6" xfId="0" applyFont="1" applyBorder="1" applyAlignment="1">
      <alignment horizontal="left" vertical="top"/>
    </xf>
    <xf numFmtId="0" fontId="36" fillId="12" borderId="3" xfId="0" applyFont="1" applyFill="1" applyBorder="1" applyAlignment="1">
      <alignment horizontal="center" vertical="top" wrapText="1"/>
    </xf>
    <xf numFmtId="0" fontId="36" fillId="12" borderId="11" xfId="0" applyFont="1" applyFill="1" applyBorder="1" applyAlignment="1">
      <alignment horizontal="center" vertical="top" wrapText="1"/>
    </xf>
    <xf numFmtId="0" fontId="38" fillId="0" borderId="11" xfId="0" applyFont="1" applyBorder="1" applyAlignment="1">
      <alignment vertical="top" wrapText="1"/>
    </xf>
    <xf numFmtId="0" fontId="38" fillId="12" borderId="3" xfId="0" applyFont="1" applyFill="1" applyBorder="1" applyAlignment="1">
      <alignment horizontal="left" vertical="top" wrapText="1"/>
    </xf>
    <xf numFmtId="164" fontId="38" fillId="12" borderId="3" xfId="0" applyNumberFormat="1" applyFont="1" applyFill="1" applyBorder="1" applyAlignment="1">
      <alignment horizontal="left" vertical="top" wrapText="1"/>
    </xf>
    <xf numFmtId="0" fontId="36" fillId="0" borderId="3" xfId="0" applyFont="1" applyBorder="1" applyAlignment="1">
      <alignment horizontal="center" vertical="top" wrapText="1"/>
    </xf>
    <xf numFmtId="0" fontId="38" fillId="0" borderId="11" xfId="0" applyFont="1" applyBorder="1" applyAlignment="1">
      <alignment horizontal="center" vertical="top" wrapText="1"/>
    </xf>
    <xf numFmtId="0" fontId="36" fillId="0" borderId="11" xfId="0" applyFont="1" applyBorder="1" applyAlignment="1">
      <alignment horizontal="center" vertical="top" wrapText="1"/>
    </xf>
    <xf numFmtId="0" fontId="38" fillId="0" borderId="12" xfId="0" applyFont="1" applyBorder="1"/>
    <xf numFmtId="0" fontId="38" fillId="0" borderId="6" xfId="0" applyFont="1" applyBorder="1" applyAlignment="1">
      <alignment horizontal="center" vertical="top" readingOrder="1"/>
    </xf>
    <xf numFmtId="0" fontId="42" fillId="0" borderId="3" xfId="0" applyFont="1" applyBorder="1" applyAlignment="1">
      <alignment horizontal="center"/>
    </xf>
    <xf numFmtId="0" fontId="38" fillId="0" borderId="22" xfId="0" quotePrefix="1" applyFont="1" applyBorder="1" applyAlignment="1">
      <alignment vertical="top" wrapText="1" readingOrder="1"/>
    </xf>
    <xf numFmtId="15" fontId="38" fillId="0" borderId="22" xfId="0" quotePrefix="1" applyNumberFormat="1" applyFont="1" applyBorder="1" applyAlignment="1">
      <alignment vertical="top" wrapText="1" readingOrder="1"/>
    </xf>
    <xf numFmtId="0" fontId="38" fillId="0" borderId="3" xfId="0" applyFont="1" applyBorder="1" applyAlignment="1">
      <alignment horizontal="center"/>
    </xf>
    <xf numFmtId="0" fontId="42" fillId="0" borderId="3" xfId="0" applyFont="1" applyBorder="1" applyAlignment="1">
      <alignment horizontal="center" wrapText="1"/>
    </xf>
    <xf numFmtId="0" fontId="38" fillId="0" borderId="3" xfId="0" quotePrefix="1" applyFont="1" applyBorder="1" applyAlignment="1">
      <alignment vertical="top" wrapText="1"/>
    </xf>
    <xf numFmtId="0" fontId="38" fillId="0" borderId="12" xfId="0" applyFont="1" applyBorder="1" applyAlignment="1">
      <alignment vertical="center" wrapText="1"/>
    </xf>
    <xf numFmtId="0" fontId="38" fillId="14" borderId="6" xfId="0" applyFont="1" applyFill="1" applyBorder="1" applyAlignment="1">
      <alignment vertical="top" wrapText="1"/>
    </xf>
    <xf numFmtId="0" fontId="36" fillId="12" borderId="3" xfId="0" applyFont="1" applyFill="1" applyBorder="1" applyAlignment="1">
      <alignment vertical="top" wrapText="1"/>
    </xf>
    <xf numFmtId="0" fontId="36" fillId="0" borderId="3" xfId="0" applyFont="1" applyBorder="1" applyAlignment="1">
      <alignment vertical="top" wrapText="1"/>
    </xf>
    <xf numFmtId="0" fontId="36" fillId="5" borderId="11" xfId="0" applyFont="1" applyFill="1" applyBorder="1" applyAlignment="1">
      <alignment horizontal="center" vertical="center" wrapText="1"/>
    </xf>
    <xf numFmtId="0" fontId="38" fillId="12" borderId="12" xfId="0" applyFont="1" applyFill="1" applyBorder="1"/>
    <xf numFmtId="0" fontId="38" fillId="14" borderId="12" xfId="0" applyFont="1" applyFill="1" applyBorder="1"/>
    <xf numFmtId="0" fontId="38" fillId="0" borderId="22" xfId="0" applyFont="1" applyBorder="1" applyAlignment="1">
      <alignment horizontal="center" vertical="top" wrapText="1" readingOrder="1"/>
    </xf>
    <xf numFmtId="0" fontId="36" fillId="0" borderId="22" xfId="0" applyFont="1" applyBorder="1" applyAlignment="1">
      <alignment horizontal="center" vertical="top" wrapText="1" readingOrder="1"/>
    </xf>
    <xf numFmtId="0" fontId="38" fillId="17" borderId="22" xfId="0" applyFont="1" applyFill="1" applyBorder="1" applyAlignment="1">
      <alignment vertical="top" wrapText="1" readingOrder="1"/>
    </xf>
    <xf numFmtId="15" fontId="38" fillId="17" borderId="22" xfId="0" quotePrefix="1" applyNumberFormat="1" applyFont="1" applyFill="1" applyBorder="1" applyAlignment="1">
      <alignment vertical="top" wrapText="1" readingOrder="1"/>
    </xf>
    <xf numFmtId="0" fontId="38" fillId="17" borderId="22" xfId="0" quotePrefix="1" applyFont="1" applyFill="1" applyBorder="1" applyAlignment="1">
      <alignment vertical="top" wrapText="1" readingOrder="1"/>
    </xf>
    <xf numFmtId="0" fontId="38" fillId="17" borderId="22" xfId="0" applyFont="1" applyFill="1" applyBorder="1" applyAlignment="1">
      <alignment horizontal="center" vertical="top" wrapText="1" readingOrder="1"/>
    </xf>
    <xf numFmtId="0" fontId="36" fillId="17" borderId="22" xfId="0" applyFont="1" applyFill="1" applyBorder="1" applyAlignment="1">
      <alignment horizontal="center" vertical="top" wrapText="1" readingOrder="1"/>
    </xf>
    <xf numFmtId="0" fontId="38" fillId="0" borderId="24" xfId="0" applyFont="1" applyBorder="1"/>
    <xf numFmtId="0" fontId="38" fillId="0" borderId="22" xfId="0" applyFont="1" applyBorder="1"/>
    <xf numFmtId="0" fontId="38" fillId="5" borderId="3" xfId="0" applyFont="1" applyFill="1" applyBorder="1" applyAlignment="1">
      <alignment vertical="top" wrapText="1"/>
    </xf>
    <xf numFmtId="0" fontId="38" fillId="5" borderId="3" xfId="0" applyFont="1" applyFill="1" applyBorder="1" applyAlignment="1">
      <alignment horizontal="center" vertical="top" wrapText="1"/>
    </xf>
    <xf numFmtId="0" fontId="38" fillId="0" borderId="22" xfId="0" applyFont="1" applyBorder="1" applyAlignment="1">
      <alignment vertical="top" wrapText="1"/>
    </xf>
    <xf numFmtId="15" fontId="15" fillId="0" borderId="3" xfId="0" applyNumberFormat="1" applyFont="1" applyBorder="1" applyAlignment="1">
      <alignment horizontal="left" vertical="top" wrapText="1"/>
    </xf>
    <xf numFmtId="0" fontId="38" fillId="5" borderId="6" xfId="0" applyFont="1" applyFill="1" applyBorder="1" applyAlignment="1">
      <alignment horizontal="center" vertical="top" wrapText="1"/>
    </xf>
    <xf numFmtId="164" fontId="38" fillId="12" borderId="5" xfId="0" applyNumberFormat="1" applyFont="1" applyFill="1" applyBorder="1" applyAlignment="1">
      <alignment horizontal="center" vertical="top" wrapText="1"/>
    </xf>
    <xf numFmtId="0" fontId="15" fillId="0" borderId="22" xfId="0" applyFont="1" applyBorder="1" applyAlignment="1">
      <alignment horizontal="center" vertical="top" wrapText="1"/>
    </xf>
    <xf numFmtId="0" fontId="38" fillId="0" borderId="6" xfId="0" applyFont="1" applyBorder="1" applyAlignment="1">
      <alignment vertical="top" wrapText="1"/>
    </xf>
    <xf numFmtId="165" fontId="38" fillId="0" borderId="6" xfId="0" applyNumberFormat="1" applyFont="1" applyBorder="1" applyAlignment="1">
      <alignment horizontal="center" vertical="top"/>
    </xf>
    <xf numFmtId="0" fontId="38" fillId="0" borderId="6" xfId="0" applyFont="1" applyBorder="1" applyAlignment="1">
      <alignment horizontal="center" vertical="top"/>
    </xf>
    <xf numFmtId="0" fontId="38" fillId="0" borderId="12" xfId="0" applyFont="1" applyBorder="1" applyAlignment="1">
      <alignment horizontal="center" vertical="top" wrapText="1"/>
    </xf>
    <xf numFmtId="164" fontId="38" fillId="0" borderId="5" xfId="0" quotePrefix="1" applyNumberFormat="1" applyFont="1" applyBorder="1" applyAlignment="1">
      <alignment horizontal="center" vertical="top" wrapText="1"/>
    </xf>
    <xf numFmtId="0" fontId="38" fillId="0" borderId="5" xfId="0" applyFont="1" applyBorder="1" applyAlignment="1">
      <alignment horizontal="center" vertical="top" wrapText="1"/>
    </xf>
    <xf numFmtId="164" fontId="38" fillId="0" borderId="5" xfId="0" applyNumberFormat="1" applyFont="1" applyBorder="1" applyAlignment="1">
      <alignment horizontal="center" vertical="top" wrapText="1"/>
    </xf>
    <xf numFmtId="0" fontId="36" fillId="14" borderId="3" xfId="0" applyFont="1" applyFill="1" applyBorder="1" applyAlignment="1">
      <alignment horizontal="center" vertical="top" wrapText="1"/>
    </xf>
    <xf numFmtId="0" fontId="38" fillId="14" borderId="6" xfId="0" applyFont="1" applyFill="1" applyBorder="1" applyAlignment="1">
      <alignment horizontal="center" vertical="top" wrapText="1"/>
    </xf>
    <xf numFmtId="0" fontId="36" fillId="14" borderId="11" xfId="0" applyFont="1" applyFill="1" applyBorder="1" applyAlignment="1">
      <alignment horizontal="center" vertical="top" wrapText="1"/>
    </xf>
    <xf numFmtId="165" fontId="38" fillId="19" borderId="3" xfId="0" applyNumberFormat="1" applyFont="1" applyFill="1" applyBorder="1" applyAlignment="1">
      <alignment horizontal="center" vertical="top" wrapText="1"/>
    </xf>
    <xf numFmtId="0" fontId="38" fillId="19" borderId="3" xfId="0" applyFont="1" applyFill="1" applyBorder="1" applyAlignment="1">
      <alignment horizontal="left" vertical="top" wrapText="1"/>
    </xf>
    <xf numFmtId="0" fontId="38" fillId="19" borderId="3" xfId="0" applyFont="1" applyFill="1" applyBorder="1" applyAlignment="1">
      <alignment horizontal="center" vertical="top" wrapText="1"/>
    </xf>
    <xf numFmtId="0" fontId="36" fillId="19" borderId="3" xfId="0" applyFont="1" applyFill="1" applyBorder="1" applyAlignment="1">
      <alignment horizontal="center" vertical="top" wrapText="1"/>
    </xf>
    <xf numFmtId="0" fontId="36" fillId="12" borderId="5" xfId="0" applyFont="1" applyFill="1" applyBorder="1" applyAlignment="1">
      <alignment vertical="top"/>
    </xf>
    <xf numFmtId="0" fontId="38" fillId="12" borderId="6" xfId="0" applyFont="1" applyFill="1" applyBorder="1" applyAlignment="1">
      <alignment vertical="top" wrapText="1"/>
    </xf>
    <xf numFmtId="164" fontId="38" fillId="12" borderId="6" xfId="0" applyNumberFormat="1" applyFont="1" applyFill="1" applyBorder="1" applyAlignment="1">
      <alignment horizontal="center" vertical="top" wrapText="1"/>
    </xf>
    <xf numFmtId="0" fontId="38" fillId="12" borderId="6" xfId="0" applyFont="1" applyFill="1" applyBorder="1" applyAlignment="1">
      <alignment horizontal="center" vertical="top" wrapText="1"/>
    </xf>
    <xf numFmtId="166" fontId="38" fillId="14" borderId="3" xfId="0" applyNumberFormat="1" applyFont="1" applyFill="1" applyBorder="1" applyAlignment="1">
      <alignment horizontal="center" vertical="top" wrapText="1"/>
    </xf>
    <xf numFmtId="0" fontId="45" fillId="12" borderId="12" xfId="0" applyFont="1" applyFill="1" applyBorder="1"/>
    <xf numFmtId="0" fontId="38" fillId="17" borderId="6" xfId="0" applyFont="1" applyFill="1" applyBorder="1" applyAlignment="1">
      <alignment horizontal="center" vertical="center" wrapText="1"/>
    </xf>
    <xf numFmtId="0" fontId="38" fillId="17" borderId="6" xfId="0" applyFont="1" applyFill="1" applyBorder="1" applyAlignment="1">
      <alignment vertical="center" wrapText="1"/>
    </xf>
    <xf numFmtId="0" fontId="15" fillId="12" borderId="5" xfId="0" applyFont="1" applyFill="1" applyBorder="1" applyAlignment="1">
      <alignment vertical="top" wrapText="1"/>
    </xf>
    <xf numFmtId="0" fontId="43" fillId="17" borderId="12" xfId="0" applyFont="1" applyFill="1" applyBorder="1"/>
    <xf numFmtId="0" fontId="15" fillId="12" borderId="3" xfId="0" applyFont="1" applyFill="1" applyBorder="1" applyAlignment="1">
      <alignment vertical="top" wrapText="1"/>
    </xf>
    <xf numFmtId="0" fontId="15" fillId="12" borderId="6" xfId="0" applyFont="1" applyFill="1" applyBorder="1" applyAlignment="1">
      <alignment horizontal="center" vertical="top"/>
    </xf>
    <xf numFmtId="0" fontId="15" fillId="12" borderId="3" xfId="0" applyFont="1" applyFill="1" applyBorder="1" applyAlignment="1">
      <alignment horizontal="center" vertical="top"/>
    </xf>
    <xf numFmtId="0" fontId="15" fillId="0" borderId="3" xfId="0" applyFont="1" applyBorder="1" applyAlignment="1">
      <alignment horizontal="center" vertical="top"/>
    </xf>
    <xf numFmtId="164" fontId="15" fillId="0" borderId="3" xfId="0" applyNumberFormat="1" applyFont="1" applyBorder="1" applyAlignment="1">
      <alignment horizontal="center" vertical="top"/>
    </xf>
    <xf numFmtId="164" fontId="38" fillId="12" borderId="3" xfId="0" quotePrefix="1" applyNumberFormat="1" applyFont="1" applyFill="1" applyBorder="1" applyAlignment="1">
      <alignment horizontal="center" vertical="top" wrapText="1"/>
    </xf>
    <xf numFmtId="164" fontId="38" fillId="0" borderId="3" xfId="0" quotePrefix="1" applyNumberFormat="1" applyFont="1" applyBorder="1" applyAlignment="1">
      <alignment horizontal="center" vertical="top" wrapText="1"/>
    </xf>
    <xf numFmtId="0" fontId="38" fillId="0" borderId="3" xfId="0" quotePrefix="1" applyFont="1" applyBorder="1" applyAlignment="1">
      <alignment horizontal="center" vertical="top" wrapText="1"/>
    </xf>
    <xf numFmtId="0" fontId="42" fillId="0" borderId="12" xfId="0" applyFont="1" applyBorder="1" applyAlignment="1">
      <alignment wrapText="1"/>
    </xf>
    <xf numFmtId="0" fontId="38" fillId="0" borderId="12" xfId="0" applyFont="1" applyBorder="1" applyAlignment="1">
      <alignment wrapText="1"/>
    </xf>
    <xf numFmtId="0" fontId="43" fillId="0" borderId="12" xfId="0" applyFont="1" applyBorder="1" applyAlignment="1">
      <alignment wrapText="1"/>
    </xf>
    <xf numFmtId="0" fontId="38" fillId="0" borderId="5" xfId="0" quotePrefix="1" applyFont="1" applyBorder="1" applyAlignment="1">
      <alignment horizontal="center" vertical="top" wrapText="1"/>
    </xf>
    <xf numFmtId="0" fontId="38" fillId="0" borderId="8" xfId="0" applyFont="1" applyBorder="1" applyAlignment="1">
      <alignment horizontal="center" vertical="top" wrapText="1"/>
    </xf>
    <xf numFmtId="164" fontId="38" fillId="15" borderId="6" xfId="0" applyNumberFormat="1" applyFont="1" applyFill="1" applyBorder="1" applyAlignment="1">
      <alignment horizontal="center" vertical="center" wrapText="1"/>
    </xf>
    <xf numFmtId="0" fontId="38" fillId="15" borderId="6" xfId="0" applyFont="1" applyFill="1" applyBorder="1" applyAlignment="1">
      <alignment vertical="center" wrapText="1"/>
    </xf>
    <xf numFmtId="0" fontId="38" fillId="15" borderId="6" xfId="0" applyFont="1" applyFill="1" applyBorder="1" applyAlignment="1">
      <alignment horizontal="center" vertical="center" wrapText="1"/>
    </xf>
    <xf numFmtId="0" fontId="36" fillId="15" borderId="6" xfId="0" applyFont="1" applyFill="1" applyBorder="1" applyAlignment="1">
      <alignment horizontal="center" vertical="center" wrapText="1"/>
    </xf>
    <xf numFmtId="0" fontId="36" fillId="15" borderId="10" xfId="0" applyFont="1" applyFill="1" applyBorder="1" applyAlignment="1">
      <alignment horizontal="center" vertical="center" wrapText="1"/>
    </xf>
    <xf numFmtId="0" fontId="38" fillId="14" borderId="3" xfId="0" quotePrefix="1" applyFont="1" applyFill="1" applyBorder="1" applyAlignment="1">
      <alignment horizontal="center" vertical="top" wrapText="1"/>
    </xf>
    <xf numFmtId="0" fontId="38" fillId="14" borderId="3" xfId="0" quotePrefix="1" applyFont="1" applyFill="1" applyBorder="1" applyAlignment="1">
      <alignment vertical="top" wrapText="1"/>
    </xf>
    <xf numFmtId="0" fontId="38" fillId="14" borderId="12" xfId="0" applyFont="1" applyFill="1" applyBorder="1" applyAlignment="1">
      <alignment horizontal="center" vertical="top" wrapText="1"/>
    </xf>
    <xf numFmtId="0" fontId="42" fillId="0" borderId="12" xfId="0" applyFont="1" applyBorder="1"/>
    <xf numFmtId="164" fontId="38" fillId="14" borderId="3" xfId="0" applyNumberFormat="1" applyFont="1" applyFill="1" applyBorder="1" applyAlignment="1">
      <alignment horizontal="center" vertical="top" wrapText="1"/>
    </xf>
    <xf numFmtId="0" fontId="36" fillId="14" borderId="8" xfId="0" applyFont="1" applyFill="1" applyBorder="1" applyAlignment="1">
      <alignment horizontal="center" vertical="top" wrapText="1"/>
    </xf>
    <xf numFmtId="0" fontId="41" fillId="0" borderId="0" xfId="0" applyFont="1" applyAlignment="1">
      <alignment vertical="top"/>
    </xf>
    <xf numFmtId="0" fontId="36" fillId="16" borderId="8" xfId="0" applyFont="1" applyFill="1" applyBorder="1" applyAlignment="1">
      <alignment horizontal="center" vertical="center" wrapText="1"/>
    </xf>
    <xf numFmtId="0" fontId="43" fillId="0" borderId="12" xfId="0" applyFont="1" applyBorder="1"/>
    <xf numFmtId="166" fontId="38" fillId="0" borderId="3" xfId="0" applyNumberFormat="1" applyFont="1" applyBorder="1" applyAlignment="1">
      <alignment horizontal="center" vertical="top" wrapText="1"/>
    </xf>
    <xf numFmtId="0" fontId="36" fillId="12" borderId="8" xfId="0" applyFont="1" applyFill="1" applyBorder="1" applyAlignment="1">
      <alignment horizontal="center" vertical="top" wrapText="1"/>
    </xf>
    <xf numFmtId="0" fontId="36" fillId="12" borderId="8" xfId="0" applyFont="1" applyFill="1" applyBorder="1" applyAlignment="1">
      <alignment horizontal="left" vertical="top" wrapText="1"/>
    </xf>
    <xf numFmtId="0" fontId="36" fillId="18" borderId="22" xfId="0" applyFont="1" applyFill="1" applyBorder="1" applyAlignment="1">
      <alignment vertical="top" wrapText="1" readingOrder="1"/>
    </xf>
    <xf numFmtId="0" fontId="36" fillId="0" borderId="22" xfId="0" applyFont="1" applyBorder="1" applyAlignment="1">
      <alignment vertical="top" wrapText="1" readingOrder="1"/>
    </xf>
    <xf numFmtId="0" fontId="48" fillId="7" borderId="12" xfId="0" applyFont="1" applyFill="1" applyBorder="1" applyAlignment="1">
      <alignment readingOrder="1"/>
    </xf>
    <xf numFmtId="0" fontId="48" fillId="7" borderId="3" xfId="0" applyFont="1" applyFill="1" applyBorder="1"/>
    <xf numFmtId="0" fontId="38" fillId="18" borderId="22" xfId="0" applyFont="1" applyFill="1" applyBorder="1" applyAlignment="1">
      <alignment horizontal="center" vertical="top" wrapText="1" readingOrder="1"/>
    </xf>
    <xf numFmtId="0" fontId="36" fillId="18" borderId="22" xfId="0" applyFont="1" applyFill="1" applyBorder="1" applyAlignment="1">
      <alignment horizontal="center" vertical="top" wrapText="1" readingOrder="1"/>
    </xf>
    <xf numFmtId="0" fontId="38" fillId="0" borderId="7" xfId="0" applyFont="1" applyBorder="1" applyAlignment="1">
      <alignment horizontal="left" vertical="top" wrapText="1"/>
    </xf>
    <xf numFmtId="0" fontId="38" fillId="0" borderId="9" xfId="0" applyFont="1" applyBorder="1" applyAlignment="1">
      <alignment horizontal="left" vertical="top" wrapText="1"/>
    </xf>
    <xf numFmtId="0" fontId="38" fillId="0" borderId="10" xfId="0" applyFont="1" applyBorder="1" applyAlignment="1">
      <alignment horizontal="left" vertical="top" wrapText="1"/>
    </xf>
    <xf numFmtId="0" fontId="0" fillId="0" borderId="3" xfId="0" quotePrefix="1" applyBorder="1" applyAlignment="1">
      <alignment horizontal="left" vertical="center" wrapText="1"/>
    </xf>
    <xf numFmtId="0" fontId="1" fillId="0" borderId="3" xfId="1" applyBorder="1" applyAlignment="1">
      <alignment horizontal="left" vertical="center"/>
    </xf>
    <xf numFmtId="0" fontId="1" fillId="0" borderId="5" xfId="1" applyBorder="1" applyAlignment="1">
      <alignment horizontal="left" vertical="center" wrapText="1"/>
    </xf>
    <xf numFmtId="0" fontId="0" fillId="0" borderId="11" xfId="0" applyBorder="1" applyAlignment="1">
      <alignment wrapText="1"/>
    </xf>
    <xf numFmtId="0" fontId="1" fillId="0" borderId="5" xfId="1" applyBorder="1" applyAlignment="1">
      <alignment vertical="center" wrapText="1"/>
    </xf>
    <xf numFmtId="0" fontId="1" fillId="0" borderId="6" xfId="1" applyBorder="1" applyAlignment="1">
      <alignment vertical="center"/>
    </xf>
    <xf numFmtId="0" fontId="0" fillId="0" borderId="3" xfId="0" applyBorder="1" applyAlignment="1">
      <alignment vertical="center" wrapText="1"/>
    </xf>
    <xf numFmtId="0" fontId="36" fillId="12" borderId="11" xfId="0" applyFont="1" applyFill="1" applyBorder="1" applyAlignment="1">
      <alignment horizontal="left" vertical="top" wrapText="1"/>
    </xf>
    <xf numFmtId="0" fontId="38" fillId="0" borderId="0" xfId="0" applyFont="1" applyAlignment="1">
      <alignment horizontal="left" vertical="top" wrapText="1"/>
    </xf>
    <xf numFmtId="0" fontId="38" fillId="14" borderId="7" xfId="0" applyFont="1" applyFill="1" applyBorder="1" applyAlignment="1">
      <alignment horizontal="left" vertical="top" wrapText="1"/>
    </xf>
    <xf numFmtId="0" fontId="36" fillId="12" borderId="24" xfId="0" applyFont="1" applyFill="1" applyBorder="1" applyAlignment="1">
      <alignment horizontal="left" vertical="top" wrapText="1"/>
    </xf>
    <xf numFmtId="0" fontId="38" fillId="0" borderId="25" xfId="0" applyFont="1" applyBorder="1" applyAlignment="1">
      <alignment horizontal="left" vertical="top" wrapText="1"/>
    </xf>
    <xf numFmtId="0" fontId="38" fillId="0" borderId="0" xfId="0" applyFont="1" applyAlignment="1">
      <alignment horizontal="left" vertical="top"/>
    </xf>
    <xf numFmtId="0" fontId="36" fillId="0" borderId="11" xfId="0" applyFont="1" applyBorder="1" applyAlignment="1">
      <alignment horizontal="left" vertical="top" wrapText="1"/>
    </xf>
    <xf numFmtId="0" fontId="36" fillId="0" borderId="8" xfId="0" applyFont="1" applyBorder="1" applyAlignment="1">
      <alignment horizontal="left" vertical="top" wrapText="1"/>
    </xf>
    <xf numFmtId="0" fontId="48" fillId="7" borderId="12" xfId="0" applyFont="1" applyFill="1" applyBorder="1" applyAlignment="1">
      <alignment horizontal="left" vertical="top" readingOrder="1"/>
    </xf>
    <xf numFmtId="0" fontId="15" fillId="0" borderId="7" xfId="0" applyFont="1" applyBorder="1" applyAlignment="1">
      <alignment vertical="top" wrapText="1"/>
    </xf>
    <xf numFmtId="0" fontId="38" fillId="0" borderId="5" xfId="0" applyFont="1" applyBorder="1" applyAlignment="1">
      <alignment vertical="top" wrapText="1" readingOrder="1"/>
    </xf>
    <xf numFmtId="0" fontId="38" fillId="0" borderId="7" xfId="0" applyFont="1" applyBorder="1" applyAlignment="1">
      <alignment vertical="top" wrapText="1" readingOrder="1"/>
    </xf>
    <xf numFmtId="0" fontId="38" fillId="0" borderId="6" xfId="0" applyFont="1" applyBorder="1" applyAlignment="1">
      <alignment vertical="top" wrapText="1" readingOrder="1"/>
    </xf>
    <xf numFmtId="0" fontId="42" fillId="0" borderId="5" xfId="0" applyFont="1" applyBorder="1" applyAlignment="1">
      <alignment vertical="top" wrapText="1"/>
    </xf>
    <xf numFmtId="0" fontId="36" fillId="12" borderId="5" xfId="0" applyFont="1" applyFill="1" applyBorder="1" applyAlignment="1">
      <alignment vertical="top" wrapText="1"/>
    </xf>
    <xf numFmtId="0" fontId="38" fillId="0" borderId="10" xfId="0" applyFont="1" applyBorder="1" applyAlignment="1">
      <alignment vertical="top" wrapText="1"/>
    </xf>
    <xf numFmtId="0" fontId="38" fillId="14" borderId="23" xfId="0" applyFont="1" applyFill="1" applyBorder="1" applyAlignment="1">
      <alignment vertical="top" wrapText="1"/>
    </xf>
    <xf numFmtId="0" fontId="48" fillId="7" borderId="12" xfId="0" applyFont="1" applyFill="1" applyBorder="1" applyAlignment="1">
      <alignment wrapText="1" readingOrder="1"/>
    </xf>
    <xf numFmtId="1" fontId="38" fillId="12" borderId="6" xfId="0" applyNumberFormat="1" applyFont="1" applyFill="1" applyBorder="1" applyAlignment="1">
      <alignment horizontal="center" vertical="top"/>
    </xf>
    <xf numFmtId="0" fontId="36" fillId="12" borderId="10" xfId="0" applyFont="1" applyFill="1" applyBorder="1" applyAlignment="1">
      <alignment horizontal="center" vertical="top" wrapText="1"/>
    </xf>
    <xf numFmtId="0" fontId="42" fillId="0" borderId="6" xfId="0" applyFont="1" applyBorder="1" applyAlignment="1">
      <alignment vertical="center" wrapText="1"/>
    </xf>
    <xf numFmtId="0" fontId="38" fillId="0" borderId="11" xfId="0" applyFont="1" applyBorder="1"/>
    <xf numFmtId="0" fontId="38" fillId="0" borderId="8" xfId="0" applyFont="1" applyBorder="1"/>
    <xf numFmtId="0" fontId="38" fillId="0" borderId="7" xfId="0" applyFont="1" applyBorder="1" applyAlignment="1">
      <alignment vertical="top" wrapText="1"/>
    </xf>
    <xf numFmtId="0" fontId="38" fillId="0" borderId="9" xfId="0" applyFont="1" applyBorder="1" applyAlignment="1">
      <alignment vertical="top" wrapText="1"/>
    </xf>
    <xf numFmtId="0" fontId="38" fillId="0" borderId="7" xfId="0" applyFont="1" applyBorder="1" applyAlignment="1">
      <alignment vertical="top"/>
    </xf>
    <xf numFmtId="0" fontId="38" fillId="0" borderId="6" xfId="0" applyFont="1" applyBorder="1" applyAlignment="1">
      <alignment vertical="top"/>
    </xf>
    <xf numFmtId="0" fontId="38" fillId="12" borderId="12" xfId="0" applyFont="1" applyFill="1" applyBorder="1" applyAlignment="1">
      <alignment vertical="top" wrapText="1"/>
    </xf>
    <xf numFmtId="0" fontId="38" fillId="13" borderId="12" xfId="0" applyFont="1" applyFill="1" applyBorder="1" applyAlignment="1">
      <alignment vertical="top" wrapText="1"/>
    </xf>
    <xf numFmtId="0" fontId="38" fillId="14" borderId="12" xfId="0" applyFont="1" applyFill="1" applyBorder="1" applyAlignment="1">
      <alignment vertical="top" wrapText="1"/>
    </xf>
    <xf numFmtId="0" fontId="38" fillId="13" borderId="7" xfId="0" applyFont="1" applyFill="1" applyBorder="1" applyAlignment="1">
      <alignment horizontal="left" vertical="top" wrapText="1"/>
    </xf>
    <xf numFmtId="0" fontId="38" fillId="12" borderId="24" xfId="0" applyFont="1" applyFill="1" applyBorder="1" applyAlignment="1">
      <alignment horizontal="left" vertical="top" wrapText="1"/>
    </xf>
    <xf numFmtId="0" fontId="38" fillId="13" borderId="25" xfId="0" applyFont="1" applyFill="1" applyBorder="1" applyAlignment="1">
      <alignment horizontal="left" vertical="top" wrapText="1"/>
    </xf>
    <xf numFmtId="0" fontId="38" fillId="14" borderId="25" xfId="0" applyFont="1" applyFill="1" applyBorder="1" applyAlignment="1">
      <alignment horizontal="left" vertical="top" wrapText="1"/>
    </xf>
    <xf numFmtId="0" fontId="38" fillId="14" borderId="22" xfId="0" applyFont="1" applyFill="1" applyBorder="1" applyAlignment="1">
      <alignment horizontal="left" vertical="top" wrapText="1"/>
    </xf>
    <xf numFmtId="0" fontId="38" fillId="13" borderId="12" xfId="0" applyFont="1" applyFill="1" applyBorder="1" applyAlignment="1">
      <alignment horizontal="left" vertical="top" wrapText="1"/>
    </xf>
    <xf numFmtId="0" fontId="38" fillId="13" borderId="22" xfId="0" applyFont="1" applyFill="1" applyBorder="1" applyAlignment="1">
      <alignment horizontal="left" vertical="top" wrapText="1"/>
    </xf>
    <xf numFmtId="0" fontId="36" fillId="12" borderId="24" xfId="0" applyFont="1" applyFill="1" applyBorder="1" applyAlignment="1">
      <alignment horizontal="left" vertical="top"/>
    </xf>
    <xf numFmtId="0" fontId="38" fillId="13" borderId="25" xfId="0" applyFont="1" applyFill="1" applyBorder="1" applyAlignment="1">
      <alignment horizontal="left" vertical="top"/>
    </xf>
    <xf numFmtId="0" fontId="38" fillId="14" borderId="25" xfId="0" applyFont="1" applyFill="1" applyBorder="1" applyAlignment="1">
      <alignment horizontal="left" vertical="top"/>
    </xf>
    <xf numFmtId="1" fontId="38" fillId="12" borderId="5" xfId="0" applyNumberFormat="1" applyFont="1" applyFill="1" applyBorder="1" applyAlignment="1">
      <alignment horizontal="center" vertical="top"/>
    </xf>
    <xf numFmtId="1" fontId="38" fillId="13" borderId="7" xfId="0" applyNumberFormat="1" applyFont="1" applyFill="1" applyBorder="1" applyAlignment="1">
      <alignment horizontal="center" vertical="top"/>
    </xf>
    <xf numFmtId="1" fontId="38" fillId="14" borderId="7" xfId="0" applyNumberFormat="1" applyFont="1" applyFill="1" applyBorder="1" applyAlignment="1">
      <alignment horizontal="center" vertical="top"/>
    </xf>
    <xf numFmtId="0" fontId="38" fillId="12" borderId="22" xfId="0" applyFont="1" applyFill="1" applyBorder="1" applyAlignment="1">
      <alignment vertical="top" wrapText="1"/>
    </xf>
    <xf numFmtId="0" fontId="38" fillId="13" borderId="24" xfId="0" applyFont="1" applyFill="1" applyBorder="1" applyAlignment="1">
      <alignment horizontal="left" vertical="top" wrapText="1"/>
    </xf>
    <xf numFmtId="0" fontId="38" fillId="0" borderId="12" xfId="0" applyFont="1" applyBorder="1" applyAlignment="1">
      <alignment vertical="top" wrapText="1"/>
    </xf>
    <xf numFmtId="0" fontId="38" fillId="0" borderId="22" xfId="0" applyFont="1" applyBorder="1" applyAlignment="1">
      <alignment horizontal="left" vertical="top" wrapText="1"/>
    </xf>
    <xf numFmtId="0" fontId="38" fillId="0" borderId="24" xfId="0" applyFont="1" applyBorder="1" applyAlignment="1">
      <alignment vertical="top" wrapText="1"/>
    </xf>
    <xf numFmtId="0" fontId="38" fillId="0" borderId="25" xfId="0" applyFont="1" applyBorder="1" applyAlignment="1">
      <alignment vertical="top" wrapText="1"/>
    </xf>
    <xf numFmtId="0" fontId="38" fillId="14" borderId="7" xfId="0" applyFont="1" applyFill="1" applyBorder="1" applyAlignment="1">
      <alignment vertical="top"/>
    </xf>
    <xf numFmtId="0" fontId="36" fillId="0" borderId="25" xfId="0" applyFont="1" applyBorder="1" applyAlignment="1">
      <alignment horizontal="left" vertical="top" wrapText="1"/>
    </xf>
    <xf numFmtId="0" fontId="38" fillId="13" borderId="25" xfId="0" applyFont="1" applyFill="1" applyBorder="1" applyAlignment="1">
      <alignment vertical="top"/>
    </xf>
    <xf numFmtId="0" fontId="38" fillId="0" borderId="25" xfId="0" applyFont="1" applyBorder="1" applyAlignment="1">
      <alignment vertical="top"/>
    </xf>
    <xf numFmtId="0" fontId="38" fillId="14" borderId="25" xfId="0" applyFont="1" applyFill="1" applyBorder="1" applyAlignment="1">
      <alignment vertical="top"/>
    </xf>
    <xf numFmtId="1" fontId="38" fillId="0" borderId="7" xfId="0" applyNumberFormat="1" applyFont="1" applyBorder="1" applyAlignment="1">
      <alignment horizontal="center" vertical="top"/>
    </xf>
    <xf numFmtId="1" fontId="38" fillId="0" borderId="6" xfId="0" applyNumberFormat="1" applyFont="1" applyBorder="1" applyAlignment="1">
      <alignment horizontal="center" vertical="top"/>
    </xf>
    <xf numFmtId="1" fontId="38" fillId="12" borderId="8" xfId="0" applyNumberFormat="1" applyFont="1" applyFill="1" applyBorder="1" applyAlignment="1">
      <alignment horizontal="center" vertical="top"/>
    </xf>
    <xf numFmtId="1" fontId="38" fillId="14" borderId="9" xfId="0" applyNumberFormat="1" applyFont="1" applyFill="1" applyBorder="1" applyAlignment="1">
      <alignment horizontal="center" vertical="top"/>
    </xf>
    <xf numFmtId="1" fontId="38" fillId="0" borderId="9" xfId="0" applyNumberFormat="1" applyFont="1" applyBorder="1" applyAlignment="1">
      <alignment horizontal="center" vertical="top"/>
    </xf>
    <xf numFmtId="1" fontId="38" fillId="0" borderId="10" xfId="0" applyNumberFormat="1" applyFont="1" applyBorder="1" applyAlignment="1">
      <alignment horizontal="center" vertical="top"/>
    </xf>
    <xf numFmtId="0" fontId="38" fillId="0" borderId="7" xfId="0" quotePrefix="1" applyFont="1" applyBorder="1" applyAlignment="1">
      <alignment vertical="top" wrapText="1"/>
    </xf>
    <xf numFmtId="0" fontId="36" fillId="12" borderId="5" xfId="0" applyFont="1" applyFill="1" applyBorder="1" applyAlignment="1">
      <alignment horizontal="center" vertical="top" wrapText="1"/>
    </xf>
    <xf numFmtId="0" fontId="36" fillId="13" borderId="7" xfId="0" applyFont="1" applyFill="1" applyBorder="1" applyAlignment="1">
      <alignment horizontal="center" vertical="center" wrapText="1"/>
    </xf>
    <xf numFmtId="0" fontId="36" fillId="14" borderId="7" xfId="0" applyFont="1" applyFill="1" applyBorder="1" applyAlignment="1">
      <alignment horizontal="center" vertical="center" wrapText="1"/>
    </xf>
    <xf numFmtId="0" fontId="36" fillId="12" borderId="9" xfId="0" applyFont="1" applyFill="1" applyBorder="1" applyAlignment="1">
      <alignment horizontal="center" vertical="top" wrapText="1"/>
    </xf>
    <xf numFmtId="0" fontId="36" fillId="0" borderId="9" xfId="0" applyFont="1" applyBorder="1" applyAlignment="1">
      <alignment horizontal="center" vertical="top" wrapText="1"/>
    </xf>
    <xf numFmtId="0" fontId="38" fillId="0" borderId="9" xfId="0" applyFont="1" applyBorder="1" applyAlignment="1">
      <alignment horizontal="center" vertical="center" wrapText="1"/>
    </xf>
    <xf numFmtId="0" fontId="36" fillId="14" borderId="9" xfId="0" applyFont="1" applyFill="1" applyBorder="1" applyAlignment="1">
      <alignment horizontal="center" vertical="center" wrapText="1"/>
    </xf>
    <xf numFmtId="0" fontId="38" fillId="0" borderId="10" xfId="0" applyFont="1" applyBorder="1" applyAlignment="1">
      <alignment horizontal="center" vertical="center" wrapText="1"/>
    </xf>
    <xf numFmtId="0" fontId="38" fillId="0" borderId="9" xfId="0" applyFont="1" applyBorder="1" applyAlignment="1">
      <alignment horizontal="center" vertical="top" wrapText="1"/>
    </xf>
    <xf numFmtId="0" fontId="36" fillId="0" borderId="9" xfId="0" applyFont="1" applyBorder="1" applyAlignment="1">
      <alignment horizontal="center" vertical="center" wrapText="1"/>
    </xf>
    <xf numFmtId="0" fontId="38" fillId="0" borderId="10" xfId="0" applyFont="1" applyBorder="1" applyAlignment="1">
      <alignment horizontal="center" vertical="top" wrapText="1"/>
    </xf>
    <xf numFmtId="0" fontId="36" fillId="5" borderId="9" xfId="0" applyFont="1" applyFill="1" applyBorder="1" applyAlignment="1">
      <alignment horizontal="center" vertical="center" wrapText="1"/>
    </xf>
    <xf numFmtId="0" fontId="36" fillId="14" borderId="10" xfId="0" applyFont="1" applyFill="1" applyBorder="1" applyAlignment="1">
      <alignment horizontal="center" vertical="center" wrapText="1"/>
    </xf>
    <xf numFmtId="0" fontId="36" fillId="12" borderId="23" xfId="0" applyFont="1" applyFill="1" applyBorder="1" applyAlignment="1">
      <alignment horizontal="center" vertical="top" wrapText="1"/>
    </xf>
    <xf numFmtId="0" fontId="38" fillId="0" borderId="0" xfId="0" applyFont="1" applyAlignment="1">
      <alignment horizontal="center" vertical="top" wrapText="1"/>
    </xf>
    <xf numFmtId="0" fontId="36" fillId="14" borderId="9" xfId="0" applyFont="1" applyFill="1" applyBorder="1" applyAlignment="1">
      <alignment horizontal="center" vertical="top" wrapText="1"/>
    </xf>
    <xf numFmtId="0" fontId="38" fillId="0" borderId="7" xfId="0" applyFont="1" applyBorder="1" applyAlignment="1">
      <alignment horizontal="center" vertical="top" wrapText="1"/>
    </xf>
    <xf numFmtId="0" fontId="38" fillId="14" borderId="7" xfId="0" applyFont="1" applyFill="1" applyBorder="1" applyAlignment="1">
      <alignment horizontal="center" vertical="top" wrapText="1"/>
    </xf>
    <xf numFmtId="0" fontId="36" fillId="12" borderId="24" xfId="0" applyFont="1" applyFill="1" applyBorder="1" applyAlignment="1">
      <alignment horizontal="center" vertical="top" wrapText="1"/>
    </xf>
    <xf numFmtId="0" fontId="36" fillId="15" borderId="9" xfId="0" applyFont="1" applyFill="1" applyBorder="1" applyAlignment="1">
      <alignment horizontal="center" vertical="center" wrapText="1"/>
    </xf>
    <xf numFmtId="0" fontId="38" fillId="0" borderId="6" xfId="0" applyFont="1" applyBorder="1" applyAlignment="1">
      <alignment horizontal="center" vertical="center" wrapText="1"/>
    </xf>
    <xf numFmtId="0" fontId="38" fillId="0" borderId="6" xfId="0" applyFont="1" applyBorder="1" applyAlignment="1">
      <alignment horizontal="center" vertical="top" wrapText="1"/>
    </xf>
    <xf numFmtId="0" fontId="36" fillId="18" borderId="25" xfId="0" applyFont="1" applyFill="1" applyBorder="1" applyAlignment="1">
      <alignment horizontal="center" vertical="top" wrapText="1" readingOrder="1"/>
    </xf>
    <xf numFmtId="0" fontId="36" fillId="0" borderId="25" xfId="0" applyFont="1" applyBorder="1" applyAlignment="1">
      <alignment horizontal="center" vertical="top" wrapText="1" readingOrder="1"/>
    </xf>
    <xf numFmtId="0" fontId="38" fillId="12" borderId="11" xfId="0" applyFont="1" applyFill="1" applyBorder="1" applyAlignment="1">
      <alignment horizontal="center" vertical="top" wrapText="1"/>
    </xf>
    <xf numFmtId="0" fontId="36" fillId="13" borderId="0" xfId="0" applyFont="1" applyFill="1" applyAlignment="1">
      <alignment horizontal="center" vertical="center" wrapText="1"/>
    </xf>
    <xf numFmtId="0" fontId="36" fillId="14" borderId="0" xfId="0" applyFont="1" applyFill="1" applyAlignment="1">
      <alignment horizontal="center" vertical="center" wrapText="1"/>
    </xf>
    <xf numFmtId="0" fontId="36" fillId="13" borderId="25" xfId="0" applyFont="1" applyFill="1" applyBorder="1" applyAlignment="1">
      <alignment horizontal="center" vertical="center" wrapText="1"/>
    </xf>
    <xf numFmtId="0" fontId="36" fillId="14" borderId="25" xfId="0" applyFont="1" applyFill="1" applyBorder="1" applyAlignment="1">
      <alignment horizontal="center" vertical="center" wrapText="1"/>
    </xf>
    <xf numFmtId="0" fontId="36" fillId="0" borderId="0" xfId="0" applyFont="1" applyAlignment="1">
      <alignment horizontal="center" vertical="top" wrapText="1"/>
    </xf>
    <xf numFmtId="0" fontId="38" fillId="0" borderId="0" xfId="0" applyFont="1" applyAlignment="1">
      <alignment horizontal="center" vertical="center" wrapText="1"/>
    </xf>
    <xf numFmtId="0" fontId="36" fillId="0" borderId="7" xfId="0" applyFont="1" applyBorder="1" applyAlignment="1">
      <alignment horizontal="center" vertical="top" wrapText="1"/>
    </xf>
    <xf numFmtId="0" fontId="38" fillId="0" borderId="7" xfId="0" applyFont="1" applyBorder="1" applyAlignment="1">
      <alignment horizontal="center" vertical="center" wrapText="1"/>
    </xf>
    <xf numFmtId="0" fontId="25" fillId="0" borderId="16" xfId="2" quotePrefix="1" applyFont="1" applyBorder="1" applyAlignment="1">
      <alignment horizontal="left" vertical="top" wrapText="1"/>
    </xf>
    <xf numFmtId="0" fontId="38" fillId="12" borderId="3" xfId="0" quotePrefix="1" applyFont="1" applyFill="1" applyBorder="1" applyAlignment="1">
      <alignment horizontal="left" vertical="top" wrapText="1"/>
    </xf>
    <xf numFmtId="164" fontId="38" fillId="0" borderId="3" xfId="0" quotePrefix="1" applyNumberFormat="1" applyFont="1" applyBorder="1" applyAlignment="1">
      <alignment horizontal="left" vertical="top" wrapText="1"/>
    </xf>
    <xf numFmtId="0" fontId="38" fillId="5" borderId="22" xfId="0" applyFont="1" applyFill="1" applyBorder="1" applyAlignment="1">
      <alignment vertical="top" wrapText="1"/>
    </xf>
    <xf numFmtId="0" fontId="25" fillId="0" borderId="24" xfId="2" quotePrefix="1" applyFont="1" applyBorder="1" applyAlignment="1">
      <alignment horizontal="left" vertical="top" wrapText="1"/>
    </xf>
    <xf numFmtId="0" fontId="36" fillId="12" borderId="6" xfId="0" applyFont="1" applyFill="1" applyBorder="1" applyAlignment="1">
      <alignment vertical="top"/>
    </xf>
    <xf numFmtId="0" fontId="36" fillId="5" borderId="24" xfId="0" applyFont="1" applyFill="1" applyBorder="1" applyAlignment="1">
      <alignment vertical="top" wrapText="1"/>
    </xf>
    <xf numFmtId="0" fontId="38" fillId="0" borderId="22" xfId="0" applyFont="1" applyBorder="1" applyAlignment="1">
      <alignment vertical="top"/>
    </xf>
    <xf numFmtId="0" fontId="38" fillId="0" borderId="22" xfId="0" applyFont="1" applyBorder="1" applyAlignment="1">
      <alignment horizontal="left" vertical="top" wrapText="1" readingOrder="1"/>
    </xf>
    <xf numFmtId="0" fontId="36" fillId="0" borderId="22" xfId="0" applyFont="1" applyBorder="1" applyAlignment="1">
      <alignment horizontal="left" vertical="top" wrapText="1" readingOrder="1"/>
    </xf>
    <xf numFmtId="0" fontId="36" fillId="0" borderId="13" xfId="0" applyFont="1" applyBorder="1" applyAlignment="1">
      <alignment vertical="top" readingOrder="1"/>
    </xf>
    <xf numFmtId="0" fontId="36" fillId="0" borderId="6" xfId="0" applyFont="1" applyBorder="1" applyAlignment="1">
      <alignment vertical="top" wrapText="1" readingOrder="1"/>
    </xf>
    <xf numFmtId="0" fontId="36" fillId="0" borderId="0" xfId="0" applyFont="1" applyAlignment="1">
      <alignment vertical="top" readingOrder="1"/>
    </xf>
    <xf numFmtId="0" fontId="38" fillId="0" borderId="10" xfId="0" applyFont="1" applyBorder="1" applyAlignment="1">
      <alignment horizontal="center" vertical="top" readingOrder="1"/>
    </xf>
    <xf numFmtId="0" fontId="38" fillId="18" borderId="24" xfId="0" applyFont="1" applyFill="1" applyBorder="1" applyAlignment="1">
      <alignment vertical="top" wrapText="1" readingOrder="1"/>
    </xf>
    <xf numFmtId="0" fontId="36" fillId="18" borderId="5" xfId="0" applyFont="1" applyFill="1" applyBorder="1" applyAlignment="1">
      <alignment vertical="top" readingOrder="1"/>
    </xf>
    <xf numFmtId="0" fontId="36" fillId="0" borderId="25" xfId="0" applyFont="1" applyBorder="1" applyAlignment="1">
      <alignment vertical="top" readingOrder="1"/>
    </xf>
    <xf numFmtId="0" fontId="38" fillId="0" borderId="7" xfId="0" applyFont="1" applyBorder="1" applyAlignment="1">
      <alignment horizontal="center" vertical="top" readingOrder="1"/>
    </xf>
    <xf numFmtId="0" fontId="36" fillId="0" borderId="25" xfId="0" applyFont="1" applyBorder="1" applyAlignment="1">
      <alignment vertical="top" wrapText="1" readingOrder="1"/>
    </xf>
    <xf numFmtId="0" fontId="36" fillId="0" borderId="7" xfId="0" applyFont="1" applyBorder="1" applyAlignment="1">
      <alignment vertical="top" wrapText="1" readingOrder="1"/>
    </xf>
    <xf numFmtId="0" fontId="38" fillId="18" borderId="7" xfId="0" applyFont="1" applyFill="1" applyBorder="1" applyAlignment="1">
      <alignment horizontal="center" vertical="top" readingOrder="1"/>
    </xf>
    <xf numFmtId="0" fontId="38" fillId="18" borderId="8" xfId="0" applyFont="1" applyFill="1" applyBorder="1" applyAlignment="1">
      <alignment horizontal="center" vertical="top" readingOrder="1"/>
    </xf>
    <xf numFmtId="0" fontId="38" fillId="0" borderId="9" xfId="0" applyFont="1" applyBorder="1" applyAlignment="1">
      <alignment horizontal="center" vertical="top" readingOrder="1"/>
    </xf>
    <xf numFmtId="0" fontId="36" fillId="18" borderId="25" xfId="0" applyFont="1" applyFill="1" applyBorder="1" applyAlignment="1">
      <alignment vertical="top" readingOrder="1"/>
    </xf>
    <xf numFmtId="0" fontId="38" fillId="0" borderId="9" xfId="0" applyFont="1" applyBorder="1" applyAlignment="1">
      <alignment vertical="top" readingOrder="1"/>
    </xf>
    <xf numFmtId="0" fontId="38" fillId="0" borderId="10" xfId="0" applyFont="1" applyBorder="1" applyAlignment="1">
      <alignment vertical="top" readingOrder="1"/>
    </xf>
    <xf numFmtId="0" fontId="38" fillId="18" borderId="25" xfId="0" applyFont="1" applyFill="1" applyBorder="1" applyAlignment="1">
      <alignment vertical="top" wrapText="1" readingOrder="1"/>
    </xf>
    <xf numFmtId="0" fontId="36" fillId="18" borderId="0" xfId="0" applyFont="1" applyFill="1" applyAlignment="1">
      <alignment horizontal="center" vertical="top" wrapText="1" readingOrder="1"/>
    </xf>
    <xf numFmtId="0" fontId="36" fillId="0" borderId="0" xfId="0" applyFont="1" applyAlignment="1">
      <alignment horizontal="center" vertical="top" wrapText="1" readingOrder="1"/>
    </xf>
    <xf numFmtId="0" fontId="36" fillId="0" borderId="13" xfId="0" applyFont="1" applyBorder="1" applyAlignment="1">
      <alignment horizontal="center" vertical="top" wrapText="1" readingOrder="1"/>
    </xf>
    <xf numFmtId="0" fontId="47" fillId="7" borderId="8" xfId="0" applyFont="1" applyFill="1" applyBorder="1" applyAlignment="1">
      <alignment vertical="top" readingOrder="1"/>
    </xf>
    <xf numFmtId="0" fontId="48" fillId="7" borderId="24" xfId="0" applyFont="1" applyFill="1" applyBorder="1" applyAlignment="1">
      <alignment readingOrder="1"/>
    </xf>
    <xf numFmtId="0" fontId="36" fillId="0" borderId="6" xfId="0" applyFont="1" applyBorder="1" applyAlignment="1">
      <alignment vertical="top" readingOrder="1"/>
    </xf>
    <xf numFmtId="0" fontId="38" fillId="18" borderId="25" xfId="0" applyFont="1" applyFill="1" applyBorder="1" applyAlignment="1">
      <alignment horizontal="left" vertical="top" wrapText="1" readingOrder="1"/>
    </xf>
    <xf numFmtId="0" fontId="38" fillId="0" borderId="24" xfId="0" quotePrefix="1" applyFont="1" applyBorder="1" applyAlignment="1">
      <alignment vertical="top" wrapText="1" readingOrder="1"/>
    </xf>
    <xf numFmtId="0" fontId="39" fillId="0" borderId="7" xfId="0" applyFont="1" applyBorder="1"/>
    <xf numFmtId="0" fontId="39" fillId="0" borderId="6" xfId="0" applyFont="1" applyBorder="1"/>
    <xf numFmtId="0" fontId="42" fillId="0" borderId="5" xfId="0" applyFont="1" applyBorder="1" applyAlignment="1">
      <alignment vertical="center" wrapText="1"/>
    </xf>
    <xf numFmtId="0" fontId="38" fillId="14" borderId="22" xfId="0" applyFont="1" applyFill="1" applyBorder="1" applyAlignment="1">
      <alignment vertical="top" wrapText="1"/>
    </xf>
    <xf numFmtId="0" fontId="38" fillId="0" borderId="12" xfId="0" quotePrefix="1" applyFont="1" applyBorder="1" applyAlignment="1">
      <alignment vertical="top" wrapText="1"/>
    </xf>
    <xf numFmtId="1" fontId="38" fillId="16" borderId="8" xfId="0" applyNumberFormat="1" applyFont="1" applyFill="1" applyBorder="1" applyAlignment="1">
      <alignment horizontal="center" vertical="top"/>
    </xf>
    <xf numFmtId="0" fontId="38" fillId="16" borderId="12" xfId="0" applyFont="1" applyFill="1" applyBorder="1" applyAlignment="1">
      <alignment vertical="top" wrapText="1"/>
    </xf>
    <xf numFmtId="0" fontId="36" fillId="16" borderId="5" xfId="0" applyFont="1" applyFill="1" applyBorder="1" applyAlignment="1">
      <alignment vertical="top" wrapText="1"/>
    </xf>
    <xf numFmtId="0" fontId="38" fillId="0" borderId="9" xfId="0" applyFont="1" applyBorder="1" applyAlignment="1">
      <alignment vertical="top"/>
    </xf>
    <xf numFmtId="0" fontId="38" fillId="0" borderId="5" xfId="0" quotePrefix="1" applyFont="1" applyBorder="1" applyAlignment="1">
      <alignment vertical="top" wrapText="1"/>
    </xf>
    <xf numFmtId="0" fontId="38" fillId="0" borderId="24" xfId="0" quotePrefix="1" applyFont="1" applyBorder="1" applyAlignment="1">
      <alignment vertical="top" wrapText="1"/>
    </xf>
    <xf numFmtId="0" fontId="36" fillId="12" borderId="9" xfId="0" applyFont="1" applyFill="1" applyBorder="1" applyAlignment="1">
      <alignment horizontal="center" vertical="center" wrapText="1"/>
    </xf>
    <xf numFmtId="0" fontId="38" fillId="16" borderId="24" xfId="0" applyFont="1" applyFill="1" applyBorder="1" applyAlignment="1">
      <alignment vertical="top" wrapText="1"/>
    </xf>
    <xf numFmtId="0" fontId="36" fillId="12" borderId="24" xfId="0" applyFont="1" applyFill="1" applyBorder="1" applyAlignment="1">
      <alignment vertical="top"/>
    </xf>
    <xf numFmtId="0" fontId="38" fillId="0" borderId="0" xfId="0" applyFont="1" applyAlignment="1">
      <alignment vertical="top" wrapText="1"/>
    </xf>
    <xf numFmtId="0" fontId="38" fillId="16" borderId="12" xfId="0" applyFont="1" applyFill="1" applyBorder="1" applyAlignment="1">
      <alignment horizontal="left" vertical="top" wrapText="1"/>
    </xf>
    <xf numFmtId="0" fontId="38" fillId="0" borderId="12" xfId="0" applyFont="1" applyBorder="1" applyAlignment="1">
      <alignment horizontal="left" vertical="top" wrapText="1"/>
    </xf>
    <xf numFmtId="0" fontId="38" fillId="0" borderId="14" xfId="0" applyFont="1" applyBorder="1" applyAlignment="1">
      <alignment vertical="top"/>
    </xf>
    <xf numFmtId="0" fontId="38" fillId="0" borderId="0" xfId="0" applyFont="1" applyAlignment="1">
      <alignment vertical="top"/>
    </xf>
    <xf numFmtId="0" fontId="38" fillId="0" borderId="10" xfId="0" applyFont="1" applyBorder="1" applyAlignment="1">
      <alignment vertical="top"/>
    </xf>
    <xf numFmtId="0" fontId="38" fillId="0" borderId="0" xfId="0" quotePrefix="1" applyFont="1" applyAlignment="1">
      <alignment vertical="top" wrapText="1"/>
    </xf>
    <xf numFmtId="0" fontId="36" fillId="12" borderId="8" xfId="0" applyFont="1" applyFill="1" applyBorder="1" applyAlignment="1">
      <alignment vertical="top"/>
    </xf>
    <xf numFmtId="0" fontId="38" fillId="14" borderId="9" xfId="0" applyFont="1" applyFill="1" applyBorder="1" applyAlignment="1">
      <alignment vertical="top"/>
    </xf>
    <xf numFmtId="0" fontId="38" fillId="12" borderId="5" xfId="0" quotePrefix="1" applyFont="1" applyFill="1" applyBorder="1" applyAlignment="1">
      <alignment vertical="top" wrapText="1"/>
    </xf>
    <xf numFmtId="0" fontId="38" fillId="14" borderId="7" xfId="0" applyFont="1" applyFill="1" applyBorder="1" applyAlignment="1">
      <alignment vertical="top" wrapText="1"/>
    </xf>
    <xf numFmtId="0" fontId="38" fillId="0" borderId="6" xfId="0" quotePrefix="1" applyFont="1" applyBorder="1" applyAlignment="1">
      <alignment vertical="top" wrapText="1"/>
    </xf>
    <xf numFmtId="0" fontId="38" fillId="16" borderId="25" xfId="0" applyFont="1" applyFill="1" applyBorder="1" applyAlignment="1">
      <alignment vertical="top" wrapText="1"/>
    </xf>
    <xf numFmtId="1" fontId="38" fillId="15" borderId="8" xfId="0" applyNumberFormat="1" applyFont="1" applyFill="1" applyBorder="1" applyAlignment="1">
      <alignment horizontal="center" vertical="top"/>
    </xf>
    <xf numFmtId="0" fontId="38" fillId="16" borderId="22" xfId="0" applyFont="1" applyFill="1" applyBorder="1" applyAlignment="1">
      <alignment vertical="top" wrapText="1"/>
    </xf>
    <xf numFmtId="0" fontId="36" fillId="15" borderId="5" xfId="0" applyFont="1" applyFill="1" applyBorder="1" applyAlignment="1">
      <alignment vertical="top"/>
    </xf>
    <xf numFmtId="0" fontId="36" fillId="16" borderId="3" xfId="0" applyFont="1" applyFill="1" applyBorder="1" applyAlignment="1">
      <alignment horizontal="center" vertical="top" wrapText="1"/>
    </xf>
    <xf numFmtId="0" fontId="36" fillId="15" borderId="5" xfId="0" applyFont="1" applyFill="1" applyBorder="1" applyAlignment="1">
      <alignment vertical="top" wrapText="1"/>
    </xf>
    <xf numFmtId="0" fontId="38" fillId="12" borderId="6" xfId="0" applyFont="1" applyFill="1" applyBorder="1" applyAlignment="1">
      <alignment vertical="top"/>
    </xf>
    <xf numFmtId="0" fontId="38" fillId="12" borderId="5" xfId="0" applyFont="1" applyFill="1" applyBorder="1" applyAlignment="1">
      <alignment vertical="top"/>
    </xf>
    <xf numFmtId="0" fontId="38" fillId="16" borderId="7" xfId="0" applyFont="1" applyFill="1" applyBorder="1" applyAlignment="1">
      <alignment vertical="top" wrapText="1"/>
    </xf>
    <xf numFmtId="0" fontId="38" fillId="0" borderId="23" xfId="0" applyFont="1" applyBorder="1" applyAlignment="1">
      <alignment vertical="top"/>
    </xf>
    <xf numFmtId="1" fontId="38" fillId="16" borderId="9" xfId="0" applyNumberFormat="1" applyFont="1" applyFill="1" applyBorder="1" applyAlignment="1">
      <alignment horizontal="center" vertical="top"/>
    </xf>
    <xf numFmtId="0" fontId="36" fillId="16" borderId="9" xfId="0" applyFont="1" applyFill="1" applyBorder="1" applyAlignment="1">
      <alignment vertical="top" wrapText="1"/>
    </xf>
    <xf numFmtId="0" fontId="36" fillId="16" borderId="5" xfId="0" applyFont="1" applyFill="1" applyBorder="1" applyAlignment="1">
      <alignment vertical="top"/>
    </xf>
    <xf numFmtId="0" fontId="38" fillId="16" borderId="12" xfId="0" applyFont="1" applyFill="1" applyBorder="1"/>
    <xf numFmtId="0" fontId="36" fillId="16" borderId="3" xfId="0" applyFont="1" applyFill="1" applyBorder="1" applyAlignment="1">
      <alignment horizontal="center" vertical="center" wrapText="1"/>
    </xf>
    <xf numFmtId="0" fontId="36" fillId="16" borderId="5" xfId="0" applyFont="1" applyFill="1" applyBorder="1" applyAlignment="1">
      <alignment horizontal="center" vertical="center" wrapText="1"/>
    </xf>
    <xf numFmtId="1" fontId="38" fillId="12" borderId="9" xfId="0" applyNumberFormat="1" applyFont="1" applyFill="1" applyBorder="1" applyAlignment="1">
      <alignment horizontal="center" vertical="top"/>
    </xf>
    <xf numFmtId="0" fontId="36" fillId="0" borderId="7" xfId="0" applyFont="1" applyBorder="1" applyAlignment="1">
      <alignment vertical="top"/>
    </xf>
    <xf numFmtId="0" fontId="36" fillId="12" borderId="7" xfId="0" applyFont="1" applyFill="1" applyBorder="1" applyAlignment="1">
      <alignment vertical="top" wrapText="1"/>
    </xf>
    <xf numFmtId="0" fontId="36" fillId="12" borderId="9" xfId="0" applyFont="1" applyFill="1" applyBorder="1" applyAlignment="1">
      <alignment vertical="top"/>
    </xf>
    <xf numFmtId="0" fontId="36" fillId="0" borderId="9" xfId="0" applyFont="1" applyBorder="1" applyAlignment="1">
      <alignment vertical="top"/>
    </xf>
    <xf numFmtId="0" fontId="36" fillId="0" borderId="10" xfId="0" applyFont="1" applyBorder="1" applyAlignment="1">
      <alignment vertical="top"/>
    </xf>
    <xf numFmtId="0" fontId="38" fillId="12" borderId="7" xfId="0" quotePrefix="1" applyFont="1" applyFill="1" applyBorder="1" applyAlignment="1">
      <alignment vertical="top" wrapText="1"/>
    </xf>
    <xf numFmtId="0" fontId="36" fillId="0" borderId="6" xfId="0" applyFont="1" applyBorder="1" applyAlignment="1">
      <alignment vertical="top" wrapText="1"/>
    </xf>
    <xf numFmtId="0" fontId="36" fillId="0" borderId="7" xfId="0" applyFont="1" applyBorder="1" applyAlignment="1">
      <alignment vertical="top" wrapText="1"/>
    </xf>
    <xf numFmtId="1" fontId="38" fillId="14" borderId="6" xfId="0" applyNumberFormat="1" applyFont="1" applyFill="1" applyBorder="1" applyAlignment="1">
      <alignment horizontal="center" vertical="top"/>
    </xf>
    <xf numFmtId="1" fontId="38" fillId="14" borderId="10" xfId="0" applyNumberFormat="1" applyFont="1" applyFill="1" applyBorder="1" applyAlignment="1">
      <alignment horizontal="center" vertical="top"/>
    </xf>
    <xf numFmtId="0" fontId="36" fillId="0" borderId="7" xfId="0" applyFont="1" applyBorder="1" applyAlignment="1">
      <alignment vertical="top" readingOrder="1"/>
    </xf>
    <xf numFmtId="0" fontId="38" fillId="14" borderId="6" xfId="0" applyFont="1" applyFill="1" applyBorder="1" applyAlignment="1">
      <alignment vertical="top"/>
    </xf>
    <xf numFmtId="0" fontId="38" fillId="14" borderId="9" xfId="0" applyFont="1" applyFill="1" applyBorder="1" applyAlignment="1">
      <alignment vertical="top" wrapText="1"/>
    </xf>
    <xf numFmtId="0" fontId="38" fillId="0" borderId="23" xfId="0" quotePrefix="1" applyFont="1" applyBorder="1" applyAlignment="1">
      <alignment vertical="top" wrapText="1" readingOrder="1"/>
    </xf>
    <xf numFmtId="164" fontId="38" fillId="0" borderId="12" xfId="0" applyNumberFormat="1" applyFont="1" applyBorder="1" applyAlignment="1">
      <alignment horizontal="center" vertical="center" wrapText="1"/>
    </xf>
    <xf numFmtId="0" fontId="38" fillId="14" borderId="12" xfId="0" applyFont="1" applyFill="1" applyBorder="1" applyAlignment="1">
      <alignment horizontal="center" vertical="center" wrapText="1"/>
    </xf>
    <xf numFmtId="0" fontId="38" fillId="12" borderId="6" xfId="0" applyFont="1" applyFill="1" applyBorder="1" applyAlignment="1">
      <alignment wrapText="1"/>
    </xf>
    <xf numFmtId="0" fontId="15" fillId="0" borderId="3" xfId="0" applyFont="1" applyBorder="1" applyAlignment="1">
      <alignment vertical="center" wrapText="1"/>
    </xf>
    <xf numFmtId="0" fontId="38" fillId="14" borderId="13" xfId="0" applyFont="1" applyFill="1" applyBorder="1" applyAlignment="1">
      <alignment vertical="top" wrapText="1"/>
    </xf>
    <xf numFmtId="1" fontId="38" fillId="15" borderId="9" xfId="0" applyNumberFormat="1" applyFont="1" applyFill="1" applyBorder="1" applyAlignment="1">
      <alignment horizontal="center" vertical="top"/>
    </xf>
    <xf numFmtId="0" fontId="36" fillId="15" borderId="9" xfId="0" applyFont="1" applyFill="1" applyBorder="1" applyAlignment="1">
      <alignment vertical="top" wrapText="1"/>
    </xf>
    <xf numFmtId="0" fontId="38" fillId="15" borderId="7" xfId="0" quotePrefix="1" applyFont="1" applyFill="1" applyBorder="1" applyAlignment="1">
      <alignment vertical="top" wrapText="1"/>
    </xf>
    <xf numFmtId="0" fontId="38" fillId="14" borderId="5" xfId="0" applyFont="1" applyFill="1" applyBorder="1" applyAlignment="1">
      <alignment vertical="top" wrapText="1"/>
    </xf>
    <xf numFmtId="0" fontId="36" fillId="12" borderId="0" xfId="0" applyFont="1" applyFill="1" applyAlignment="1">
      <alignment horizontal="center" vertical="top" wrapText="1"/>
    </xf>
    <xf numFmtId="0" fontId="36" fillId="14" borderId="7" xfId="0" applyFont="1" applyFill="1" applyBorder="1" applyAlignment="1">
      <alignment horizontal="center" vertical="top" wrapText="1"/>
    </xf>
    <xf numFmtId="1" fontId="36" fillId="12" borderId="5" xfId="0" applyNumberFormat="1" applyFont="1" applyFill="1" applyBorder="1" applyAlignment="1">
      <alignment horizontal="left" vertical="top"/>
    </xf>
    <xf numFmtId="1" fontId="36" fillId="12" borderId="8" xfId="0" applyNumberFormat="1" applyFont="1" applyFill="1" applyBorder="1" applyAlignment="1">
      <alignment horizontal="left" vertical="top"/>
    </xf>
    <xf numFmtId="1" fontId="38" fillId="12" borderId="7" xfId="0" applyNumberFormat="1" applyFont="1" applyFill="1" applyBorder="1" applyAlignment="1">
      <alignment horizontal="center" vertical="top"/>
    </xf>
    <xf numFmtId="1" fontId="36" fillId="19" borderId="5" xfId="0" applyNumberFormat="1" applyFont="1" applyFill="1" applyBorder="1" applyAlignment="1">
      <alignment horizontal="left" vertical="top"/>
    </xf>
    <xf numFmtId="0" fontId="38" fillId="17" borderId="22" xfId="0" applyFont="1" applyFill="1" applyBorder="1" applyAlignment="1">
      <alignment vertical="top" wrapText="1"/>
    </xf>
    <xf numFmtId="1" fontId="36" fillId="17" borderId="5" xfId="0" applyNumberFormat="1" applyFont="1" applyFill="1" applyBorder="1" applyAlignment="1">
      <alignment horizontal="left" vertical="top" wrapText="1"/>
    </xf>
    <xf numFmtId="1" fontId="38" fillId="17" borderId="7" xfId="0" applyNumberFormat="1" applyFont="1" applyFill="1" applyBorder="1" applyAlignment="1">
      <alignment horizontal="center" vertical="top"/>
    </xf>
    <xf numFmtId="1" fontId="36" fillId="12" borderId="5" xfId="0" applyNumberFormat="1" applyFont="1" applyFill="1" applyBorder="1" applyAlignment="1">
      <alignment horizontal="left" vertical="top" wrapText="1"/>
    </xf>
    <xf numFmtId="1" fontId="36" fillId="12" borderId="9" xfId="0" applyNumberFormat="1" applyFont="1" applyFill="1" applyBorder="1" applyAlignment="1">
      <alignment horizontal="left" vertical="top"/>
    </xf>
    <xf numFmtId="0" fontId="38" fillId="12" borderId="24" xfId="0" applyFont="1" applyFill="1" applyBorder="1" applyAlignment="1">
      <alignment vertical="top" wrapText="1"/>
    </xf>
    <xf numFmtId="0" fontId="38" fillId="0" borderId="24" xfId="0" applyFont="1" applyBorder="1" applyAlignment="1">
      <alignment wrapText="1"/>
    </xf>
    <xf numFmtId="0" fontId="38" fillId="12" borderId="25" xfId="0" quotePrefix="1" applyFont="1" applyFill="1" applyBorder="1" applyAlignment="1">
      <alignment vertical="top" wrapText="1"/>
    </xf>
    <xf numFmtId="1" fontId="36" fillId="19" borderId="8" xfId="0" applyNumberFormat="1" applyFont="1" applyFill="1" applyBorder="1" applyAlignment="1">
      <alignment horizontal="left" vertical="top"/>
    </xf>
    <xf numFmtId="0" fontId="38" fillId="19" borderId="12" xfId="0" applyFont="1" applyFill="1" applyBorder="1" applyAlignment="1">
      <alignment vertical="top" wrapText="1"/>
    </xf>
    <xf numFmtId="1" fontId="38" fillId="19" borderId="7" xfId="0" applyNumberFormat="1" applyFont="1" applyFill="1" applyBorder="1" applyAlignment="1">
      <alignment horizontal="center" vertical="top"/>
    </xf>
    <xf numFmtId="1" fontId="36" fillId="12" borderId="8" xfId="0" applyNumberFormat="1" applyFont="1" applyFill="1" applyBorder="1" applyAlignment="1">
      <alignment horizontal="left" vertical="top" wrapText="1"/>
    </xf>
    <xf numFmtId="0" fontId="36" fillId="19" borderId="7" xfId="0" applyFont="1" applyFill="1" applyBorder="1" applyAlignment="1">
      <alignment horizontal="center" vertical="top" wrapText="1"/>
    </xf>
    <xf numFmtId="1" fontId="36" fillId="12" borderId="9" xfId="0" applyNumberFormat="1" applyFont="1" applyFill="1" applyBorder="1" applyAlignment="1">
      <alignment horizontal="left" vertical="top" wrapText="1"/>
    </xf>
    <xf numFmtId="0" fontId="36" fillId="12" borderId="7" xfId="0" applyFont="1" applyFill="1" applyBorder="1" applyAlignment="1">
      <alignment horizontal="center" vertical="center" wrapText="1"/>
    </xf>
    <xf numFmtId="0" fontId="36" fillId="12" borderId="23" xfId="0" applyFont="1" applyFill="1" applyBorder="1" applyAlignment="1">
      <alignment vertical="top" wrapText="1"/>
    </xf>
    <xf numFmtId="0" fontId="38" fillId="0" borderId="13" xfId="0" applyFont="1" applyBorder="1" applyAlignment="1">
      <alignment vertical="top"/>
    </xf>
    <xf numFmtId="0" fontId="38" fillId="12" borderId="12" xfId="0" applyFont="1" applyFill="1" applyBorder="1" applyAlignment="1">
      <alignment wrapText="1"/>
    </xf>
    <xf numFmtId="0" fontId="38" fillId="12" borderId="7" xfId="0" applyFont="1" applyFill="1" applyBorder="1" applyAlignment="1">
      <alignment horizontal="left" vertical="top" wrapText="1"/>
    </xf>
    <xf numFmtId="0" fontId="38" fillId="14" borderId="6" xfId="0" applyFont="1" applyFill="1" applyBorder="1" applyAlignment="1">
      <alignment horizontal="left" vertical="top" wrapText="1"/>
    </xf>
    <xf numFmtId="1" fontId="38" fillId="5" borderId="7" xfId="0" applyNumberFormat="1" applyFont="1" applyFill="1" applyBorder="1" applyAlignment="1">
      <alignment horizontal="center" vertical="top"/>
    </xf>
    <xf numFmtId="0" fontId="15" fillId="0" borderId="12" xfId="0" applyFont="1" applyBorder="1" applyAlignment="1">
      <alignment horizontal="left" vertical="top" wrapText="1"/>
    </xf>
    <xf numFmtId="0" fontId="38" fillId="5" borderId="25" xfId="0" quotePrefix="1" applyFont="1" applyFill="1" applyBorder="1" applyAlignment="1">
      <alignment vertical="top" wrapText="1"/>
    </xf>
    <xf numFmtId="0" fontId="36" fillId="12" borderId="5" xfId="0" quotePrefix="1" applyFont="1" applyFill="1" applyBorder="1" applyAlignment="1">
      <alignment vertical="top" wrapText="1"/>
    </xf>
    <xf numFmtId="0" fontId="36" fillId="17" borderId="11" xfId="0" applyFont="1" applyFill="1" applyBorder="1" applyAlignment="1">
      <alignment horizontal="center" vertical="top" wrapText="1"/>
    </xf>
    <xf numFmtId="0" fontId="36" fillId="17" borderId="8" xfId="0" applyFont="1" applyFill="1" applyBorder="1" applyAlignment="1">
      <alignment horizontal="center" vertical="top" wrapText="1"/>
    </xf>
    <xf numFmtId="0" fontId="36" fillId="12" borderId="7" xfId="0" quotePrefix="1" applyFont="1" applyFill="1" applyBorder="1" applyAlignment="1">
      <alignment vertical="top" wrapText="1"/>
    </xf>
    <xf numFmtId="15" fontId="38" fillId="0" borderId="3" xfId="0" quotePrefix="1" applyNumberFormat="1" applyFont="1" applyBorder="1" applyAlignment="1">
      <alignment horizontal="center" vertical="center" wrapText="1"/>
    </xf>
    <xf numFmtId="0" fontId="42" fillId="0" borderId="12" xfId="0" applyFont="1" applyBorder="1" applyAlignment="1">
      <alignment vertical="center" wrapText="1"/>
    </xf>
    <xf numFmtId="0" fontId="38" fillId="12" borderId="5" xfId="0" applyFont="1" applyFill="1" applyBorder="1" applyAlignment="1">
      <alignment vertical="top" wrapText="1"/>
    </xf>
    <xf numFmtId="1" fontId="38" fillId="13" borderId="9" xfId="0" applyNumberFormat="1" applyFont="1" applyFill="1" applyBorder="1" applyAlignment="1">
      <alignment horizontal="center" vertical="top"/>
    </xf>
    <xf numFmtId="1" fontId="36" fillId="17" borderId="7" xfId="0" applyNumberFormat="1" applyFont="1" applyFill="1" applyBorder="1" applyAlignment="1">
      <alignment horizontal="left" vertical="top" wrapText="1"/>
    </xf>
    <xf numFmtId="1" fontId="38" fillId="0" borderId="22" xfId="0" applyNumberFormat="1" applyFont="1" applyBorder="1" applyAlignment="1">
      <alignment horizontal="center" vertical="top"/>
    </xf>
    <xf numFmtId="15" fontId="38" fillId="0" borderId="3" xfId="0" quotePrefix="1" applyNumberFormat="1" applyFont="1" applyBorder="1" applyAlignment="1">
      <alignment horizontal="center" vertical="top" wrapText="1"/>
    </xf>
    <xf numFmtId="0" fontId="36" fillId="0" borderId="6" xfId="0" applyFont="1" applyBorder="1" applyAlignment="1">
      <alignment horizontal="center" vertical="top" wrapText="1"/>
    </xf>
    <xf numFmtId="0" fontId="36" fillId="0" borderId="0" xfId="0" applyFont="1"/>
    <xf numFmtId="0" fontId="0" fillId="0" borderId="0" xfId="0" applyAlignment="1">
      <alignment wrapText="1"/>
    </xf>
    <xf numFmtId="0" fontId="0" fillId="0" borderId="0" xfId="0" applyAlignment="1">
      <alignment horizontal="center"/>
    </xf>
    <xf numFmtId="0" fontId="41" fillId="3" borderId="3" xfId="0" applyFont="1" applyFill="1" applyBorder="1" applyAlignment="1">
      <alignment horizontal="left" vertical="center" wrapText="1" readingOrder="1"/>
    </xf>
    <xf numFmtId="0" fontId="41" fillId="3" borderId="4" xfId="0" quotePrefix="1" applyFont="1" applyFill="1" applyBorder="1" applyAlignment="1">
      <alignment horizontal="left" vertical="center" readingOrder="1"/>
    </xf>
    <xf numFmtId="0" fontId="41" fillId="3" borderId="2" xfId="0" applyFont="1" applyFill="1" applyBorder="1" applyAlignment="1">
      <alignment horizontal="left" vertical="center" wrapText="1" readingOrder="1"/>
    </xf>
    <xf numFmtId="0" fontId="41" fillId="3" borderId="1" xfId="0" quotePrefix="1" applyFont="1" applyFill="1" applyBorder="1" applyAlignment="1">
      <alignment horizontal="left" vertical="center" readingOrder="1"/>
    </xf>
    <xf numFmtId="0" fontId="49" fillId="7" borderId="0" xfId="0" applyFont="1" applyFill="1" applyAlignment="1">
      <alignment horizontal="center" vertical="center" wrapText="1"/>
    </xf>
    <xf numFmtId="0" fontId="41" fillId="0" borderId="0" xfId="0" applyFont="1" applyAlignment="1">
      <alignment horizontal="center" vertical="center"/>
    </xf>
    <xf numFmtId="0" fontId="41" fillId="0" borderId="0" xfId="0" applyFont="1" applyAlignment="1">
      <alignment horizontal="left" vertical="center" wrapText="1"/>
    </xf>
    <xf numFmtId="0" fontId="0" fillId="0" borderId="0" xfId="0" applyAlignment="1">
      <alignment horizontal="left" wrapText="1"/>
    </xf>
    <xf numFmtId="0" fontId="38" fillId="0" borderId="0" xfId="0" applyFont="1" applyAlignment="1">
      <alignment horizontal="center" vertical="top"/>
    </xf>
    <xf numFmtId="0" fontId="51" fillId="7" borderId="3" xfId="0" applyFont="1" applyFill="1" applyBorder="1" applyAlignment="1">
      <alignment horizontal="center" vertical="center" wrapText="1" readingOrder="1"/>
    </xf>
    <xf numFmtId="0" fontId="53" fillId="7" borderId="3" xfId="0" applyFont="1" applyFill="1" applyBorder="1" applyAlignment="1">
      <alignment horizontal="center" vertical="center"/>
    </xf>
    <xf numFmtId="0" fontId="2" fillId="3" borderId="3" xfId="0" applyFont="1" applyFill="1" applyBorder="1" applyAlignment="1">
      <alignment horizontal="center" vertical="center" wrapText="1" readingOrder="1"/>
    </xf>
    <xf numFmtId="0" fontId="52" fillId="3" borderId="3" xfId="0" applyFont="1" applyFill="1" applyBorder="1" applyAlignment="1">
      <alignment vertical="top" wrapText="1" readingOrder="1"/>
    </xf>
    <xf numFmtId="0" fontId="41" fillId="3" borderId="3" xfId="0" quotePrefix="1" applyFont="1" applyFill="1" applyBorder="1" applyAlignment="1">
      <alignment vertical="top" wrapText="1" readingOrder="1"/>
    </xf>
    <xf numFmtId="0" fontId="41" fillId="3" borderId="3" xfId="0" applyFont="1" applyFill="1" applyBorder="1" applyAlignment="1">
      <alignment vertical="top" wrapText="1" readingOrder="1"/>
    </xf>
    <xf numFmtId="0" fontId="41" fillId="0" borderId="3" xfId="0" applyFont="1" applyBorder="1" applyAlignment="1">
      <alignment vertical="top" wrapText="1"/>
    </xf>
    <xf numFmtId="0" fontId="52" fillId="3" borderId="3" xfId="0" applyFont="1" applyFill="1" applyBorder="1" applyAlignment="1">
      <alignment horizontal="left" vertical="top" wrapText="1" readingOrder="1"/>
    </xf>
    <xf numFmtId="0" fontId="41" fillId="3" borderId="3" xfId="0" quotePrefix="1" applyFont="1" applyFill="1" applyBorder="1" applyAlignment="1">
      <alignment horizontal="left" vertical="top" wrapText="1" readingOrder="1"/>
    </xf>
    <xf numFmtId="0" fontId="41" fillId="3" borderId="3" xfId="0" applyFont="1" applyFill="1" applyBorder="1" applyAlignment="1">
      <alignment horizontal="left" vertical="top" wrapText="1" readingOrder="1"/>
    </xf>
    <xf numFmtId="0" fontId="41" fillId="0" borderId="3" xfId="0" applyFont="1" applyBorder="1" applyAlignment="1">
      <alignment vertical="top"/>
    </xf>
    <xf numFmtId="0" fontId="41" fillId="0" borderId="3" xfId="0" applyFont="1" applyBorder="1" applyAlignment="1">
      <alignment horizontal="center" vertical="top"/>
    </xf>
    <xf numFmtId="0" fontId="54" fillId="0" borderId="3" xfId="0" applyFont="1" applyBorder="1" applyAlignment="1">
      <alignment horizontal="left" vertical="top" wrapText="1"/>
    </xf>
    <xf numFmtId="0" fontId="41" fillId="3" borderId="3" xfId="0" applyFont="1" applyFill="1" applyBorder="1" applyAlignment="1">
      <alignment horizontal="center" vertical="top" readingOrder="1"/>
    </xf>
    <xf numFmtId="0" fontId="51" fillId="7" borderId="3" xfId="0" applyFont="1" applyFill="1" applyBorder="1" applyAlignment="1">
      <alignment horizontal="center" vertical="top" readingOrder="1"/>
    </xf>
    <xf numFmtId="0" fontId="2" fillId="3" borderId="3" xfId="0" applyFont="1" applyFill="1" applyBorder="1" applyAlignment="1">
      <alignment horizontal="center" vertical="top" readingOrder="1"/>
    </xf>
    <xf numFmtId="0" fontId="0" fillId="0" borderId="0" xfId="0" applyAlignment="1">
      <alignment horizontal="center" vertical="top"/>
    </xf>
    <xf numFmtId="0" fontId="6" fillId="3" borderId="3" xfId="0" applyFont="1" applyFill="1" applyBorder="1" applyAlignment="1">
      <alignment horizontal="center" vertical="top" readingOrder="1"/>
    </xf>
    <xf numFmtId="0" fontId="6" fillId="3" borderId="3" xfId="0" applyFont="1" applyFill="1" applyBorder="1" applyAlignment="1">
      <alignment horizontal="center" vertical="center" wrapText="1" readingOrder="1"/>
    </xf>
    <xf numFmtId="0" fontId="55" fillId="0" borderId="3" xfId="0" applyFont="1" applyBorder="1" applyAlignment="1">
      <alignment horizontal="center" vertical="center"/>
    </xf>
    <xf numFmtId="0" fontId="51" fillId="7" borderId="3" xfId="0" applyFont="1" applyFill="1" applyBorder="1" applyAlignment="1">
      <alignment vertical="center" wrapText="1" readingOrder="1"/>
    </xf>
    <xf numFmtId="0" fontId="6" fillId="3" borderId="3" xfId="0" applyFont="1" applyFill="1" applyBorder="1" applyAlignment="1">
      <alignment vertical="center" wrapText="1" readingOrder="1"/>
    </xf>
    <xf numFmtId="0" fontId="41" fillId="3" borderId="3" xfId="0" applyFont="1" applyFill="1" applyBorder="1" applyAlignment="1">
      <alignment horizontal="center" vertical="top" wrapText="1" readingOrder="1"/>
    </xf>
    <xf numFmtId="0" fontId="41" fillId="3" borderId="3" xfId="0" quotePrefix="1" applyFont="1" applyFill="1" applyBorder="1" applyAlignment="1">
      <alignment horizontal="center" vertical="top" wrapText="1" readingOrder="1"/>
    </xf>
    <xf numFmtId="0" fontId="41" fillId="0" borderId="3" xfId="0" applyFont="1" applyBorder="1" applyAlignment="1">
      <alignment horizontal="center" vertical="center"/>
    </xf>
    <xf numFmtId="0" fontId="41" fillId="0" borderId="3" xfId="0" applyFont="1" applyBorder="1" applyAlignment="1">
      <alignment horizontal="left" vertical="center" wrapText="1"/>
    </xf>
    <xf numFmtId="0" fontId="57" fillId="0" borderId="3" xfId="0" applyFont="1" applyBorder="1" applyAlignment="1">
      <alignment horizontal="left" vertical="top" wrapText="1"/>
    </xf>
    <xf numFmtId="0" fontId="41" fillId="3" borderId="26" xfId="0" applyFont="1" applyFill="1" applyBorder="1" applyAlignment="1">
      <alignment horizontal="left" vertical="center" wrapText="1" readingOrder="1"/>
    </xf>
    <xf numFmtId="0" fontId="41" fillId="3" borderId="27" xfId="0" applyFont="1" applyFill="1" applyBorder="1" applyAlignment="1">
      <alignment horizontal="left" vertical="center" wrapText="1" readingOrder="1"/>
    </xf>
    <xf numFmtId="0" fontId="53" fillId="7" borderId="3" xfId="0" applyFont="1" applyFill="1" applyBorder="1" applyAlignment="1">
      <alignment horizontal="center" vertical="center" wrapText="1"/>
    </xf>
    <xf numFmtId="0" fontId="41" fillId="3" borderId="3" xfId="0" applyFont="1" applyFill="1" applyBorder="1" applyAlignment="1">
      <alignment vertical="center" wrapText="1" readingOrder="1"/>
    </xf>
    <xf numFmtId="0" fontId="41" fillId="0" borderId="3" xfId="0" applyFont="1" applyBorder="1" applyAlignment="1">
      <alignment horizontal="left" vertical="top" wrapText="1"/>
    </xf>
    <xf numFmtId="0" fontId="41" fillId="0" borderId="11" xfId="0" applyFont="1" applyBorder="1" applyAlignment="1">
      <alignment vertical="top" wrapText="1"/>
    </xf>
    <xf numFmtId="0" fontId="41" fillId="0" borderId="11" xfId="0" applyFont="1" applyBorder="1" applyAlignment="1">
      <alignment horizontal="center" vertical="top"/>
    </xf>
    <xf numFmtId="0" fontId="55" fillId="0" borderId="5" xfId="0" applyFont="1" applyBorder="1" applyAlignment="1">
      <alignment horizontal="center" vertical="center"/>
    </xf>
    <xf numFmtId="0" fontId="41" fillId="0" borderId="6" xfId="0" applyFont="1" applyBorder="1" applyAlignment="1">
      <alignment horizontal="left" vertical="top" wrapText="1"/>
    </xf>
    <xf numFmtId="0" fontId="41" fillId="0" borderId="5" xfId="0" applyFont="1" applyBorder="1" applyAlignment="1">
      <alignment vertical="top"/>
    </xf>
    <xf numFmtId="15" fontId="41" fillId="0" borderId="3" xfId="0" quotePrefix="1" applyNumberFormat="1" applyFont="1" applyBorder="1" applyAlignment="1">
      <alignment vertical="top" wrapText="1"/>
    </xf>
    <xf numFmtId="0" fontId="41" fillId="0" borderId="3" xfId="0" quotePrefix="1" applyFont="1" applyBorder="1" applyAlignment="1">
      <alignment vertical="top" wrapText="1"/>
    </xf>
    <xf numFmtId="0" fontId="55" fillId="0" borderId="3" xfId="0" applyFont="1" applyBorder="1" applyAlignment="1">
      <alignment horizontal="center" vertical="center" wrapText="1"/>
    </xf>
    <xf numFmtId="0" fontId="0" fillId="0" borderId="6" xfId="0" applyBorder="1" applyAlignment="1">
      <alignment horizontal="center" vertical="center"/>
    </xf>
    <xf numFmtId="0" fontId="0" fillId="0" borderId="3" xfId="0" applyBorder="1" applyAlignment="1">
      <alignment horizontal="center" vertical="center" wrapText="1"/>
    </xf>
    <xf numFmtId="0" fontId="59" fillId="0" borderId="6" xfId="0" applyFont="1" applyBorder="1" applyAlignment="1">
      <alignment horizontal="center" vertical="center"/>
    </xf>
    <xf numFmtId="0" fontId="59" fillId="0" borderId="10" xfId="0" applyFont="1" applyBorder="1" applyAlignment="1">
      <alignment horizontal="center" vertical="center"/>
    </xf>
    <xf numFmtId="0" fontId="0" fillId="0" borderId="11" xfId="0" applyBorder="1" applyAlignment="1">
      <alignment vertical="center"/>
    </xf>
    <xf numFmtId="0" fontId="50" fillId="0" borderId="0" xfId="0" applyFont="1" applyAlignment="1">
      <alignment horizontal="center" vertical="center"/>
    </xf>
    <xf numFmtId="0" fontId="0" fillId="0" borderId="16" xfId="0" applyBorder="1" applyAlignment="1">
      <alignment horizontal="center" vertical="center"/>
    </xf>
    <xf numFmtId="0" fontId="0" fillId="0" borderId="16" xfId="0" applyBorder="1" applyAlignment="1">
      <alignment horizontal="center" vertical="center" wrapText="1"/>
    </xf>
    <xf numFmtId="0" fontId="0" fillId="0" borderId="16" xfId="0" applyBorder="1" applyAlignment="1">
      <alignment horizontal="left" vertical="center" wrapText="1"/>
    </xf>
    <xf numFmtId="0" fontId="0" fillId="0" borderId="16" xfId="0" quotePrefix="1" applyBorder="1" applyAlignment="1">
      <alignment horizontal="left" vertical="center" wrapText="1"/>
    </xf>
    <xf numFmtId="0" fontId="62" fillId="0" borderId="16" xfId="0" applyFont="1" applyBorder="1" applyAlignment="1">
      <alignment horizontal="left" vertical="center" wrapText="1"/>
    </xf>
    <xf numFmtId="0" fontId="0" fillId="0" borderId="16" xfId="0" applyBorder="1" applyAlignment="1">
      <alignment horizontal="left" vertical="center"/>
    </xf>
    <xf numFmtId="0" fontId="0" fillId="0" borderId="8" xfId="0" applyBorder="1" applyAlignment="1">
      <alignment vertical="center"/>
    </xf>
    <xf numFmtId="0" fontId="0" fillId="0" borderId="11" xfId="0" applyBorder="1" applyAlignment="1">
      <alignment horizontal="center" vertical="center" wrapText="1"/>
    </xf>
    <xf numFmtId="0" fontId="50" fillId="0" borderId="3" xfId="0" applyFont="1" applyBorder="1" applyAlignment="1">
      <alignment horizontal="center" vertical="center" wrapText="1"/>
    </xf>
    <xf numFmtId="0" fontId="63" fillId="0" borderId="3" xfId="0" applyFont="1" applyBorder="1" applyAlignment="1">
      <alignment horizontal="left" vertical="center" wrapText="1"/>
    </xf>
    <xf numFmtId="0" fontId="50" fillId="21" borderId="3" xfId="0" applyFont="1" applyFill="1" applyBorder="1" applyAlignment="1">
      <alignment horizontal="center" vertical="center" wrapText="1"/>
    </xf>
    <xf numFmtId="0" fontId="65" fillId="21" borderId="3" xfId="0" quotePrefix="1" applyFont="1" applyFill="1" applyBorder="1" applyAlignment="1">
      <alignment horizontal="center" vertical="center"/>
    </xf>
    <xf numFmtId="0" fontId="50" fillId="0" borderId="0" xfId="0" applyFont="1"/>
    <xf numFmtId="0" fontId="68" fillId="21" borderId="3" xfId="0" applyFont="1" applyFill="1" applyBorder="1" applyAlignment="1">
      <alignment horizontal="center" vertical="center" wrapText="1"/>
    </xf>
    <xf numFmtId="0" fontId="64" fillId="0" borderId="3" xfId="0" applyFont="1" applyBorder="1" applyAlignment="1">
      <alignment wrapText="1"/>
    </xf>
    <xf numFmtId="0" fontId="23" fillId="0" borderId="3" xfId="0" applyFont="1" applyBorder="1" applyAlignment="1">
      <alignment wrapText="1"/>
    </xf>
    <xf numFmtId="0" fontId="60" fillId="0" borderId="6" xfId="0" applyFont="1" applyBorder="1" applyAlignment="1">
      <alignment horizontal="center" vertical="center"/>
    </xf>
    <xf numFmtId="0" fontId="60" fillId="0" borderId="10" xfId="0" applyFont="1" applyBorder="1" applyAlignment="1">
      <alignment horizontal="center" vertical="center"/>
    </xf>
    <xf numFmtId="0" fontId="63" fillId="0" borderId="0" xfId="0" applyFont="1"/>
    <xf numFmtId="0" fontId="63" fillId="20" borderId="0" xfId="0" applyFont="1" applyFill="1" applyAlignment="1">
      <alignment vertical="center"/>
    </xf>
    <xf numFmtId="0" fontId="63" fillId="0" borderId="24" xfId="0" applyFont="1" applyBorder="1"/>
    <xf numFmtId="0" fontId="63" fillId="0" borderId="25" xfId="0" applyFont="1" applyBorder="1"/>
    <xf numFmtId="0" fontId="63" fillId="0" borderId="22" xfId="0" applyFont="1" applyBorder="1"/>
    <xf numFmtId="0" fontId="63" fillId="0" borderId="0" xfId="0" applyFont="1" applyAlignment="1">
      <alignment wrapText="1"/>
    </xf>
    <xf numFmtId="0" fontId="50" fillId="0" borderId="0" xfId="0" applyFont="1" applyAlignment="1">
      <alignment wrapText="1"/>
    </xf>
    <xf numFmtId="0" fontId="0" fillId="0" borderId="3" xfId="0" applyBorder="1" applyAlignment="1">
      <alignment vertical="center"/>
    </xf>
    <xf numFmtId="0" fontId="0" fillId="0" borderId="11" xfId="0" applyBorder="1" applyAlignment="1">
      <alignment vertical="center" wrapText="1"/>
    </xf>
    <xf numFmtId="20" fontId="0" fillId="0" borderId="11" xfId="0" applyNumberFormat="1" applyBorder="1" applyAlignment="1">
      <alignment vertical="center" wrapText="1"/>
    </xf>
    <xf numFmtId="0" fontId="0" fillId="0" borderId="8" xfId="0" applyBorder="1" applyAlignment="1">
      <alignment vertical="center" wrapText="1"/>
    </xf>
    <xf numFmtId="20" fontId="0" fillId="0" borderId="3" xfId="0" applyNumberFormat="1" applyBorder="1" applyAlignment="1">
      <alignment vertical="center" wrapText="1"/>
    </xf>
    <xf numFmtId="0" fontId="61" fillId="0" borderId="3" xfId="0" applyFont="1" applyBorder="1" applyAlignment="1">
      <alignment vertical="center" wrapText="1"/>
    </xf>
    <xf numFmtId="0" fontId="59" fillId="0" borderId="22" xfId="0" applyFont="1" applyBorder="1" applyAlignment="1">
      <alignment horizontal="left" vertical="center" wrapText="1"/>
    </xf>
    <xf numFmtId="0" fontId="60" fillId="0" borderId="22" xfId="0" applyFont="1" applyBorder="1" applyAlignment="1">
      <alignment horizontal="left" vertical="center" wrapText="1"/>
    </xf>
    <xf numFmtId="0" fontId="0" fillId="0" borderId="5" xfId="0" applyBorder="1" applyAlignment="1">
      <alignment vertical="center" wrapText="1"/>
    </xf>
    <xf numFmtId="0" fontId="0" fillId="0" borderId="6" xfId="0" applyBorder="1" applyAlignment="1">
      <alignment vertical="center" wrapText="1"/>
    </xf>
    <xf numFmtId="0" fontId="0" fillId="0" borderId="12" xfId="0" applyBorder="1" applyAlignment="1">
      <alignment horizontal="center" vertical="center" wrapText="1"/>
    </xf>
    <xf numFmtId="0" fontId="0" fillId="0" borderId="6" xfId="0" applyBorder="1" applyAlignment="1">
      <alignment vertical="center"/>
    </xf>
    <xf numFmtId="0" fontId="0" fillId="0" borderId="3" xfId="0" applyBorder="1" applyAlignment="1">
      <alignment horizontal="left" vertical="top" wrapText="1"/>
    </xf>
    <xf numFmtId="0" fontId="0" fillId="0" borderId="5" xfId="0" applyBorder="1" applyAlignment="1">
      <alignment vertical="top" wrapText="1"/>
    </xf>
    <xf numFmtId="0" fontId="0" fillId="0" borderId="8" xfId="0" applyBorder="1" applyAlignment="1">
      <alignment horizontal="center" vertical="top" wrapText="1"/>
    </xf>
    <xf numFmtId="0" fontId="0" fillId="0" borderId="9" xfId="0" applyBorder="1" applyAlignment="1">
      <alignment horizontal="center" vertical="top" wrapText="1"/>
    </xf>
    <xf numFmtId="0" fontId="0" fillId="0" borderId="10" xfId="0" applyBorder="1" applyAlignment="1">
      <alignment horizontal="center" vertical="top" wrapText="1"/>
    </xf>
    <xf numFmtId="0" fontId="59" fillId="0" borderId="6" xfId="0" applyFont="1" applyBorder="1" applyAlignment="1">
      <alignment horizontal="center" vertical="top"/>
    </xf>
    <xf numFmtId="0" fontId="0" fillId="0" borderId="0" xfId="0" applyAlignment="1">
      <alignment vertical="top"/>
    </xf>
    <xf numFmtId="0" fontId="59" fillId="0" borderId="22" xfId="0" applyFont="1" applyBorder="1" applyAlignment="1">
      <alignment vertical="top" wrapText="1"/>
    </xf>
    <xf numFmtId="0" fontId="59" fillId="0" borderId="7" xfId="0" applyFont="1" applyBorder="1" applyAlignment="1">
      <alignment horizontal="center" vertical="top" wrapText="1"/>
    </xf>
    <xf numFmtId="0" fontId="59" fillId="0" borderId="6" xfId="0" applyFont="1" applyBorder="1" applyAlignment="1">
      <alignment horizontal="center" vertical="top" wrapText="1"/>
    </xf>
    <xf numFmtId="0" fontId="60" fillId="0" borderId="22" xfId="0" applyFont="1" applyBorder="1" applyAlignment="1">
      <alignment vertical="top" wrapText="1"/>
    </xf>
    <xf numFmtId="0" fontId="60" fillId="0" borderId="25" xfId="0" applyFont="1" applyBorder="1" applyAlignment="1">
      <alignment vertical="top" wrapText="1"/>
    </xf>
    <xf numFmtId="0" fontId="0" fillId="0" borderId="0" xfId="0" applyAlignment="1">
      <alignment vertical="top" wrapText="1"/>
    </xf>
    <xf numFmtId="0" fontId="0" fillId="0" borderId="11" xfId="0" applyBorder="1" applyAlignment="1">
      <alignment horizontal="center" vertical="top" wrapText="1"/>
    </xf>
    <xf numFmtId="0" fontId="60" fillId="0" borderId="6" xfId="0" applyFont="1" applyBorder="1" applyAlignment="1">
      <alignment horizontal="center" vertical="top"/>
    </xf>
    <xf numFmtId="0" fontId="61" fillId="0" borderId="11" xfId="0" applyFont="1" applyBorder="1" applyAlignment="1">
      <alignment horizontal="center" vertical="top" wrapText="1"/>
    </xf>
    <xf numFmtId="0" fontId="60" fillId="0" borderId="7" xfId="0" applyFont="1" applyBorder="1" applyAlignment="1">
      <alignment horizontal="center" vertical="top"/>
    </xf>
    <xf numFmtId="0" fontId="0" fillId="0" borderId="11" xfId="0" applyBorder="1" applyAlignment="1">
      <alignment vertical="top" wrapText="1"/>
    </xf>
    <xf numFmtId="0" fontId="0" fillId="0" borderId="8" xfId="0" applyBorder="1" applyAlignment="1">
      <alignment vertical="top" wrapText="1"/>
    </xf>
    <xf numFmtId="20" fontId="0" fillId="0" borderId="11" xfId="0" applyNumberFormat="1" applyBorder="1" applyAlignment="1">
      <alignment vertical="top" wrapText="1"/>
    </xf>
    <xf numFmtId="20" fontId="0" fillId="0" borderId="8" xfId="0" applyNumberFormat="1" applyBorder="1" applyAlignment="1">
      <alignment vertical="top" wrapText="1"/>
    </xf>
    <xf numFmtId="0" fontId="0" fillId="0" borderId="6" xfId="0" applyBorder="1" applyAlignment="1">
      <alignment horizontal="center" vertical="top"/>
    </xf>
    <xf numFmtId="0" fontId="0" fillId="0" borderId="3" xfId="0" applyBorder="1" applyAlignment="1">
      <alignment horizontal="center" vertical="top"/>
    </xf>
    <xf numFmtId="0" fontId="0" fillId="0" borderId="5" xfId="0" applyBorder="1" applyAlignment="1">
      <alignment horizontal="center" vertical="top"/>
    </xf>
    <xf numFmtId="0" fontId="0" fillId="0" borderId="11" xfId="0" applyBorder="1" applyAlignment="1">
      <alignment horizontal="left" vertical="top" wrapText="1"/>
    </xf>
    <xf numFmtId="0" fontId="0" fillId="0" borderId="8" xfId="0" applyBorder="1" applyAlignment="1">
      <alignment horizontal="left" vertical="top" wrapText="1"/>
    </xf>
    <xf numFmtId="0" fontId="0" fillId="0" borderId="10" xfId="0" applyBorder="1" applyAlignment="1">
      <alignment horizontal="left" vertical="top" wrapText="1"/>
    </xf>
    <xf numFmtId="0" fontId="61" fillId="0" borderId="11" xfId="0" applyFont="1" applyBorder="1" applyAlignment="1">
      <alignment horizontal="left" vertical="top" wrapText="1"/>
    </xf>
    <xf numFmtId="0" fontId="0" fillId="0" borderId="0" xfId="0" applyAlignment="1">
      <alignment horizontal="left" vertical="top" wrapText="1"/>
    </xf>
    <xf numFmtId="0" fontId="0" fillId="0" borderId="3" xfId="0" applyBorder="1" applyAlignment="1">
      <alignment horizontal="center" vertical="top" wrapText="1"/>
    </xf>
    <xf numFmtId="0" fontId="0" fillId="0" borderId="5" xfId="0" applyBorder="1" applyAlignment="1">
      <alignment wrapText="1"/>
    </xf>
    <xf numFmtId="0" fontId="0" fillId="0" borderId="6" xfId="0" applyBorder="1" applyAlignment="1">
      <alignment vertical="top" wrapText="1"/>
    </xf>
    <xf numFmtId="0" fontId="0" fillId="0" borderId="5" xfId="0" applyBorder="1" applyAlignment="1">
      <alignment horizontal="center" vertical="top" wrapText="1"/>
    </xf>
    <xf numFmtId="0" fontId="0" fillId="0" borderId="6" xfId="0" applyBorder="1" applyAlignment="1">
      <alignment horizontal="center" vertical="top" wrapText="1"/>
    </xf>
    <xf numFmtId="0" fontId="0" fillId="0" borderId="12" xfId="0" applyBorder="1" applyAlignment="1">
      <alignment vertical="top" wrapText="1"/>
    </xf>
    <xf numFmtId="0" fontId="59" fillId="0" borderId="10" xfId="0" applyFont="1" applyBorder="1" applyAlignment="1">
      <alignment horizontal="center" vertical="top" wrapText="1"/>
    </xf>
    <xf numFmtId="0" fontId="60" fillId="0" borderId="6" xfId="0" applyFont="1" applyBorder="1" applyAlignment="1">
      <alignment horizontal="center" vertical="top" wrapText="1"/>
    </xf>
    <xf numFmtId="0" fontId="60" fillId="0" borderId="10" xfId="0" applyFont="1" applyBorder="1" applyAlignment="1">
      <alignment horizontal="center" vertical="top" wrapText="1"/>
    </xf>
    <xf numFmtId="0" fontId="60" fillId="0" borderId="7" xfId="0" applyFont="1" applyBorder="1" applyAlignment="1">
      <alignment horizontal="center" vertical="top" wrapText="1"/>
    </xf>
    <xf numFmtId="0" fontId="61" fillId="0" borderId="9" xfId="0" applyFont="1" applyBorder="1" applyAlignment="1">
      <alignment horizontal="center" vertical="top" wrapText="1"/>
    </xf>
    <xf numFmtId="0" fontId="60" fillId="0" borderId="9" xfId="0" applyFont="1" applyBorder="1" applyAlignment="1">
      <alignment horizontal="center" vertical="top" wrapText="1"/>
    </xf>
    <xf numFmtId="20" fontId="0" fillId="0" borderId="3" xfId="0" applyNumberFormat="1" applyBorder="1" applyAlignment="1">
      <alignment vertical="top" wrapText="1"/>
    </xf>
    <xf numFmtId="0" fontId="59" fillId="0" borderId="22" xfId="0" applyFont="1" applyBorder="1" applyAlignment="1">
      <alignment horizontal="center" vertical="top" wrapText="1"/>
    </xf>
    <xf numFmtId="0" fontId="60" fillId="0" borderId="0" xfId="0" applyFont="1"/>
    <xf numFmtId="0" fontId="59" fillId="0" borderId="3" xfId="0" applyFont="1" applyBorder="1" applyAlignment="1">
      <alignment horizontal="center" vertical="top" wrapText="1"/>
    </xf>
    <xf numFmtId="0" fontId="0" fillId="0" borderId="10" xfId="0" applyBorder="1" applyAlignment="1">
      <alignment vertical="top" wrapText="1"/>
    </xf>
    <xf numFmtId="0" fontId="0" fillId="0" borderId="24" xfId="0" applyBorder="1" applyAlignment="1">
      <alignment vertical="top" wrapText="1"/>
    </xf>
    <xf numFmtId="0" fontId="0" fillId="0" borderId="5" xfId="0" applyBorder="1" applyAlignment="1">
      <alignment horizontal="center" vertical="center"/>
    </xf>
    <xf numFmtId="0" fontId="0" fillId="0" borderId="7" xfId="0" applyBorder="1" applyAlignment="1">
      <alignment horizontal="center" vertical="center"/>
    </xf>
    <xf numFmtId="0" fontId="0" fillId="0" borderId="25" xfId="0" applyBorder="1"/>
    <xf numFmtId="0" fontId="0" fillId="0" borderId="22" xfId="0" applyBorder="1"/>
    <xf numFmtId="0" fontId="0" fillId="0" borderId="10" xfId="0" applyBorder="1" applyAlignment="1">
      <alignment horizontal="center" vertical="center"/>
    </xf>
    <xf numFmtId="0" fontId="0" fillId="0" borderId="5" xfId="0" applyBorder="1"/>
    <xf numFmtId="0" fontId="0" fillId="0" borderId="5" xfId="0" applyBorder="1" applyAlignment="1">
      <alignment vertical="center"/>
    </xf>
    <xf numFmtId="0" fontId="0" fillId="0" borderId="24" xfId="0" applyBorder="1"/>
    <xf numFmtId="0" fontId="0" fillId="0" borderId="9" xfId="0" applyBorder="1" applyAlignment="1">
      <alignment horizontal="center" vertical="center"/>
    </xf>
    <xf numFmtId="0" fontId="0" fillId="0" borderId="24" xfId="0" applyBorder="1" applyAlignment="1">
      <alignment vertical="top"/>
    </xf>
    <xf numFmtId="0" fontId="0" fillId="0" borderId="23" xfId="0" applyBorder="1"/>
    <xf numFmtId="0" fontId="0" fillId="0" borderId="7" xfId="0" applyBorder="1"/>
    <xf numFmtId="0" fontId="0" fillId="0" borderId="6" xfId="0" applyBorder="1"/>
    <xf numFmtId="0" fontId="0" fillId="0" borderId="25" xfId="0" applyBorder="1" applyAlignment="1">
      <alignment horizontal="center" vertical="center"/>
    </xf>
    <xf numFmtId="0" fontId="0" fillId="0" borderId="24" xfId="0" applyBorder="1" applyAlignment="1">
      <alignment horizontal="left" vertical="top"/>
    </xf>
    <xf numFmtId="0" fontId="0" fillId="0" borderId="7" xfId="0" applyBorder="1" applyAlignment="1">
      <alignment vertical="top" wrapText="1"/>
    </xf>
    <xf numFmtId="0" fontId="0" fillId="0" borderId="5" xfId="0" applyBorder="1" applyAlignment="1">
      <alignment horizontal="left" vertical="center" wrapText="1"/>
    </xf>
    <xf numFmtId="0" fontId="0" fillId="0" borderId="8" xfId="0" applyBorder="1" applyAlignment="1">
      <alignment horizontal="center" vertical="center"/>
    </xf>
    <xf numFmtId="0" fontId="0" fillId="0" borderId="5" xfId="0" applyBorder="1" applyAlignment="1">
      <alignment horizontal="center" vertical="center" wrapText="1"/>
    </xf>
    <xf numFmtId="0" fontId="0" fillId="0" borderId="12" xfId="0" applyBorder="1" applyAlignment="1">
      <alignment horizontal="center" vertical="center"/>
    </xf>
    <xf numFmtId="0" fontId="0" fillId="0" borderId="3" xfId="0" applyBorder="1" applyAlignment="1">
      <alignment vertical="top"/>
    </xf>
    <xf numFmtId="0" fontId="63" fillId="0" borderId="25" xfId="0" applyFont="1" applyBorder="1" applyAlignment="1">
      <alignment vertical="top"/>
    </xf>
    <xf numFmtId="0" fontId="0" fillId="0" borderId="5" xfId="0" applyBorder="1" applyAlignment="1">
      <alignment horizontal="left" vertical="top"/>
    </xf>
    <xf numFmtId="0" fontId="0" fillId="0" borderId="11" xfId="0" applyBorder="1" applyAlignment="1">
      <alignment horizontal="center" vertical="center"/>
    </xf>
    <xf numFmtId="0" fontId="0" fillId="0" borderId="8" xfId="0" applyBorder="1" applyAlignment="1">
      <alignment vertical="top"/>
    </xf>
    <xf numFmtId="0" fontId="0" fillId="0" borderId="5" xfId="0" applyBorder="1" applyAlignment="1">
      <alignment vertical="top"/>
    </xf>
    <xf numFmtId="0" fontId="63" fillId="0" borderId="24" xfId="0" applyFont="1" applyBorder="1" applyAlignment="1">
      <alignment horizontal="left" vertical="top" wrapText="1"/>
    </xf>
    <xf numFmtId="0" fontId="63" fillId="0" borderId="3" xfId="0" applyFont="1" applyBorder="1" applyAlignment="1">
      <alignment vertical="top" wrapText="1"/>
    </xf>
    <xf numFmtId="0" fontId="63" fillId="0" borderId="5" xfId="0" applyFont="1" applyBorder="1" applyAlignment="1">
      <alignment vertical="top" wrapText="1"/>
    </xf>
    <xf numFmtId="0" fontId="63" fillId="20" borderId="24" xfId="0" applyFont="1" applyFill="1" applyBorder="1" applyAlignment="1">
      <alignment vertical="top"/>
    </xf>
    <xf numFmtId="0" fontId="63" fillId="20" borderId="25" xfId="0" applyFont="1" applyFill="1" applyBorder="1" applyAlignment="1">
      <alignment vertical="top"/>
    </xf>
    <xf numFmtId="0" fontId="63" fillId="0" borderId="24" xfId="0" applyFont="1" applyBorder="1" applyAlignment="1">
      <alignment vertical="top"/>
    </xf>
    <xf numFmtId="0" fontId="63" fillId="0" borderId="5" xfId="0" applyFont="1" applyBorder="1" applyAlignment="1">
      <alignment vertical="top"/>
    </xf>
    <xf numFmtId="0" fontId="63" fillId="0" borderId="7" xfId="0" applyFont="1" applyBorder="1" applyAlignment="1">
      <alignment vertical="top"/>
    </xf>
    <xf numFmtId="0" fontId="63" fillId="0" borderId="22" xfId="0" applyFont="1" applyBorder="1" applyAlignment="1">
      <alignment vertical="top"/>
    </xf>
    <xf numFmtId="0" fontId="63" fillId="13" borderId="24" xfId="0" applyFont="1" applyFill="1" applyBorder="1" applyAlignment="1">
      <alignment vertical="top"/>
    </xf>
    <xf numFmtId="0" fontId="63" fillId="13" borderId="25" xfId="0" applyFont="1" applyFill="1" applyBorder="1" applyAlignment="1">
      <alignment vertical="top"/>
    </xf>
    <xf numFmtId="0" fontId="60" fillId="0" borderId="22" xfId="0" applyFont="1" applyBorder="1" applyAlignment="1">
      <alignment vertical="top"/>
    </xf>
    <xf numFmtId="0" fontId="0" fillId="0" borderId="16" xfId="0" applyBorder="1" applyAlignment="1">
      <alignment horizontal="center"/>
    </xf>
    <xf numFmtId="0" fontId="0" fillId="0" borderId="16" xfId="0" applyBorder="1" applyAlignment="1">
      <alignment horizontal="center" wrapText="1"/>
    </xf>
    <xf numFmtId="0" fontId="0" fillId="0" borderId="21" xfId="0" applyBorder="1" applyAlignment="1">
      <alignment horizontal="center" vertical="center" wrapText="1"/>
    </xf>
    <xf numFmtId="0" fontId="0" fillId="0" borderId="16" xfId="0" applyBorder="1" applyAlignment="1">
      <alignment vertical="center" wrapText="1"/>
    </xf>
    <xf numFmtId="0" fontId="72" fillId="0" borderId="16" xfId="0" applyFont="1" applyBorder="1" applyAlignment="1">
      <alignment horizontal="left" vertical="center"/>
    </xf>
    <xf numFmtId="0" fontId="0" fillId="0" borderId="16" xfId="0" quotePrefix="1" applyBorder="1" applyAlignment="1">
      <alignment horizontal="center" vertical="center"/>
    </xf>
    <xf numFmtId="0" fontId="0" fillId="22" borderId="16" xfId="0" quotePrefix="1" applyFill="1" applyBorder="1" applyAlignment="1">
      <alignment horizontal="center" wrapText="1"/>
    </xf>
    <xf numFmtId="0" fontId="0" fillId="22" borderId="16" xfId="0" applyFill="1" applyBorder="1" applyAlignment="1">
      <alignment horizontal="center" wrapText="1"/>
    </xf>
    <xf numFmtId="0" fontId="0" fillId="22" borderId="16" xfId="0" applyFill="1" applyBorder="1"/>
    <xf numFmtId="0" fontId="0" fillId="0" borderId="16" xfId="0" quotePrefix="1" applyBorder="1" applyAlignment="1">
      <alignment horizontal="center"/>
    </xf>
    <xf numFmtId="0" fontId="73" fillId="3" borderId="16" xfId="0" applyFont="1" applyFill="1" applyBorder="1" applyAlignment="1">
      <alignment horizontal="left" vertical="center"/>
    </xf>
    <xf numFmtId="0" fontId="73" fillId="3" borderId="16" xfId="0" applyFont="1" applyFill="1" applyBorder="1" applyAlignment="1">
      <alignment horizontal="center" vertical="center"/>
    </xf>
    <xf numFmtId="0" fontId="74" fillId="22" borderId="16" xfId="0" applyFont="1" applyFill="1" applyBorder="1"/>
    <xf numFmtId="0" fontId="0" fillId="0" borderId="16" xfId="0" quotePrefix="1" applyBorder="1" applyAlignment="1">
      <alignment horizontal="center" wrapText="1"/>
    </xf>
    <xf numFmtId="0" fontId="73" fillId="3" borderId="16" xfId="0" quotePrefix="1" applyFont="1" applyFill="1" applyBorder="1" applyAlignment="1">
      <alignment horizontal="center" vertical="center"/>
    </xf>
    <xf numFmtId="0" fontId="0" fillId="0" borderId="16" xfId="0" applyBorder="1"/>
    <xf numFmtId="167" fontId="73" fillId="3" borderId="16" xfId="0" applyNumberFormat="1" applyFont="1" applyFill="1" applyBorder="1" applyAlignment="1">
      <alignment horizontal="center" vertical="center"/>
    </xf>
    <xf numFmtId="0" fontId="0" fillId="0" borderId="16" xfId="0" quotePrefix="1" applyBorder="1"/>
    <xf numFmtId="0" fontId="0" fillId="22" borderId="16" xfId="0" applyFill="1" applyBorder="1" applyAlignment="1">
      <alignment horizontal="center"/>
    </xf>
    <xf numFmtId="0" fontId="0" fillId="0" borderId="16" xfId="0" quotePrefix="1" applyBorder="1" applyAlignment="1">
      <alignment horizontal="center" vertical="center" wrapText="1"/>
    </xf>
    <xf numFmtId="0" fontId="73" fillId="3" borderId="16" xfId="0" applyFont="1" applyFill="1" applyBorder="1" applyAlignment="1">
      <alignment horizontal="center" vertical="center" wrapText="1"/>
    </xf>
    <xf numFmtId="49" fontId="0" fillId="0" borderId="0" xfId="0" applyNumberFormat="1"/>
    <xf numFmtId="0" fontId="52" fillId="23" borderId="16" xfId="0" applyFont="1" applyFill="1" applyBorder="1" applyAlignment="1">
      <alignment horizontal="center" vertical="center"/>
    </xf>
    <xf numFmtId="0" fontId="41" fillId="0" borderId="16" xfId="0" applyFont="1" applyBorder="1" applyAlignment="1">
      <alignment horizontal="center" vertical="center"/>
    </xf>
    <xf numFmtId="0" fontId="41" fillId="0" borderId="16" xfId="0" applyFont="1" applyBorder="1" applyAlignment="1">
      <alignment vertical="center"/>
    </xf>
    <xf numFmtId="49" fontId="41" fillId="0" borderId="16" xfId="0" applyNumberFormat="1" applyFont="1" applyBorder="1" applyAlignment="1">
      <alignment horizontal="center" vertical="center"/>
    </xf>
    <xf numFmtId="0" fontId="41" fillId="0" borderId="16" xfId="0" applyFont="1" applyBorder="1" applyAlignment="1">
      <alignment horizontal="left" vertical="center"/>
    </xf>
    <xf numFmtId="0" fontId="39" fillId="0" borderId="16" xfId="0" applyFont="1" applyBorder="1" applyAlignment="1">
      <alignment vertical="center"/>
    </xf>
    <xf numFmtId="0" fontId="0" fillId="0" borderId="16" xfId="0" applyBorder="1" applyAlignment="1">
      <alignment vertical="center"/>
    </xf>
    <xf numFmtId="49" fontId="0" fillId="0" borderId="0" xfId="0" applyNumberFormat="1" applyAlignment="1">
      <alignment vertical="center"/>
    </xf>
    <xf numFmtId="49" fontId="41" fillId="0" borderId="16" xfId="0" quotePrefix="1" applyNumberFormat="1" applyFont="1" applyBorder="1" applyAlignment="1">
      <alignment horizontal="center" vertical="center"/>
    </xf>
    <xf numFmtId="0" fontId="41" fillId="0" borderId="16" xfId="0" quotePrefix="1" applyFont="1" applyBorder="1" applyAlignment="1">
      <alignment horizontal="center" vertical="center"/>
    </xf>
    <xf numFmtId="49" fontId="0" fillId="0" borderId="16" xfId="0" quotePrefix="1" applyNumberFormat="1" applyBorder="1" applyAlignment="1">
      <alignment horizontal="center" vertical="center"/>
    </xf>
    <xf numFmtId="0" fontId="39" fillId="0" borderId="0" xfId="0" applyFont="1"/>
    <xf numFmtId="49" fontId="52" fillId="23" borderId="16" xfId="0" applyNumberFormat="1" applyFont="1" applyFill="1" applyBorder="1" applyAlignment="1">
      <alignment horizontal="center" vertical="center"/>
    </xf>
    <xf numFmtId="0" fontId="75" fillId="23" borderId="16" xfId="0" applyFont="1" applyFill="1" applyBorder="1" applyAlignment="1">
      <alignment horizontal="center" vertical="center"/>
    </xf>
    <xf numFmtId="0" fontId="41" fillId="24" borderId="16" xfId="0" applyFont="1" applyFill="1" applyBorder="1" applyAlignment="1">
      <alignment horizontal="center" vertical="center"/>
    </xf>
    <xf numFmtId="0" fontId="41" fillId="24" borderId="16" xfId="0" applyFont="1" applyFill="1" applyBorder="1" applyAlignment="1">
      <alignment vertical="center"/>
    </xf>
    <xf numFmtId="0" fontId="39" fillId="0" borderId="0" xfId="0" applyFont="1" applyAlignment="1">
      <alignment vertical="center"/>
    </xf>
    <xf numFmtId="49" fontId="41" fillId="24" borderId="16" xfId="0" quotePrefix="1" applyNumberFormat="1" applyFont="1" applyFill="1" applyBorder="1" applyAlignment="1">
      <alignment horizontal="center" vertical="center"/>
    </xf>
    <xf numFmtId="0" fontId="76" fillId="0" borderId="0" xfId="0" applyFont="1" applyAlignment="1">
      <alignment vertical="center" wrapText="1"/>
    </xf>
    <xf numFmtId="0" fontId="76" fillId="0" borderId="0" xfId="0" applyFont="1" applyAlignment="1">
      <alignment horizontal="center" vertical="center" wrapText="1"/>
    </xf>
    <xf numFmtId="0" fontId="76" fillId="0" borderId="0" xfId="0" applyFont="1" applyAlignment="1">
      <alignment horizontal="center" vertical="center"/>
    </xf>
    <xf numFmtId="0" fontId="0" fillId="0" borderId="0" xfId="0" applyAlignment="1">
      <alignment vertical="center" wrapText="1"/>
    </xf>
    <xf numFmtId="0" fontId="0" fillId="20" borderId="16" xfId="0" applyFill="1" applyBorder="1" applyAlignment="1">
      <alignment horizontal="center" vertical="center"/>
    </xf>
    <xf numFmtId="0" fontId="77" fillId="0" borderId="16" xfId="0" applyFont="1" applyBorder="1" applyAlignment="1">
      <alignment horizontal="center" vertical="center" wrapText="1"/>
    </xf>
    <xf numFmtId="0" fontId="77" fillId="0" borderId="16" xfId="0" applyFont="1" applyBorder="1" applyAlignment="1">
      <alignment horizontal="center" vertical="center"/>
    </xf>
    <xf numFmtId="0" fontId="78" fillId="0" borderId="16" xfId="0" applyFont="1" applyBorder="1" applyAlignment="1">
      <alignment horizontal="center" vertical="center" wrapText="1"/>
    </xf>
    <xf numFmtId="1" fontId="0" fillId="0" borderId="16" xfId="0" applyNumberFormat="1" applyBorder="1" applyAlignment="1">
      <alignment horizontal="center" vertical="center"/>
    </xf>
    <xf numFmtId="1" fontId="0" fillId="20" borderId="16" xfId="0" applyNumberFormat="1" applyFill="1" applyBorder="1" applyAlignment="1">
      <alignment horizontal="center" vertical="center"/>
    </xf>
    <xf numFmtId="1" fontId="76" fillId="0" borderId="16" xfId="0" applyNumberFormat="1" applyFont="1" applyBorder="1" applyAlignment="1">
      <alignment horizontal="center" vertical="center" wrapText="1"/>
    </xf>
    <xf numFmtId="1" fontId="76" fillId="0" borderId="16" xfId="0" applyNumberFormat="1" applyFont="1" applyBorder="1" applyAlignment="1">
      <alignment horizontal="center" vertical="center"/>
    </xf>
    <xf numFmtId="1" fontId="0" fillId="0" borderId="16" xfId="0" applyNumberFormat="1" applyBorder="1" applyAlignment="1">
      <alignment horizontal="center" vertical="center" wrapText="1"/>
    </xf>
    <xf numFmtId="1" fontId="0" fillId="0" borderId="0" xfId="0" applyNumberFormat="1" applyAlignment="1">
      <alignment vertical="center"/>
    </xf>
    <xf numFmtId="0" fontId="76" fillId="20" borderId="16" xfId="0" applyFont="1" applyFill="1" applyBorder="1" applyAlignment="1">
      <alignment horizontal="left" vertical="center"/>
    </xf>
    <xf numFmtId="0" fontId="76" fillId="10" borderId="16" xfId="0" quotePrefix="1" applyFont="1" applyFill="1" applyBorder="1" applyAlignment="1">
      <alignment horizontal="center" vertical="center"/>
    </xf>
    <xf numFmtId="0" fontId="76" fillId="10" borderId="16" xfId="0" applyFont="1" applyFill="1" applyBorder="1" applyAlignment="1">
      <alignment vertical="center"/>
    </xf>
    <xf numFmtId="0" fontId="76" fillId="10" borderId="16" xfId="0" applyFont="1" applyFill="1" applyBorder="1" applyAlignment="1">
      <alignment horizontal="center" vertical="center"/>
    </xf>
    <xf numFmtId="1" fontId="76" fillId="10" borderId="16" xfId="0" applyNumberFormat="1" applyFont="1" applyFill="1" applyBorder="1" applyAlignment="1">
      <alignment horizontal="left" vertical="center"/>
    </xf>
    <xf numFmtId="0" fontId="76" fillId="0" borderId="16" xfId="0" applyFont="1" applyBorder="1" applyAlignment="1">
      <alignment horizontal="center" vertical="center" wrapText="1"/>
    </xf>
    <xf numFmtId="0" fontId="76" fillId="0" borderId="16" xfId="0" applyFont="1" applyBorder="1" applyAlignment="1">
      <alignment horizontal="center" vertical="center"/>
    </xf>
    <xf numFmtId="1" fontId="76" fillId="10" borderId="16" xfId="0" quotePrefix="1" applyNumberFormat="1" applyFont="1" applyFill="1" applyBorder="1" applyAlignment="1">
      <alignment horizontal="center" vertical="center"/>
    </xf>
    <xf numFmtId="0" fontId="76" fillId="0" borderId="16" xfId="0" quotePrefix="1" applyFont="1" applyBorder="1" applyAlignment="1">
      <alignment horizontal="center" vertical="center"/>
    </xf>
    <xf numFmtId="0" fontId="76" fillId="20" borderId="16" xfId="0" applyFont="1" applyFill="1" applyBorder="1" applyAlignment="1">
      <alignment vertical="center"/>
    </xf>
    <xf numFmtId="0" fontId="76" fillId="20" borderId="16" xfId="0" applyFont="1" applyFill="1" applyBorder="1" applyAlignment="1">
      <alignment horizontal="center" vertical="center"/>
    </xf>
    <xf numFmtId="0" fontId="76" fillId="0" borderId="16" xfId="0" applyFont="1" applyBorder="1" applyAlignment="1">
      <alignment vertical="center" wrapText="1"/>
    </xf>
    <xf numFmtId="0" fontId="77" fillId="23" borderId="16" xfId="0" applyFont="1" applyFill="1" applyBorder="1" applyAlignment="1">
      <alignment horizontal="center" vertical="center"/>
    </xf>
    <xf numFmtId="0" fontId="79" fillId="0" borderId="0" xfId="0" applyFont="1" applyAlignment="1">
      <alignment horizontal="center" vertical="center"/>
    </xf>
    <xf numFmtId="168" fontId="76" fillId="0" borderId="16" xfId="0" applyNumberFormat="1" applyFont="1" applyBorder="1" applyAlignment="1">
      <alignment horizontal="center" vertical="center" wrapText="1"/>
    </xf>
    <xf numFmtId="15" fontId="76" fillId="0" borderId="16" xfId="0" applyNumberFormat="1" applyFont="1" applyBorder="1" applyAlignment="1">
      <alignment horizontal="center" vertical="center" wrapText="1"/>
    </xf>
    <xf numFmtId="0" fontId="76" fillId="20" borderId="28" xfId="0" applyFont="1" applyFill="1" applyBorder="1" applyAlignment="1">
      <alignment vertical="center"/>
    </xf>
    <xf numFmtId="0" fontId="76" fillId="0" borderId="28" xfId="0" quotePrefix="1" applyFont="1" applyBorder="1" applyAlignment="1">
      <alignment horizontal="center" vertical="center"/>
    </xf>
    <xf numFmtId="0" fontId="76" fillId="0" borderId="28" xfId="0" applyFont="1" applyBorder="1" applyAlignment="1">
      <alignment vertical="center"/>
    </xf>
    <xf numFmtId="0" fontId="76" fillId="0" borderId="28" xfId="0" applyFont="1" applyBorder="1" applyAlignment="1">
      <alignment horizontal="center" vertical="center"/>
    </xf>
    <xf numFmtId="0" fontId="76" fillId="20" borderId="29" xfId="0" applyFont="1" applyFill="1" applyBorder="1" applyAlignment="1">
      <alignment vertical="center"/>
    </xf>
    <xf numFmtId="0" fontId="76" fillId="0" borderId="29" xfId="0" quotePrefix="1" applyFont="1" applyBorder="1" applyAlignment="1">
      <alignment horizontal="center" vertical="center"/>
    </xf>
    <xf numFmtId="0" fontId="76" fillId="0" borderId="29" xfId="0" applyFont="1" applyBorder="1" applyAlignment="1">
      <alignment vertical="center"/>
    </xf>
    <xf numFmtId="0" fontId="76" fillId="0" borderId="29" xfId="0" applyFont="1" applyBorder="1" applyAlignment="1">
      <alignment horizontal="center" vertical="center"/>
    </xf>
    <xf numFmtId="0" fontId="76" fillId="20" borderId="30" xfId="0" applyFont="1" applyFill="1" applyBorder="1" applyAlignment="1">
      <alignment vertical="center"/>
    </xf>
    <xf numFmtId="0" fontId="76" fillId="0" borderId="30" xfId="0" quotePrefix="1" applyFont="1" applyBorder="1" applyAlignment="1">
      <alignment horizontal="center" vertical="center"/>
    </xf>
    <xf numFmtId="0" fontId="76" fillId="0" borderId="30" xfId="0" applyFont="1" applyBorder="1" applyAlignment="1">
      <alignment vertical="center"/>
    </xf>
    <xf numFmtId="0" fontId="76" fillId="0" borderId="30" xfId="0" applyFont="1" applyBorder="1" applyAlignment="1">
      <alignment horizontal="center" vertical="center"/>
    </xf>
    <xf numFmtId="0" fontId="76" fillId="20" borderId="20" xfId="0" applyFont="1" applyFill="1" applyBorder="1" applyAlignment="1">
      <alignment vertical="center"/>
    </xf>
    <xf numFmtId="0" fontId="76" fillId="0" borderId="20" xfId="0" quotePrefix="1" applyFont="1" applyBorder="1" applyAlignment="1">
      <alignment horizontal="center" vertical="center"/>
    </xf>
    <xf numFmtId="0" fontId="76" fillId="0" borderId="20" xfId="0" applyFont="1" applyBorder="1" applyAlignment="1">
      <alignment vertical="center"/>
    </xf>
    <xf numFmtId="0" fontId="76" fillId="0" borderId="20" xfId="0" applyFont="1" applyBorder="1" applyAlignment="1">
      <alignment horizontal="center" vertical="center"/>
    </xf>
    <xf numFmtId="0" fontId="76" fillId="20" borderId="16" xfId="0" quotePrefix="1" applyFont="1" applyFill="1" applyBorder="1" applyAlignment="1">
      <alignment horizontal="center" vertical="center"/>
    </xf>
    <xf numFmtId="0" fontId="76" fillId="25" borderId="16" xfId="0" applyFont="1" applyFill="1" applyBorder="1" applyAlignment="1">
      <alignment vertical="center" wrapText="1"/>
    </xf>
    <xf numFmtId="0" fontId="76" fillId="25" borderId="16" xfId="0" applyFont="1" applyFill="1" applyBorder="1" applyAlignment="1">
      <alignment horizontal="center" vertical="center" wrapText="1"/>
    </xf>
    <xf numFmtId="0" fontId="76" fillId="25" borderId="16" xfId="0" applyFont="1" applyFill="1" applyBorder="1" applyAlignment="1">
      <alignment horizontal="center" vertical="center"/>
    </xf>
    <xf numFmtId="0" fontId="76" fillId="20" borderId="30" xfId="0" applyFont="1" applyFill="1" applyBorder="1" applyAlignment="1">
      <alignment horizontal="left" vertical="center"/>
    </xf>
    <xf numFmtId="0" fontId="76" fillId="20" borderId="30" xfId="0" applyFont="1" applyFill="1" applyBorder="1" applyAlignment="1">
      <alignment horizontal="center" vertical="center"/>
    </xf>
    <xf numFmtId="0" fontId="0" fillId="20" borderId="0" xfId="0" applyFill="1" applyAlignment="1">
      <alignment horizontal="left" vertical="center"/>
    </xf>
    <xf numFmtId="0" fontId="0" fillId="20" borderId="0" xfId="0" applyFill="1" applyAlignment="1">
      <alignment vertical="center"/>
    </xf>
    <xf numFmtId="1" fontId="0" fillId="0" borderId="0" xfId="0" applyNumberFormat="1" applyAlignment="1">
      <alignment horizontal="left" vertical="center"/>
    </xf>
    <xf numFmtId="168" fontId="0" fillId="20" borderId="0" xfId="0" applyNumberFormat="1" applyFill="1" applyAlignment="1">
      <alignment horizontal="left" vertical="center"/>
    </xf>
    <xf numFmtId="0" fontId="0" fillId="0" borderId="0" xfId="0" quotePrefix="1" applyAlignment="1">
      <alignment horizontal="center" vertical="center"/>
    </xf>
    <xf numFmtId="0" fontId="33" fillId="0" borderId="0" xfId="0" applyFont="1" applyAlignment="1">
      <alignment horizontal="center" wrapText="1"/>
    </xf>
    <xf numFmtId="0" fontId="33" fillId="0" borderId="3" xfId="0" applyFont="1" applyBorder="1" applyAlignment="1">
      <alignment horizontal="center" vertical="center" wrapText="1"/>
    </xf>
    <xf numFmtId="0" fontId="33" fillId="0" borderId="0" xfId="0" applyFont="1" applyAlignment="1">
      <alignment horizontal="center" vertical="center" wrapText="1"/>
    </xf>
    <xf numFmtId="0" fontId="33" fillId="0" borderId="0" xfId="0" applyFont="1" applyAlignment="1">
      <alignment wrapText="1"/>
    </xf>
    <xf numFmtId="0" fontId="33" fillId="0" borderId="3" xfId="0" applyFont="1" applyBorder="1" applyAlignment="1">
      <alignment horizontal="left" vertical="center" wrapText="1"/>
    </xf>
    <xf numFmtId="0" fontId="33" fillId="0" borderId="5" xfId="0" applyFont="1" applyBorder="1" applyAlignment="1">
      <alignment horizontal="center" vertical="top"/>
    </xf>
    <xf numFmtId="0" fontId="33" fillId="0" borderId="7" xfId="0" applyFont="1" applyBorder="1" applyAlignment="1">
      <alignment horizontal="center" vertical="top"/>
    </xf>
    <xf numFmtId="0" fontId="33" fillId="0" borderId="6" xfId="0" applyFont="1" applyBorder="1" applyAlignment="1">
      <alignment horizontal="center" vertical="top"/>
    </xf>
    <xf numFmtId="0" fontId="33" fillId="0" borderId="5" xfId="0" applyFont="1" applyBorder="1" applyAlignment="1">
      <alignment horizontal="center" vertical="top" wrapText="1"/>
    </xf>
    <xf numFmtId="0" fontId="33" fillId="0" borderId="6" xfId="0" applyFont="1" applyBorder="1" applyAlignment="1">
      <alignment horizontal="center" vertical="top" wrapText="1"/>
    </xf>
    <xf numFmtId="0" fontId="32" fillId="0" borderId="0" xfId="0" applyFont="1" applyAlignment="1">
      <alignment horizontal="center" vertical="center"/>
    </xf>
    <xf numFmtId="0" fontId="33" fillId="0" borderId="0" xfId="0" applyFont="1" applyAlignment="1">
      <alignment horizontal="left" vertical="top" wrapText="1"/>
    </xf>
    <xf numFmtId="0" fontId="33" fillId="0" borderId="3" xfId="0" applyFont="1" applyBorder="1" applyAlignment="1">
      <alignment vertical="top" wrapText="1"/>
    </xf>
    <xf numFmtId="0" fontId="34" fillId="0" borderId="0" xfId="0" applyFont="1" applyAlignment="1">
      <alignment horizontal="center" vertical="center"/>
    </xf>
    <xf numFmtId="0" fontId="33" fillId="0" borderId="0" xfId="0" applyFont="1" applyAlignment="1">
      <alignment vertical="top" wrapText="1"/>
    </xf>
    <xf numFmtId="0" fontId="33" fillId="0" borderId="0" xfId="0" applyFont="1" applyAlignment="1">
      <alignment vertical="center"/>
    </xf>
    <xf numFmtId="0" fontId="33" fillId="0" borderId="5" xfId="0" applyFont="1" applyBorder="1" applyAlignment="1">
      <alignment vertical="top" wrapText="1"/>
    </xf>
    <xf numFmtId="0" fontId="33" fillId="0" borderId="7" xfId="0" applyFont="1" applyBorder="1" applyAlignment="1">
      <alignment vertical="top" wrapText="1"/>
    </xf>
    <xf numFmtId="0" fontId="33" fillId="0" borderId="6" xfId="0" applyFont="1" applyBorder="1" applyAlignment="1">
      <alignment vertical="top" wrapText="1"/>
    </xf>
    <xf numFmtId="0" fontId="34" fillId="0" borderId="0" xfId="0" applyFont="1" applyAlignment="1">
      <alignment vertical="center"/>
    </xf>
    <xf numFmtId="0" fontId="33" fillId="0" borderId="6" xfId="0" applyFont="1" applyBorder="1" applyAlignment="1">
      <alignment horizontal="left" vertical="center" wrapText="1"/>
    </xf>
    <xf numFmtId="0" fontId="33" fillId="0" borderId="6" xfId="0" applyFont="1" applyBorder="1" applyAlignment="1">
      <alignment horizontal="center" vertical="center"/>
    </xf>
    <xf numFmtId="0" fontId="83" fillId="26" borderId="31" xfId="0" applyFont="1" applyFill="1" applyBorder="1" applyAlignment="1">
      <alignment horizontal="center" vertical="center"/>
    </xf>
    <xf numFmtId="0" fontId="83" fillId="26" borderId="31" xfId="0" applyFont="1" applyFill="1" applyBorder="1" applyAlignment="1">
      <alignment horizontal="center" vertical="center" wrapText="1"/>
    </xf>
    <xf numFmtId="0" fontId="33" fillId="0" borderId="3" xfId="0" applyFont="1" applyBorder="1"/>
    <xf numFmtId="0" fontId="85" fillId="0" borderId="3" xfId="0" applyFont="1" applyBorder="1" applyAlignment="1">
      <alignment vertical="top" wrapText="1"/>
    </xf>
    <xf numFmtId="0" fontId="33" fillId="0" borderId="11" xfId="0" applyFont="1" applyBorder="1" applyAlignment="1">
      <alignment vertical="top" wrapText="1"/>
    </xf>
    <xf numFmtId="0" fontId="33" fillId="0" borderId="12" xfId="0" applyFont="1" applyBorder="1" applyAlignment="1">
      <alignment vertical="top" wrapText="1"/>
    </xf>
    <xf numFmtId="0" fontId="85" fillId="6" borderId="3" xfId="0" applyFont="1" applyFill="1" applyBorder="1" applyAlignment="1">
      <alignment vertical="top" wrapText="1"/>
    </xf>
    <xf numFmtId="0" fontId="33" fillId="0" borderId="11" xfId="0" applyFont="1" applyBorder="1" applyAlignment="1">
      <alignment horizontal="left" vertical="top" wrapText="1"/>
    </xf>
    <xf numFmtId="0" fontId="33" fillId="19" borderId="3" xfId="0" applyFont="1" applyFill="1" applyBorder="1" applyAlignment="1">
      <alignment vertical="top" wrapText="1"/>
    </xf>
    <xf numFmtId="0" fontId="33" fillId="6" borderId="3" xfId="0" applyFont="1" applyFill="1" applyBorder="1" applyAlignment="1">
      <alignment vertical="top" wrapText="1"/>
    </xf>
    <xf numFmtId="0" fontId="33" fillId="28" borderId="11" xfId="0" applyFont="1" applyFill="1" applyBorder="1" applyAlignment="1">
      <alignment horizontal="left" vertical="top" wrapText="1"/>
    </xf>
    <xf numFmtId="0" fontId="33" fillId="0" borderId="11" xfId="0" applyFont="1" applyBorder="1" applyAlignment="1">
      <alignment horizontal="center" vertical="top" wrapText="1"/>
    </xf>
    <xf numFmtId="0" fontId="33" fillId="0" borderId="5" xfId="0" applyFont="1" applyBorder="1" applyAlignment="1">
      <alignment horizontal="center" vertical="center"/>
    </xf>
    <xf numFmtId="0" fontId="85" fillId="6" borderId="11" xfId="0" applyFont="1" applyFill="1" applyBorder="1" applyAlignment="1">
      <alignment vertical="top" wrapText="1"/>
    </xf>
    <xf numFmtId="0" fontId="82" fillId="0" borderId="3" xfId="0" applyFont="1" applyBorder="1" applyAlignment="1">
      <alignment vertical="top" wrapText="1"/>
    </xf>
    <xf numFmtId="0" fontId="94" fillId="0" borderId="0" xfId="0" applyFont="1"/>
    <xf numFmtId="43" fontId="0" fillId="0" borderId="0" xfId="0" applyNumberFormat="1" applyAlignment="1">
      <alignment horizontal="right"/>
    </xf>
    <xf numFmtId="0" fontId="4" fillId="0" borderId="0" xfId="0" applyFont="1"/>
    <xf numFmtId="0" fontId="95" fillId="29" borderId="0" xfId="0" applyFont="1" applyFill="1" applyAlignment="1">
      <alignment horizontal="center" vertical="center"/>
    </xf>
    <xf numFmtId="0" fontId="96" fillId="0" borderId="0" xfId="0" applyFont="1" applyAlignment="1">
      <alignment wrapText="1"/>
    </xf>
    <xf numFmtId="0" fontId="4" fillId="0" borderId="0" xfId="0" applyFont="1" applyAlignment="1">
      <alignment vertical="center"/>
    </xf>
    <xf numFmtId="0" fontId="97" fillId="30" borderId="32" xfId="0" applyFont="1" applyFill="1" applyBorder="1" applyAlignment="1">
      <alignment horizontal="center" vertical="center" wrapText="1" readingOrder="1"/>
    </xf>
    <xf numFmtId="43" fontId="98" fillId="30" borderId="32" xfId="0" applyNumberFormat="1" applyFont="1" applyFill="1" applyBorder="1" applyAlignment="1">
      <alignment horizontal="center" vertical="center" wrapText="1" readingOrder="1"/>
    </xf>
    <xf numFmtId="0" fontId="99" fillId="30" borderId="32" xfId="0" applyFont="1" applyFill="1" applyBorder="1" applyAlignment="1">
      <alignment horizontal="center" vertical="center" wrapText="1" readingOrder="1"/>
    </xf>
    <xf numFmtId="0" fontId="98" fillId="30" borderId="32" xfId="0" applyFont="1" applyFill="1" applyBorder="1" applyAlignment="1">
      <alignment horizontal="center" vertical="center" wrapText="1" readingOrder="1"/>
    </xf>
    <xf numFmtId="0" fontId="100" fillId="30" borderId="32" xfId="0" applyFont="1" applyFill="1" applyBorder="1" applyAlignment="1">
      <alignment horizontal="center" vertical="top" wrapText="1" readingOrder="1"/>
    </xf>
    <xf numFmtId="0" fontId="100" fillId="30" borderId="32" xfId="0" applyFont="1" applyFill="1" applyBorder="1" applyAlignment="1">
      <alignment horizontal="center" vertical="center" wrapText="1" readingOrder="1"/>
    </xf>
    <xf numFmtId="0" fontId="101" fillId="30" borderId="32" xfId="0" applyFont="1" applyFill="1" applyBorder="1" applyAlignment="1">
      <alignment horizontal="center" vertical="center" wrapText="1" readingOrder="1"/>
    </xf>
    <xf numFmtId="0" fontId="102" fillId="30" borderId="32" xfId="0" applyFont="1" applyFill="1" applyBorder="1" applyAlignment="1">
      <alignment horizontal="center" vertical="center" wrapText="1" readingOrder="1"/>
    </xf>
    <xf numFmtId="0" fontId="103" fillId="30" borderId="32" xfId="0" applyFont="1" applyFill="1" applyBorder="1" applyAlignment="1">
      <alignment horizontal="center" vertical="center" wrapText="1" readingOrder="1"/>
    </xf>
    <xf numFmtId="0" fontId="104" fillId="31" borderId="32" xfId="0" applyFont="1" applyFill="1" applyBorder="1" applyAlignment="1">
      <alignment horizontal="center" vertical="center" wrapText="1"/>
    </xf>
    <xf numFmtId="0" fontId="105" fillId="31" borderId="32" xfId="0" applyFont="1" applyFill="1" applyBorder="1" applyAlignment="1">
      <alignment horizontal="center" vertical="center" wrapText="1"/>
    </xf>
    <xf numFmtId="0" fontId="106" fillId="31" borderId="32" xfId="0" applyFont="1" applyFill="1" applyBorder="1" applyAlignment="1">
      <alignment horizontal="center" vertical="center" wrapText="1"/>
    </xf>
    <xf numFmtId="0" fontId="4" fillId="10" borderId="3" xfId="0" applyFont="1" applyFill="1" applyBorder="1" applyAlignment="1">
      <alignment horizontal="center" vertical="center"/>
    </xf>
    <xf numFmtId="0" fontId="107" fillId="27" borderId="13" xfId="0" applyFont="1" applyFill="1" applyBorder="1" applyAlignment="1">
      <alignment horizontal="left" vertical="center" readingOrder="1"/>
    </xf>
    <xf numFmtId="0" fontId="108" fillId="27" borderId="13" xfId="0" applyFont="1" applyFill="1" applyBorder="1" applyAlignment="1">
      <alignment horizontal="left" vertical="center" readingOrder="1"/>
    </xf>
    <xf numFmtId="43" fontId="108" fillId="27" borderId="13" xfId="0" applyNumberFormat="1" applyFont="1" applyFill="1" applyBorder="1" applyAlignment="1">
      <alignment horizontal="right" vertical="center" readingOrder="1"/>
    </xf>
    <xf numFmtId="0" fontId="108" fillId="27" borderId="13" xfId="0" applyFont="1" applyFill="1" applyBorder="1" applyAlignment="1">
      <alignment horizontal="left" vertical="center" wrapText="1" readingOrder="1"/>
    </xf>
    <xf numFmtId="0" fontId="108" fillId="27" borderId="13" xfId="0" applyFont="1" applyFill="1" applyBorder="1" applyAlignment="1">
      <alignment horizontal="left" vertical="top" readingOrder="1"/>
    </xf>
    <xf numFmtId="0" fontId="0" fillId="4" borderId="3" xfId="0" applyFill="1" applyBorder="1"/>
    <xf numFmtId="0" fontId="0" fillId="4" borderId="13" xfId="0" applyFill="1" applyBorder="1"/>
    <xf numFmtId="0" fontId="108" fillId="27" borderId="0" xfId="0" applyFont="1" applyFill="1" applyAlignment="1">
      <alignment horizontal="left" vertical="center" readingOrder="1"/>
    </xf>
    <xf numFmtId="0" fontId="0" fillId="27" borderId="0" xfId="0" applyFill="1"/>
    <xf numFmtId="0" fontId="1" fillId="27" borderId="0" xfId="1" applyFill="1"/>
    <xf numFmtId="0" fontId="109" fillId="27" borderId="25" xfId="0" applyFont="1" applyFill="1" applyBorder="1" applyAlignment="1">
      <alignment horizontal="left" vertical="center" wrapText="1" readingOrder="1"/>
    </xf>
    <xf numFmtId="9" fontId="4" fillId="0" borderId="0" xfId="0" applyNumberFormat="1" applyFont="1" applyAlignment="1">
      <alignment horizontal="center" vertical="center"/>
    </xf>
    <xf numFmtId="49" fontId="96" fillId="32" borderId="11" xfId="0" applyNumberFormat="1" applyFont="1" applyFill="1" applyBorder="1" applyAlignment="1">
      <alignment horizontal="center" vertical="center" wrapText="1" readingOrder="1"/>
    </xf>
    <xf numFmtId="0" fontId="109" fillId="19" borderId="3" xfId="0" applyFont="1" applyFill="1" applyBorder="1" applyAlignment="1">
      <alignment horizontal="left" vertical="center" wrapText="1" readingOrder="1"/>
    </xf>
    <xf numFmtId="0" fontId="96" fillId="32" borderId="3" xfId="0" applyFont="1" applyFill="1" applyBorder="1" applyAlignment="1">
      <alignment horizontal="left" vertical="center" wrapText="1" readingOrder="1"/>
    </xf>
    <xf numFmtId="43" fontId="96" fillId="32" borderId="3" xfId="0" applyNumberFormat="1" applyFont="1" applyFill="1" applyBorder="1" applyAlignment="1">
      <alignment horizontal="right" vertical="center" wrapText="1" readingOrder="1"/>
    </xf>
    <xf numFmtId="169" fontId="96" fillId="32" borderId="3" xfId="0" applyNumberFormat="1" applyFont="1" applyFill="1" applyBorder="1" applyAlignment="1">
      <alignment horizontal="center" vertical="center" wrapText="1" readingOrder="1"/>
    </xf>
    <xf numFmtId="0" fontId="96" fillId="32" borderId="3" xfId="0" applyFont="1" applyFill="1" applyBorder="1" applyAlignment="1">
      <alignment horizontal="center" vertical="center" wrapText="1" readingOrder="1"/>
    </xf>
    <xf numFmtId="0" fontId="109" fillId="19" borderId="3" xfId="0" applyFont="1" applyFill="1" applyBorder="1" applyAlignment="1">
      <alignment horizontal="center" vertical="center" wrapText="1" readingOrder="1"/>
    </xf>
    <xf numFmtId="0" fontId="96" fillId="32" borderId="3" xfId="0" applyFont="1" applyFill="1" applyBorder="1" applyAlignment="1">
      <alignment horizontal="left" vertical="top" wrapText="1" readingOrder="1"/>
    </xf>
    <xf numFmtId="0" fontId="96" fillId="32" borderId="12" xfId="0" applyFont="1" applyFill="1" applyBorder="1" applyAlignment="1">
      <alignment horizontal="left" vertical="center" wrapText="1" readingOrder="1"/>
    </xf>
    <xf numFmtId="15" fontId="96" fillId="32" borderId="12" xfId="0" applyNumberFormat="1" applyFont="1" applyFill="1" applyBorder="1" applyAlignment="1">
      <alignment horizontal="center" vertical="center" readingOrder="1"/>
    </xf>
    <xf numFmtId="15" fontId="96" fillId="32" borderId="3" xfId="0" applyNumberFormat="1" applyFont="1" applyFill="1" applyBorder="1" applyAlignment="1">
      <alignment horizontal="center" vertical="center" readingOrder="1"/>
    </xf>
    <xf numFmtId="0" fontId="96" fillId="22" borderId="12" xfId="0" applyFont="1" applyFill="1" applyBorder="1" applyAlignment="1">
      <alignment horizontal="center" vertical="center" readingOrder="1"/>
    </xf>
    <xf numFmtId="1" fontId="96" fillId="22" borderId="3" xfId="0" applyNumberFormat="1" applyFont="1" applyFill="1" applyBorder="1" applyAlignment="1">
      <alignment horizontal="center" vertical="center" readingOrder="1"/>
    </xf>
    <xf numFmtId="15" fontId="96" fillId="33" borderId="3" xfId="0" applyNumberFormat="1" applyFont="1" applyFill="1" applyBorder="1" applyAlignment="1">
      <alignment vertical="center" readingOrder="1"/>
    </xf>
    <xf numFmtId="0" fontId="96" fillId="33" borderId="3" xfId="0" applyFont="1" applyFill="1" applyBorder="1" applyAlignment="1">
      <alignment horizontal="center" vertical="center" readingOrder="1"/>
    </xf>
    <xf numFmtId="1" fontId="109" fillId="0" borderId="5" xfId="0" applyNumberFormat="1" applyFont="1" applyBorder="1" applyAlignment="1">
      <alignment horizontal="center" vertical="center" wrapText="1" readingOrder="1"/>
    </xf>
    <xf numFmtId="1" fontId="109" fillId="22" borderId="3" xfId="0" applyNumberFormat="1" applyFont="1" applyFill="1" applyBorder="1" applyAlignment="1">
      <alignment horizontal="center" vertical="center" readingOrder="1"/>
    </xf>
    <xf numFmtId="14" fontId="96" fillId="0" borderId="3" xfId="0" applyNumberFormat="1" applyFont="1" applyBorder="1" applyAlignment="1">
      <alignment horizontal="left" vertical="center"/>
    </xf>
    <xf numFmtId="0" fontId="96" fillId="22" borderId="3" xfId="0" applyFont="1" applyFill="1" applyBorder="1" applyAlignment="1">
      <alignment horizontal="center" vertical="center" readingOrder="1"/>
    </xf>
    <xf numFmtId="0" fontId="96" fillId="0" borderId="3" xfId="0" applyFont="1" applyBorder="1" applyAlignment="1">
      <alignment horizontal="center" vertical="center"/>
    </xf>
    <xf numFmtId="0" fontId="109" fillId="34" borderId="6" xfId="0" applyFont="1" applyFill="1" applyBorder="1" applyAlignment="1">
      <alignment horizontal="left" vertical="center" wrapText="1"/>
    </xf>
    <xf numFmtId="0" fontId="17" fillId="20" borderId="3" xfId="0" applyFont="1" applyFill="1" applyBorder="1" applyAlignment="1">
      <alignment horizontal="left" vertical="top" wrapText="1"/>
    </xf>
    <xf numFmtId="0" fontId="36" fillId="19" borderId="11" xfId="0" applyFont="1" applyFill="1" applyBorder="1" applyAlignment="1">
      <alignment horizontal="left" vertical="center" wrapText="1"/>
    </xf>
    <xf numFmtId="1" fontId="109" fillId="22" borderId="11" xfId="0" applyNumberFormat="1" applyFont="1" applyFill="1" applyBorder="1" applyAlignment="1">
      <alignment horizontal="center" vertical="center" wrapText="1"/>
    </xf>
    <xf numFmtId="1" fontId="110" fillId="0" borderId="3" xfId="0" applyNumberFormat="1" applyFont="1" applyBorder="1" applyAlignment="1">
      <alignment horizontal="center" vertical="center" wrapText="1"/>
    </xf>
    <xf numFmtId="0" fontId="111" fillId="0" borderId="3" xfId="0" applyFont="1" applyBorder="1" applyAlignment="1">
      <alignment horizontal="left" vertical="center" wrapText="1"/>
    </xf>
    <xf numFmtId="0" fontId="112" fillId="0" borderId="3" xfId="0" applyFont="1" applyBorder="1" applyAlignment="1">
      <alignment horizontal="left" vertical="center" wrapText="1"/>
    </xf>
    <xf numFmtId="0" fontId="112" fillId="0" borderId="3" xfId="0" quotePrefix="1" applyFont="1" applyBorder="1" applyAlignment="1">
      <alignment horizontal="left" vertical="center" wrapText="1"/>
    </xf>
    <xf numFmtId="4" fontId="112" fillId="0" borderId="3" xfId="0" applyNumberFormat="1" applyFont="1" applyBorder="1" applyAlignment="1">
      <alignment horizontal="right" vertical="center" wrapText="1"/>
    </xf>
    <xf numFmtId="0" fontId="112" fillId="0" borderId="11" xfId="0" applyFont="1" applyBorder="1" applyAlignment="1">
      <alignment horizontal="left" vertical="center" wrapText="1"/>
    </xf>
    <xf numFmtId="43" fontId="112" fillId="0" borderId="8" xfId="0" applyNumberFormat="1" applyFont="1" applyBorder="1" applyAlignment="1">
      <alignment horizontal="left" vertical="center" wrapText="1"/>
    </xf>
    <xf numFmtId="0" fontId="96" fillId="0" borderId="8" xfId="0" applyFont="1" applyBorder="1" applyAlignment="1">
      <alignment horizontal="center" vertical="center" wrapText="1"/>
    </xf>
    <xf numFmtId="0" fontId="0" fillId="0" borderId="3" xfId="0" applyBorder="1" applyAlignment="1">
      <alignment horizontal="left" vertical="center" indent="1"/>
    </xf>
    <xf numFmtId="9" fontId="4" fillId="0" borderId="3" xfId="0" applyNumberFormat="1" applyFont="1" applyBorder="1" applyAlignment="1">
      <alignment horizontal="center" vertical="center"/>
    </xf>
    <xf numFmtId="0" fontId="113" fillId="0" borderId="0" xfId="0" applyFont="1" applyAlignment="1">
      <alignment horizontal="left" vertical="center"/>
    </xf>
    <xf numFmtId="0" fontId="12" fillId="0" borderId="8" xfId="0" applyFont="1" applyBorder="1" applyAlignment="1">
      <alignment horizontal="left" vertical="top" wrapText="1"/>
    </xf>
    <xf numFmtId="0" fontId="96" fillId="0" borderId="11" xfId="0" applyFont="1" applyBorder="1" applyAlignment="1">
      <alignment horizontal="left" vertical="center" wrapText="1"/>
    </xf>
    <xf numFmtId="0" fontId="4" fillId="0" borderId="3" xfId="0" applyFont="1" applyBorder="1" applyAlignment="1">
      <alignment horizontal="left" vertical="center"/>
    </xf>
    <xf numFmtId="0" fontId="12" fillId="0" borderId="11" xfId="0" applyFont="1" applyBorder="1" applyAlignment="1">
      <alignment horizontal="left" vertical="top" wrapText="1"/>
    </xf>
    <xf numFmtId="0" fontId="114" fillId="0" borderId="3" xfId="0" applyFont="1" applyBorder="1" applyAlignment="1">
      <alignment horizontal="left" vertical="center" wrapText="1"/>
    </xf>
    <xf numFmtId="1" fontId="36" fillId="0" borderId="3" xfId="0" applyNumberFormat="1" applyFont="1" applyBorder="1" applyAlignment="1">
      <alignment horizontal="center" vertical="center" wrapText="1"/>
    </xf>
    <xf numFmtId="0" fontId="36" fillId="25" borderId="11" xfId="0" applyFont="1" applyFill="1" applyBorder="1" applyAlignment="1">
      <alignment horizontal="left" vertical="center" wrapText="1"/>
    </xf>
    <xf numFmtId="1" fontId="36" fillId="25" borderId="3" xfId="0" applyNumberFormat="1" applyFont="1" applyFill="1" applyBorder="1" applyAlignment="1">
      <alignment horizontal="center" vertical="center" wrapText="1"/>
    </xf>
    <xf numFmtId="0" fontId="96" fillId="0" borderId="8" xfId="0" applyFont="1" applyBorder="1" applyAlignment="1">
      <alignment horizontal="left" vertical="center" wrapText="1"/>
    </xf>
    <xf numFmtId="0" fontId="29" fillId="34" borderId="3" xfId="0" applyFont="1" applyFill="1" applyBorder="1" applyAlignment="1">
      <alignment horizontal="left" vertical="top" wrapText="1"/>
    </xf>
    <xf numFmtId="0" fontId="38" fillId="32" borderId="3" xfId="0" applyFont="1" applyFill="1" applyBorder="1" applyAlignment="1">
      <alignment horizontal="left" vertical="top" wrapText="1" readingOrder="1"/>
    </xf>
    <xf numFmtId="0" fontId="38" fillId="32" borderId="3" xfId="0" applyFont="1" applyFill="1" applyBorder="1" applyAlignment="1">
      <alignment horizontal="left" vertical="center" wrapText="1" readingOrder="1"/>
    </xf>
    <xf numFmtId="0" fontId="109" fillId="19" borderId="11" xfId="0" applyFont="1" applyFill="1" applyBorder="1" applyAlignment="1">
      <alignment horizontal="left" vertical="center" wrapText="1"/>
    </xf>
    <xf numFmtId="0" fontId="114" fillId="0" borderId="3" xfId="0" quotePrefix="1" applyFont="1" applyBorder="1" applyAlignment="1">
      <alignment horizontal="left" vertical="center" wrapText="1"/>
    </xf>
    <xf numFmtId="43" fontId="112" fillId="0" borderId="3" xfId="0" applyNumberFormat="1" applyFont="1" applyBorder="1" applyAlignment="1">
      <alignment horizontal="right" vertical="center" wrapText="1"/>
    </xf>
    <xf numFmtId="0" fontId="38" fillId="32" borderId="22" xfId="0" applyFont="1" applyFill="1" applyBorder="1" applyAlignment="1">
      <alignment horizontal="left" vertical="center" wrapText="1" readingOrder="1"/>
    </xf>
    <xf numFmtId="15" fontId="96" fillId="32" borderId="22" xfId="0" applyNumberFormat="1" applyFont="1" applyFill="1" applyBorder="1" applyAlignment="1">
      <alignment horizontal="center" vertical="center" readingOrder="1"/>
    </xf>
    <xf numFmtId="15" fontId="96" fillId="32" borderId="6" xfId="0" applyNumberFormat="1" applyFont="1" applyFill="1" applyBorder="1" applyAlignment="1">
      <alignment horizontal="center" vertical="center" readingOrder="1"/>
    </xf>
    <xf numFmtId="0" fontId="96" fillId="22" borderId="22" xfId="0" applyFont="1" applyFill="1" applyBorder="1" applyAlignment="1">
      <alignment horizontal="center" vertical="center" readingOrder="1"/>
    </xf>
    <xf numFmtId="1" fontId="96" fillId="22" borderId="6" xfId="0" applyNumberFormat="1" applyFont="1" applyFill="1" applyBorder="1" applyAlignment="1">
      <alignment horizontal="center" vertical="center" readingOrder="1"/>
    </xf>
    <xf numFmtId="0" fontId="96" fillId="0" borderId="11" xfId="0" applyFont="1" applyBorder="1" applyAlignment="1">
      <alignment horizontal="left" vertical="top" wrapText="1"/>
    </xf>
    <xf numFmtId="0" fontId="38" fillId="32" borderId="12" xfId="0" applyFont="1" applyFill="1" applyBorder="1" applyAlignment="1">
      <alignment horizontal="left" vertical="center" wrapText="1" readingOrder="1"/>
    </xf>
    <xf numFmtId="0" fontId="17" fillId="0" borderId="3" xfId="0" applyFont="1" applyBorder="1" applyAlignment="1">
      <alignment vertical="center" wrapText="1"/>
    </xf>
    <xf numFmtId="0" fontId="112" fillId="0" borderId="11" xfId="0" applyFont="1" applyBorder="1" applyAlignment="1">
      <alignment vertical="center" wrapText="1"/>
    </xf>
    <xf numFmtId="0" fontId="96" fillId="0" borderId="11" xfId="0" applyFont="1" applyBorder="1" applyAlignment="1">
      <alignment wrapText="1"/>
    </xf>
    <xf numFmtId="0" fontId="4" fillId="0" borderId="3" xfId="0" applyFont="1" applyBorder="1" applyAlignment="1">
      <alignment vertical="center"/>
    </xf>
    <xf numFmtId="0" fontId="96" fillId="32" borderId="5" xfId="0" applyFont="1" applyFill="1" applyBorder="1" applyAlignment="1">
      <alignment horizontal="left" vertical="center" wrapText="1" readingOrder="1"/>
    </xf>
    <xf numFmtId="169" fontId="96" fillId="32" borderId="5" xfId="0" applyNumberFormat="1" applyFont="1" applyFill="1" applyBorder="1" applyAlignment="1">
      <alignment horizontal="center" vertical="center" wrapText="1" readingOrder="1"/>
    </xf>
    <xf numFmtId="0" fontId="96" fillId="32" borderId="5" xfId="0" applyFont="1" applyFill="1" applyBorder="1" applyAlignment="1">
      <alignment horizontal="center" vertical="center" wrapText="1" readingOrder="1"/>
    </xf>
    <xf numFmtId="0" fontId="38" fillId="32" borderId="24" xfId="0" applyFont="1" applyFill="1" applyBorder="1" applyAlignment="1">
      <alignment horizontal="left" vertical="center" wrapText="1" readingOrder="1"/>
    </xf>
    <xf numFmtId="15" fontId="96" fillId="32" borderId="24" xfId="0" applyNumberFormat="1" applyFont="1" applyFill="1" applyBorder="1" applyAlignment="1">
      <alignment horizontal="center" vertical="center" readingOrder="1"/>
    </xf>
    <xf numFmtId="15" fontId="96" fillId="32" borderId="5" xfId="0" applyNumberFormat="1" applyFont="1" applyFill="1" applyBorder="1" applyAlignment="1">
      <alignment horizontal="center" vertical="center" readingOrder="1"/>
    </xf>
    <xf numFmtId="0" fontId="96" fillId="22" borderId="24" xfId="0" applyFont="1" applyFill="1" applyBorder="1" applyAlignment="1">
      <alignment horizontal="center" vertical="center" readingOrder="1"/>
    </xf>
    <xf numFmtId="1" fontId="96" fillId="22" borderId="5" xfId="0" applyNumberFormat="1" applyFont="1" applyFill="1" applyBorder="1" applyAlignment="1">
      <alignment horizontal="center" vertical="center" readingOrder="1"/>
    </xf>
    <xf numFmtId="0" fontId="17" fillId="34" borderId="3" xfId="0" applyFont="1" applyFill="1" applyBorder="1" applyAlignment="1">
      <alignment horizontal="left" vertical="top" wrapText="1"/>
    </xf>
    <xf numFmtId="0" fontId="1" fillId="0" borderId="3" xfId="1" applyBorder="1" applyAlignment="1">
      <alignment horizontal="left" vertical="center" wrapText="1"/>
    </xf>
    <xf numFmtId="0" fontId="109" fillId="20" borderId="11" xfId="0" applyFont="1" applyFill="1" applyBorder="1" applyAlignment="1">
      <alignment horizontal="left" vertical="center" wrapText="1"/>
    </xf>
    <xf numFmtId="0" fontId="17" fillId="34" borderId="5" xfId="0" applyFont="1" applyFill="1" applyBorder="1" applyAlignment="1">
      <alignment horizontal="left" vertical="top" wrapText="1"/>
    </xf>
    <xf numFmtId="0" fontId="17" fillId="0" borderId="8" xfId="0" applyFont="1" applyBorder="1" applyAlignment="1">
      <alignment horizontal="left" vertical="top" wrapText="1"/>
    </xf>
    <xf numFmtId="0" fontId="115" fillId="0" borderId="3" xfId="1" applyFont="1" applyBorder="1" applyAlignment="1">
      <alignment horizontal="left" vertical="center" wrapText="1"/>
    </xf>
    <xf numFmtId="0" fontId="112" fillId="0" borderId="3" xfId="0" applyFont="1" applyBorder="1" applyAlignment="1">
      <alignment horizontal="right" vertical="center" wrapText="1"/>
    </xf>
    <xf numFmtId="0" fontId="96" fillId="0" borderId="8" xfId="0" applyFont="1" applyBorder="1" applyAlignment="1">
      <alignment horizontal="center" vertical="center"/>
    </xf>
    <xf numFmtId="0" fontId="109" fillId="0" borderId="23" xfId="0" applyFont="1" applyBorder="1" applyAlignment="1">
      <alignment horizontal="left" vertical="center" wrapText="1"/>
    </xf>
    <xf numFmtId="0" fontId="96" fillId="0" borderId="5" xfId="0" applyFont="1" applyBorder="1" applyAlignment="1">
      <alignment horizontal="center" vertical="center"/>
    </xf>
    <xf numFmtId="0" fontId="109" fillId="0" borderId="8" xfId="0" applyFont="1" applyBorder="1" applyAlignment="1">
      <alignment horizontal="left" vertical="center" wrapText="1"/>
    </xf>
    <xf numFmtId="0" fontId="116" fillId="0" borderId="3" xfId="1" applyFont="1" applyBorder="1" applyAlignment="1">
      <alignment horizontal="left" vertical="center" wrapText="1"/>
    </xf>
    <xf numFmtId="0" fontId="109" fillId="34" borderId="7" xfId="0" applyFont="1" applyFill="1" applyBorder="1" applyAlignment="1">
      <alignment horizontal="left" vertical="center" wrapText="1"/>
    </xf>
    <xf numFmtId="0" fontId="17" fillId="34" borderId="3" xfId="0" applyFont="1" applyFill="1" applyBorder="1" applyAlignment="1">
      <alignment horizontal="left" vertical="center" wrapText="1"/>
    </xf>
    <xf numFmtId="0" fontId="96" fillId="32" borderId="3" xfId="0" applyFont="1" applyFill="1" applyBorder="1" applyAlignment="1">
      <alignment vertical="center" wrapText="1"/>
    </xf>
    <xf numFmtId="0" fontId="4" fillId="0" borderId="3" xfId="0" applyFont="1" applyBorder="1" applyAlignment="1">
      <alignment horizontal="left" vertical="center" wrapText="1"/>
    </xf>
    <xf numFmtId="0" fontId="96" fillId="0" borderId="11" xfId="0" applyFont="1" applyBorder="1" applyAlignment="1">
      <alignment horizontal="left" wrapText="1"/>
    </xf>
    <xf numFmtId="0" fontId="0" fillId="0" borderId="0" xfId="0" applyAlignment="1">
      <alignment horizontal="left"/>
    </xf>
    <xf numFmtId="0" fontId="96" fillId="32" borderId="3" xfId="0" applyFont="1" applyFill="1" applyBorder="1" applyAlignment="1">
      <alignment vertical="center" wrapText="1" readingOrder="1"/>
    </xf>
    <xf numFmtId="0" fontId="17" fillId="0" borderId="8" xfId="0" applyFont="1" applyBorder="1" applyAlignment="1">
      <alignment horizontal="left" vertical="center" wrapText="1"/>
    </xf>
    <xf numFmtId="0" fontId="112" fillId="0" borderId="12" xfId="0" applyFont="1" applyBorder="1" applyAlignment="1">
      <alignment horizontal="right" vertical="center" wrapText="1"/>
    </xf>
    <xf numFmtId="0" fontId="12" fillId="20" borderId="3" xfId="0" applyFont="1" applyFill="1" applyBorder="1" applyAlignment="1">
      <alignment horizontal="left" vertical="center" wrapText="1"/>
    </xf>
    <xf numFmtId="0" fontId="109" fillId="29" borderId="6" xfId="0" applyFont="1" applyFill="1" applyBorder="1" applyAlignment="1">
      <alignment horizontal="left" vertical="center" wrapText="1"/>
    </xf>
    <xf numFmtId="0" fontId="115" fillId="0" borderId="3" xfId="1" quotePrefix="1" applyFont="1" applyBorder="1" applyAlignment="1">
      <alignment horizontal="left" vertical="center" wrapText="1"/>
    </xf>
    <xf numFmtId="0" fontId="109" fillId="19" borderId="5" xfId="0" applyFont="1" applyFill="1" applyBorder="1" applyAlignment="1">
      <alignment horizontal="left" vertical="center" wrapText="1" readingOrder="1"/>
    </xf>
    <xf numFmtId="0" fontId="96" fillId="32" borderId="5" xfId="0" applyFont="1" applyFill="1" applyBorder="1" applyAlignment="1">
      <alignment vertical="center" wrapText="1" readingOrder="1"/>
    </xf>
    <xf numFmtId="43" fontId="96" fillId="32" borderId="5" xfId="0" applyNumberFormat="1" applyFont="1" applyFill="1" applyBorder="1" applyAlignment="1">
      <alignment horizontal="right" vertical="center" wrapText="1" readingOrder="1"/>
    </xf>
    <xf numFmtId="0" fontId="109" fillId="19" borderId="5" xfId="0" applyFont="1" applyFill="1" applyBorder="1" applyAlignment="1">
      <alignment horizontal="center" vertical="center" wrapText="1" readingOrder="1"/>
    </xf>
    <xf numFmtId="0" fontId="38" fillId="32" borderId="5" xfId="0" applyFont="1" applyFill="1" applyBorder="1" applyAlignment="1">
      <alignment horizontal="left" vertical="top" wrapText="1" readingOrder="1"/>
    </xf>
    <xf numFmtId="0" fontId="96" fillId="33" borderId="5" xfId="0" applyFont="1" applyFill="1" applyBorder="1" applyAlignment="1">
      <alignment horizontal="center" vertical="center" readingOrder="1"/>
    </xf>
    <xf numFmtId="1" fontId="109" fillId="22" borderId="5" xfId="0" applyNumberFormat="1" applyFont="1" applyFill="1" applyBorder="1" applyAlignment="1">
      <alignment horizontal="center" vertical="center" readingOrder="1"/>
    </xf>
    <xf numFmtId="0" fontId="96" fillId="22" borderId="5" xfId="0" applyFont="1" applyFill="1" applyBorder="1" applyAlignment="1">
      <alignment horizontal="center" vertical="center" readingOrder="1"/>
    </xf>
    <xf numFmtId="0" fontId="36" fillId="19" borderId="8" xfId="0" applyFont="1" applyFill="1" applyBorder="1" applyAlignment="1">
      <alignment horizontal="left" vertical="center" wrapText="1"/>
    </xf>
    <xf numFmtId="1" fontId="36" fillId="0" borderId="5" xfId="0" applyNumberFormat="1" applyFont="1" applyBorder="1" applyAlignment="1">
      <alignment horizontal="center" vertical="center" wrapText="1"/>
    </xf>
    <xf numFmtId="0" fontId="117" fillId="0" borderId="3" xfId="0" applyFont="1" applyBorder="1" applyAlignment="1">
      <alignment horizontal="left" vertical="center" wrapText="1"/>
    </xf>
    <xf numFmtId="6" fontId="112" fillId="0" borderId="3" xfId="0" applyNumberFormat="1" applyFont="1" applyBorder="1" applyAlignment="1">
      <alignment horizontal="right" vertical="center" wrapText="1"/>
    </xf>
    <xf numFmtId="6" fontId="112" fillId="0" borderId="12" xfId="0" applyNumberFormat="1" applyFont="1" applyBorder="1" applyAlignment="1">
      <alignment horizontal="right" vertical="center" wrapText="1"/>
    </xf>
    <xf numFmtId="1" fontId="109" fillId="0" borderId="3" xfId="0" applyNumberFormat="1" applyFont="1" applyBorder="1" applyAlignment="1">
      <alignment horizontal="center" vertical="center" wrapText="1" readingOrder="1"/>
    </xf>
    <xf numFmtId="0" fontId="12" fillId="0" borderId="3" xfId="0" applyFont="1" applyBorder="1" applyAlignment="1">
      <alignment horizontal="left" vertical="top" wrapText="1"/>
    </xf>
    <xf numFmtId="0" fontId="36" fillId="19" borderId="3" xfId="0" applyFont="1" applyFill="1" applyBorder="1" applyAlignment="1">
      <alignment horizontal="left" vertical="center" wrapText="1"/>
    </xf>
    <xf numFmtId="1" fontId="109" fillId="22" borderId="23" xfId="0" applyNumberFormat="1" applyFont="1" applyFill="1" applyBorder="1" applyAlignment="1">
      <alignment horizontal="center" vertical="center" wrapText="1"/>
    </xf>
    <xf numFmtId="0" fontId="111" fillId="0" borderId="5" xfId="0" applyFont="1" applyBorder="1" applyAlignment="1">
      <alignment horizontal="left" vertical="center" wrapText="1"/>
    </xf>
    <xf numFmtId="0" fontId="0" fillId="0" borderId="5" xfId="0" quotePrefix="1" applyBorder="1" applyAlignment="1">
      <alignment horizontal="left" vertical="center" wrapText="1"/>
    </xf>
    <xf numFmtId="0" fontId="114" fillId="0" borderId="5" xfId="0" applyFont="1" applyBorder="1" applyAlignment="1">
      <alignment horizontal="left" vertical="center" wrapText="1"/>
    </xf>
    <xf numFmtId="0" fontId="114" fillId="0" borderId="5" xfId="0" quotePrefix="1" applyFont="1" applyBorder="1" applyAlignment="1">
      <alignment horizontal="left" vertical="center" wrapText="1"/>
    </xf>
    <xf numFmtId="4" fontId="112" fillId="0" borderId="5" xfId="0" applyNumberFormat="1" applyFont="1" applyBorder="1" applyAlignment="1">
      <alignment horizontal="right" vertical="center" wrapText="1"/>
    </xf>
    <xf numFmtId="0" fontId="112" fillId="0" borderId="8" xfId="0" applyFont="1" applyBorder="1" applyAlignment="1">
      <alignment horizontal="left" vertical="center" wrapText="1"/>
    </xf>
    <xf numFmtId="0" fontId="109" fillId="19" borderId="3" xfId="0" applyFont="1" applyFill="1" applyBorder="1" applyAlignment="1">
      <alignment vertical="center" wrapText="1"/>
    </xf>
    <xf numFmtId="0" fontId="96" fillId="32" borderId="3" xfId="0" applyFont="1" applyFill="1" applyBorder="1" applyAlignment="1">
      <alignment horizontal="center" vertical="center" wrapText="1"/>
    </xf>
    <xf numFmtId="1" fontId="119" fillId="33" borderId="3" xfId="0" applyNumberFormat="1" applyFont="1" applyFill="1" applyBorder="1" applyAlignment="1">
      <alignment horizontal="center" vertical="center" readingOrder="1"/>
    </xf>
    <xf numFmtId="14" fontId="96" fillId="0" borderId="3" xfId="0" applyNumberFormat="1" applyFont="1" applyBorder="1" applyAlignment="1">
      <alignment horizontal="center" vertical="center" readingOrder="1"/>
    </xf>
    <xf numFmtId="0" fontId="96" fillId="0" borderId="3" xfId="0" applyFont="1" applyBorder="1" applyAlignment="1">
      <alignment horizontal="center" vertical="center" readingOrder="1"/>
    </xf>
    <xf numFmtId="0" fontId="120" fillId="34" borderId="3" xfId="0" applyFont="1" applyFill="1" applyBorder="1" applyAlignment="1">
      <alignment vertical="top" wrapText="1"/>
    </xf>
    <xf numFmtId="0" fontId="120" fillId="20" borderId="3" xfId="0" applyFont="1" applyFill="1" applyBorder="1" applyAlignment="1">
      <alignment horizontal="left" vertical="top" wrapText="1"/>
    </xf>
    <xf numFmtId="1" fontId="109" fillId="22" borderId="24" xfId="0" applyNumberFormat="1" applyFont="1" applyFill="1" applyBorder="1" applyAlignment="1">
      <alignment horizontal="center" vertical="center" wrapText="1"/>
    </xf>
    <xf numFmtId="0" fontId="112" fillId="0" borderId="5" xfId="0" applyFont="1" applyBorder="1" applyAlignment="1">
      <alignment horizontal="right" vertical="center" wrapText="1"/>
    </xf>
    <xf numFmtId="0" fontId="112" fillId="0" borderId="5" xfId="0" applyFont="1" applyBorder="1" applyAlignment="1">
      <alignment horizontal="left" vertical="center" wrapText="1"/>
    </xf>
    <xf numFmtId="0" fontId="109" fillId="19" borderId="6" xfId="0" applyFont="1" applyFill="1" applyBorder="1" applyAlignment="1">
      <alignment horizontal="left" vertical="center" wrapText="1" readingOrder="1"/>
    </xf>
    <xf numFmtId="0" fontId="96" fillId="32" borderId="7" xfId="0" applyFont="1" applyFill="1" applyBorder="1" applyAlignment="1">
      <alignment horizontal="left" vertical="center" wrapText="1" readingOrder="1"/>
    </xf>
    <xf numFmtId="43" fontId="96" fillId="32" borderId="6" xfId="0" applyNumberFormat="1" applyFont="1" applyFill="1" applyBorder="1" applyAlignment="1">
      <alignment horizontal="right" vertical="center" wrapText="1" readingOrder="1"/>
    </xf>
    <xf numFmtId="3" fontId="96" fillId="32" borderId="6" xfId="0" applyNumberFormat="1" applyFont="1" applyFill="1" applyBorder="1" applyAlignment="1">
      <alignment horizontal="right" vertical="center" wrapText="1" readingOrder="1"/>
    </xf>
    <xf numFmtId="169" fontId="96" fillId="32" borderId="6" xfId="0" applyNumberFormat="1" applyFont="1" applyFill="1" applyBorder="1" applyAlignment="1">
      <alignment horizontal="center" vertical="center" wrapText="1" readingOrder="1"/>
    </xf>
    <xf numFmtId="169" fontId="96" fillId="32" borderId="9" xfId="0" applyNumberFormat="1" applyFont="1" applyFill="1" applyBorder="1" applyAlignment="1">
      <alignment horizontal="center" vertical="center" wrapText="1" readingOrder="1"/>
    </xf>
    <xf numFmtId="0" fontId="96" fillId="32" borderId="0" xfId="0" applyFont="1" applyFill="1" applyAlignment="1">
      <alignment horizontal="center" vertical="center" wrapText="1" readingOrder="1"/>
    </xf>
    <xf numFmtId="0" fontId="109" fillId="19" borderId="6" xfId="0" applyFont="1" applyFill="1" applyBorder="1" applyAlignment="1">
      <alignment horizontal="center" vertical="center" wrapText="1" readingOrder="1"/>
    </xf>
    <xf numFmtId="0" fontId="38" fillId="32" borderId="22" xfId="0" applyFont="1" applyFill="1" applyBorder="1" applyAlignment="1">
      <alignment horizontal="left" vertical="top" wrapText="1" readingOrder="1"/>
    </xf>
    <xf numFmtId="0" fontId="38" fillId="32" borderId="25" xfId="0" applyFont="1" applyFill="1" applyBorder="1" applyAlignment="1">
      <alignment horizontal="left" vertical="center" wrapText="1" readingOrder="1"/>
    </xf>
    <xf numFmtId="15" fontId="96" fillId="32" borderId="25" xfId="0" applyNumberFormat="1" applyFont="1" applyFill="1" applyBorder="1" applyAlignment="1">
      <alignment horizontal="center" vertical="center" readingOrder="1"/>
    </xf>
    <xf numFmtId="15" fontId="96" fillId="32" borderId="7" xfId="0" applyNumberFormat="1" applyFont="1" applyFill="1" applyBorder="1" applyAlignment="1">
      <alignment horizontal="center" vertical="center" readingOrder="1"/>
    </xf>
    <xf numFmtId="0" fontId="96" fillId="22" borderId="25" xfId="0" applyFont="1" applyFill="1" applyBorder="1" applyAlignment="1">
      <alignment horizontal="center" vertical="center" readingOrder="1"/>
    </xf>
    <xf numFmtId="1" fontId="96" fillId="22" borderId="7" xfId="0" applyNumberFormat="1" applyFont="1" applyFill="1" applyBorder="1" applyAlignment="1">
      <alignment horizontal="center" vertical="center" readingOrder="1"/>
    </xf>
    <xf numFmtId="0" fontId="96" fillId="33" borderId="6" xfId="0" applyFont="1" applyFill="1" applyBorder="1" applyAlignment="1">
      <alignment horizontal="center" vertical="center" readingOrder="1"/>
    </xf>
    <xf numFmtId="1" fontId="109" fillId="0" borderId="7" xfId="0" applyNumberFormat="1" applyFont="1" applyBorder="1" applyAlignment="1">
      <alignment horizontal="center" vertical="center" wrapText="1" readingOrder="1"/>
    </xf>
    <xf numFmtId="1" fontId="109" fillId="22" borderId="7" xfId="0" applyNumberFormat="1" applyFont="1" applyFill="1" applyBorder="1" applyAlignment="1">
      <alignment horizontal="center" vertical="center" readingOrder="1"/>
    </xf>
    <xf numFmtId="0" fontId="96" fillId="22" borderId="6" xfId="0" applyFont="1" applyFill="1" applyBorder="1" applyAlignment="1">
      <alignment horizontal="left" vertical="center"/>
    </xf>
    <xf numFmtId="0" fontId="122" fillId="20" borderId="6" xfId="0" applyFont="1" applyFill="1" applyBorder="1" applyAlignment="1">
      <alignment horizontal="center" vertical="center"/>
    </xf>
    <xf numFmtId="0" fontId="96" fillId="0" borderId="6" xfId="0" applyFont="1" applyBorder="1" applyAlignment="1">
      <alignment horizontal="left" vertical="center"/>
    </xf>
    <xf numFmtId="0" fontId="17" fillId="34" borderId="6" xfId="0" applyFont="1" applyFill="1" applyBorder="1" applyAlignment="1">
      <alignment horizontal="left" vertical="top" wrapText="1"/>
    </xf>
    <xf numFmtId="0" fontId="109" fillId="0" borderId="9" xfId="0" applyFont="1" applyBorder="1" applyAlignment="1">
      <alignment horizontal="left" vertical="center" wrapText="1"/>
    </xf>
    <xf numFmtId="0" fontId="36" fillId="19" borderId="9" xfId="0" applyFont="1" applyFill="1" applyBorder="1" applyAlignment="1">
      <alignment horizontal="left" vertical="center" wrapText="1"/>
    </xf>
    <xf numFmtId="0" fontId="36" fillId="0" borderId="7" xfId="0" applyFont="1" applyBorder="1" applyAlignment="1">
      <alignment horizontal="center" vertical="center" wrapText="1"/>
    </xf>
    <xf numFmtId="1" fontId="109" fillId="22" borderId="10" xfId="0" applyNumberFormat="1" applyFont="1" applyFill="1" applyBorder="1" applyAlignment="1">
      <alignment horizontal="center" vertical="center" wrapText="1"/>
    </xf>
    <xf numFmtId="0" fontId="111" fillId="0" borderId="6" xfId="0" applyFont="1" applyBorder="1" applyAlignment="1">
      <alignment horizontal="left" vertical="center" wrapText="1"/>
    </xf>
    <xf numFmtId="0" fontId="4" fillId="0" borderId="6" xfId="0" applyFont="1" applyBorder="1" applyAlignment="1">
      <alignment horizontal="left" vertical="center" wrapText="1"/>
    </xf>
    <xf numFmtId="0" fontId="114" fillId="0" borderId="6" xfId="0" applyFont="1" applyBorder="1" applyAlignment="1">
      <alignment horizontal="left" vertical="center" wrapText="1"/>
    </xf>
    <xf numFmtId="4" fontId="112" fillId="0" borderId="6" xfId="0" applyNumberFormat="1" applyFont="1" applyBorder="1" applyAlignment="1">
      <alignment horizontal="right" vertical="center" wrapText="1"/>
    </xf>
    <xf numFmtId="0" fontId="112" fillId="0" borderId="10" xfId="0" applyFont="1" applyBorder="1" applyAlignment="1">
      <alignment horizontal="left" vertical="center" wrapText="1"/>
    </xf>
    <xf numFmtId="15" fontId="96" fillId="32" borderId="3" xfId="0" applyNumberFormat="1" applyFont="1" applyFill="1" applyBorder="1" applyAlignment="1">
      <alignment vertical="center" readingOrder="1"/>
    </xf>
    <xf numFmtId="0" fontId="96" fillId="22" borderId="3" xfId="0" applyFont="1" applyFill="1" applyBorder="1" applyAlignment="1">
      <alignment vertical="center" readingOrder="1"/>
    </xf>
    <xf numFmtId="0" fontId="96" fillId="32" borderId="3" xfId="0" applyFont="1" applyFill="1" applyBorder="1" applyAlignment="1">
      <alignment horizontal="center" vertical="center" readingOrder="1"/>
    </xf>
    <xf numFmtId="0" fontId="96" fillId="22" borderId="3" xfId="0" applyFont="1" applyFill="1" applyBorder="1" applyAlignment="1">
      <alignment horizontal="left" vertical="center"/>
    </xf>
    <xf numFmtId="0" fontId="122" fillId="20" borderId="3" xfId="0" applyFont="1" applyFill="1" applyBorder="1" applyAlignment="1">
      <alignment horizontal="center" vertical="center"/>
    </xf>
    <xf numFmtId="0" fontId="96" fillId="0" borderId="5" xfId="0" applyFont="1" applyBorder="1" applyAlignment="1">
      <alignment horizontal="left" vertical="center"/>
    </xf>
    <xf numFmtId="3" fontId="96" fillId="32" borderId="3" xfId="0" applyNumberFormat="1" applyFont="1" applyFill="1" applyBorder="1" applyAlignment="1">
      <alignment horizontal="center" vertical="center" wrapText="1" readingOrder="1"/>
    </xf>
    <xf numFmtId="0" fontId="38" fillId="20" borderId="24" xfId="0" quotePrefix="1" applyFont="1" applyFill="1" applyBorder="1" applyAlignment="1">
      <alignment horizontal="left" vertical="center" wrapText="1" readingOrder="1"/>
    </xf>
    <xf numFmtId="0" fontId="96" fillId="20" borderId="3" xfId="0" applyFont="1" applyFill="1" applyBorder="1" applyAlignment="1">
      <alignment horizontal="left" vertical="center"/>
    </xf>
    <xf numFmtId="0" fontId="111" fillId="20" borderId="3" xfId="0" applyFont="1" applyFill="1" applyBorder="1" applyAlignment="1">
      <alignment horizontal="left" vertical="center" wrapText="1"/>
    </xf>
    <xf numFmtId="0" fontId="0" fillId="20" borderId="3" xfId="0" applyFill="1" applyBorder="1" applyAlignment="1">
      <alignment horizontal="left" vertical="center" wrapText="1"/>
    </xf>
    <xf numFmtId="0" fontId="112" fillId="20" borderId="3" xfId="0" quotePrefix="1" applyFont="1" applyFill="1" applyBorder="1" applyAlignment="1">
      <alignment horizontal="left" vertical="center" wrapText="1"/>
    </xf>
    <xf numFmtId="0" fontId="1" fillId="20" borderId="3" xfId="1" applyFill="1" applyBorder="1" applyAlignment="1">
      <alignment horizontal="left" vertical="center" wrapText="1"/>
    </xf>
    <xf numFmtId="0" fontId="112" fillId="20" borderId="3" xfId="0" applyFont="1" applyFill="1" applyBorder="1" applyAlignment="1">
      <alignment horizontal="left" vertical="center" wrapText="1"/>
    </xf>
    <xf numFmtId="4" fontId="112" fillId="20" borderId="11" xfId="0" applyNumberFormat="1" applyFont="1" applyFill="1" applyBorder="1" applyAlignment="1">
      <alignment horizontal="right" vertical="center" wrapText="1"/>
    </xf>
    <xf numFmtId="0" fontId="96" fillId="20" borderId="11" xfId="0" applyFont="1" applyFill="1" applyBorder="1" applyAlignment="1">
      <alignment horizontal="left" vertical="center" wrapText="1"/>
    </xf>
    <xf numFmtId="3" fontId="96" fillId="32" borderId="5" xfId="0" applyNumberFormat="1" applyFont="1" applyFill="1" applyBorder="1" applyAlignment="1">
      <alignment horizontal="center" vertical="center" wrapText="1" readingOrder="1"/>
    </xf>
    <xf numFmtId="15" fontId="96" fillId="32" borderId="5" xfId="0" applyNumberFormat="1" applyFont="1" applyFill="1" applyBorder="1" applyAlignment="1">
      <alignment vertical="center" readingOrder="1"/>
    </xf>
    <xf numFmtId="0" fontId="96" fillId="32" borderId="5" xfId="0" applyFont="1" applyFill="1" applyBorder="1" applyAlignment="1">
      <alignment horizontal="center" vertical="center" readingOrder="1"/>
    </xf>
    <xf numFmtId="0" fontId="96" fillId="22" borderId="5" xfId="0" applyFont="1" applyFill="1" applyBorder="1" applyAlignment="1">
      <alignment horizontal="left" vertical="center"/>
    </xf>
    <xf numFmtId="0" fontId="122" fillId="20" borderId="5" xfId="0" applyFont="1" applyFill="1" applyBorder="1" applyAlignment="1">
      <alignment horizontal="center" vertical="center"/>
    </xf>
    <xf numFmtId="0" fontId="96" fillId="20" borderId="5" xfId="0" applyFont="1" applyFill="1" applyBorder="1" applyAlignment="1">
      <alignment horizontal="left" vertical="center"/>
    </xf>
    <xf numFmtId="0" fontId="109" fillId="29" borderId="7" xfId="0" applyFont="1" applyFill="1" applyBorder="1" applyAlignment="1">
      <alignment horizontal="left" vertical="center" wrapText="1"/>
    </xf>
    <xf numFmtId="0" fontId="96" fillId="32" borderId="5" xfId="0" applyFont="1" applyFill="1" applyBorder="1" applyAlignment="1">
      <alignment vertical="center" wrapText="1"/>
    </xf>
    <xf numFmtId="43" fontId="96" fillId="32" borderId="8" xfId="0" applyNumberFormat="1" applyFont="1" applyFill="1" applyBorder="1" applyAlignment="1">
      <alignment horizontal="right" vertical="center" wrapText="1" readingOrder="1"/>
    </xf>
    <xf numFmtId="0" fontId="96" fillId="0" borderId="3" xfId="0" applyFont="1" applyBorder="1" applyAlignment="1">
      <alignment horizontal="left" vertical="center"/>
    </xf>
    <xf numFmtId="0" fontId="109" fillId="29" borderId="3" xfId="0" applyFont="1" applyFill="1" applyBorder="1" applyAlignment="1">
      <alignment horizontal="left" vertical="center" wrapText="1"/>
    </xf>
    <xf numFmtId="0" fontId="109" fillId="0" borderId="3" xfId="0" applyFont="1" applyBorder="1" applyAlignment="1">
      <alignment horizontal="left" vertical="center" wrapText="1"/>
    </xf>
    <xf numFmtId="1" fontId="109" fillId="22" borderId="14" xfId="0" applyNumberFormat="1" applyFont="1" applyFill="1" applyBorder="1" applyAlignment="1">
      <alignment horizontal="center" vertical="center" wrapText="1"/>
    </xf>
    <xf numFmtId="1" fontId="110" fillId="0" borderId="5" xfId="0" applyNumberFormat="1" applyFont="1" applyBorder="1" applyAlignment="1">
      <alignment horizontal="center" vertical="center" wrapText="1"/>
    </xf>
    <xf numFmtId="0" fontId="96" fillId="0" borderId="10" xfId="0" applyFont="1" applyBorder="1" applyAlignment="1">
      <alignment horizontal="left" vertical="center" wrapText="1"/>
    </xf>
    <xf numFmtId="0" fontId="96" fillId="22" borderId="3" xfId="0" applyFont="1" applyFill="1" applyBorder="1" applyAlignment="1">
      <alignment horizontal="center" vertical="center" wrapText="1" readingOrder="1"/>
    </xf>
    <xf numFmtId="1" fontId="119" fillId="0" borderId="3" xfId="0" applyNumberFormat="1" applyFont="1" applyBorder="1" applyAlignment="1">
      <alignment horizontal="center" vertical="center" readingOrder="1"/>
    </xf>
    <xf numFmtId="14" fontId="124" fillId="0" borderId="3" xfId="0" applyNumberFormat="1" applyFont="1" applyBorder="1" applyAlignment="1">
      <alignment horizontal="center" vertical="center" wrapText="1" readingOrder="1"/>
    </xf>
    <xf numFmtId="0" fontId="125" fillId="0" borderId="3" xfId="0" applyFont="1" applyBorder="1" applyAlignment="1">
      <alignment horizontal="center" vertical="center" readingOrder="1"/>
    </xf>
    <xf numFmtId="0" fontId="12" fillId="34" borderId="3" xfId="0" applyFont="1" applyFill="1" applyBorder="1" applyAlignment="1">
      <alignment vertical="top" wrapText="1"/>
    </xf>
    <xf numFmtId="0" fontId="111" fillId="0" borderId="24" xfId="0" applyFont="1" applyBorder="1" applyAlignment="1">
      <alignment horizontal="left" vertical="center" wrapText="1"/>
    </xf>
    <xf numFmtId="3" fontId="112" fillId="0" borderId="5" xfId="0" applyNumberFormat="1" applyFont="1" applyBorder="1" applyAlignment="1">
      <alignment horizontal="right" vertical="center" wrapText="1"/>
    </xf>
    <xf numFmtId="0" fontId="123" fillId="19" borderId="3" xfId="0" applyFont="1" applyFill="1" applyBorder="1" applyAlignment="1">
      <alignment horizontal="left" vertical="center" wrapText="1" readingOrder="1"/>
    </xf>
    <xf numFmtId="43" fontId="96" fillId="32" borderId="11" xfId="0" applyNumberFormat="1" applyFont="1" applyFill="1" applyBorder="1" applyAlignment="1">
      <alignment horizontal="right" vertical="center" wrapText="1" readingOrder="1"/>
    </xf>
    <xf numFmtId="0" fontId="15" fillId="32" borderId="3" xfId="0" applyFont="1" applyFill="1" applyBorder="1" applyAlignment="1">
      <alignment horizontal="left" vertical="top" wrapText="1" readingOrder="1"/>
    </xf>
    <xf numFmtId="0" fontId="124" fillId="22" borderId="3" xfId="0" applyFont="1" applyFill="1" applyBorder="1" applyAlignment="1">
      <alignment horizontal="center" vertical="center" readingOrder="1"/>
    </xf>
    <xf numFmtId="1" fontId="127" fillId="22" borderId="3" xfId="0" applyNumberFormat="1" applyFont="1" applyFill="1" applyBorder="1" applyAlignment="1">
      <alignment horizontal="center" vertical="center" readingOrder="1"/>
    </xf>
    <xf numFmtId="1" fontId="127" fillId="33" borderId="3" xfId="0" applyNumberFormat="1" applyFont="1" applyFill="1" applyBorder="1" applyAlignment="1">
      <alignment horizontal="center" vertical="center" readingOrder="1"/>
    </xf>
    <xf numFmtId="1" fontId="128" fillId="22" borderId="3" xfId="0" applyNumberFormat="1" applyFont="1" applyFill="1" applyBorder="1" applyAlignment="1">
      <alignment horizontal="center" vertical="center" readingOrder="1"/>
    </xf>
    <xf numFmtId="1" fontId="109" fillId="22" borderId="12" xfId="0" applyNumberFormat="1" applyFont="1" applyFill="1" applyBorder="1" applyAlignment="1">
      <alignment horizontal="center" vertical="center" wrapText="1"/>
    </xf>
    <xf numFmtId="0" fontId="114" fillId="0" borderId="25" xfId="0" applyFont="1" applyBorder="1" applyAlignment="1">
      <alignment horizontal="left" vertical="center" wrapText="1"/>
    </xf>
    <xf numFmtId="0" fontId="114" fillId="0" borderId="7" xfId="0" applyFont="1" applyBorder="1" applyAlignment="1">
      <alignment horizontal="left" vertical="center" wrapText="1"/>
    </xf>
    <xf numFmtId="4" fontId="112" fillId="0" borderId="7" xfId="0" applyNumberFormat="1" applyFont="1" applyBorder="1" applyAlignment="1">
      <alignment horizontal="right" vertical="center" wrapText="1"/>
    </xf>
    <xf numFmtId="0" fontId="112" fillId="0" borderId="7" xfId="0" applyFont="1" applyBorder="1" applyAlignment="1">
      <alignment horizontal="left" vertical="center" wrapText="1"/>
    </xf>
    <xf numFmtId="0" fontId="96" fillId="0" borderId="9" xfId="0" applyFont="1" applyBorder="1" applyAlignment="1">
      <alignment horizontal="left" vertical="center" wrapText="1"/>
    </xf>
    <xf numFmtId="0" fontId="96" fillId="32" borderId="6" xfId="0" applyFont="1" applyFill="1" applyBorder="1" applyAlignment="1">
      <alignment horizontal="left" vertical="center" wrapText="1" readingOrder="1"/>
    </xf>
    <xf numFmtId="0" fontId="96" fillId="32" borderId="6" xfId="0" applyFont="1" applyFill="1" applyBorder="1" applyAlignment="1">
      <alignment horizontal="center" vertical="center" wrapText="1" readingOrder="1"/>
    </xf>
    <xf numFmtId="0" fontId="15" fillId="32" borderId="6" xfId="0" applyFont="1" applyFill="1" applyBorder="1" applyAlignment="1">
      <alignment horizontal="left" vertical="top" wrapText="1" readingOrder="1"/>
    </xf>
    <xf numFmtId="0" fontId="38" fillId="32" borderId="6" xfId="0" applyFont="1" applyFill="1" applyBorder="1" applyAlignment="1">
      <alignment horizontal="left" vertical="center" wrapText="1" readingOrder="1"/>
    </xf>
    <xf numFmtId="0" fontId="124" fillId="22" borderId="6" xfId="0" applyFont="1" applyFill="1" applyBorder="1" applyAlignment="1">
      <alignment horizontal="center" vertical="center" readingOrder="1"/>
    </xf>
    <xf numFmtId="1" fontId="127" fillId="22" borderId="6" xfId="0" applyNumberFormat="1" applyFont="1" applyFill="1" applyBorder="1" applyAlignment="1">
      <alignment horizontal="center" vertical="center" readingOrder="1"/>
    </xf>
    <xf numFmtId="1" fontId="127" fillId="33" borderId="6" xfId="0" applyNumberFormat="1" applyFont="1" applyFill="1" applyBorder="1" applyAlignment="1">
      <alignment horizontal="center" vertical="center" readingOrder="1"/>
    </xf>
    <xf numFmtId="1" fontId="128" fillId="22" borderId="6" xfId="0" applyNumberFormat="1" applyFont="1" applyFill="1" applyBorder="1" applyAlignment="1">
      <alignment horizontal="center" vertical="center" readingOrder="1"/>
    </xf>
    <xf numFmtId="0" fontId="96" fillId="22" borderId="6" xfId="0" applyFont="1" applyFill="1" applyBorder="1" applyAlignment="1">
      <alignment horizontal="center" vertical="center" readingOrder="1"/>
    </xf>
    <xf numFmtId="0" fontId="96" fillId="0" borderId="6" xfId="0" applyFont="1" applyBorder="1" applyAlignment="1">
      <alignment horizontal="center" vertical="center" readingOrder="1"/>
    </xf>
    <xf numFmtId="0" fontId="96" fillId="0" borderId="22" xfId="0" applyFont="1" applyBorder="1" applyAlignment="1">
      <alignment horizontal="center" vertical="center" readingOrder="1"/>
    </xf>
    <xf numFmtId="0" fontId="17" fillId="20" borderId="10" xfId="0" applyFont="1" applyFill="1" applyBorder="1" applyAlignment="1">
      <alignment horizontal="left" vertical="top" wrapText="1"/>
    </xf>
    <xf numFmtId="0" fontId="17" fillId="20" borderId="7" xfId="0" applyFont="1" applyFill="1" applyBorder="1" applyAlignment="1">
      <alignment horizontal="left" vertical="top" wrapText="1"/>
    </xf>
    <xf numFmtId="1" fontId="36" fillId="0" borderId="7" xfId="0" applyNumberFormat="1" applyFont="1" applyBorder="1" applyAlignment="1">
      <alignment horizontal="center" vertical="center" wrapText="1"/>
    </xf>
    <xf numFmtId="1" fontId="109" fillId="22" borderId="9" xfId="0" applyNumberFormat="1" applyFont="1" applyFill="1" applyBorder="1" applyAlignment="1">
      <alignment horizontal="center" vertical="center" wrapText="1"/>
    </xf>
    <xf numFmtId="1" fontId="110" fillId="0" borderId="6" xfId="0" applyNumberFormat="1" applyFont="1" applyBorder="1" applyAlignment="1">
      <alignment horizontal="center" vertical="center" wrapText="1"/>
    </xf>
    <xf numFmtId="0" fontId="112" fillId="0" borderId="6" xfId="0" applyFont="1" applyBorder="1" applyAlignment="1">
      <alignment horizontal="left" vertical="center" wrapText="1"/>
    </xf>
    <xf numFmtId="3" fontId="112" fillId="0" borderId="3" xfId="0" applyNumberFormat="1" applyFont="1" applyBorder="1" applyAlignment="1">
      <alignment horizontal="right" vertical="center" wrapText="1"/>
    </xf>
    <xf numFmtId="0" fontId="17" fillId="20" borderId="5" xfId="0" applyFont="1" applyFill="1" applyBorder="1" applyAlignment="1">
      <alignment horizontal="left" vertical="top" wrapText="1"/>
    </xf>
    <xf numFmtId="1" fontId="109" fillId="22" borderId="8" xfId="0" applyNumberFormat="1" applyFont="1" applyFill="1" applyBorder="1" applyAlignment="1">
      <alignment horizontal="center" vertical="center" wrapText="1"/>
    </xf>
    <xf numFmtId="0" fontId="114" fillId="0" borderId="22" xfId="0" applyFont="1" applyBorder="1" applyAlignment="1">
      <alignment horizontal="left" vertical="center" wrapText="1"/>
    </xf>
    <xf numFmtId="0" fontId="112" fillId="0" borderId="9" xfId="0" applyFont="1" applyBorder="1" applyAlignment="1">
      <alignment horizontal="left" vertical="center" wrapText="1"/>
    </xf>
    <xf numFmtId="0" fontId="109" fillId="32" borderId="3" xfId="0" applyFont="1" applyFill="1" applyBorder="1" applyAlignment="1">
      <alignment horizontal="center" vertical="center" wrapText="1" readingOrder="1"/>
    </xf>
    <xf numFmtId="15" fontId="96" fillId="33" borderId="6" xfId="0" applyNumberFormat="1" applyFont="1" applyFill="1" applyBorder="1" applyAlignment="1">
      <alignment vertical="center" readingOrder="1"/>
    </xf>
    <xf numFmtId="0" fontId="112" fillId="0" borderId="6" xfId="0" applyFont="1" applyBorder="1" applyAlignment="1">
      <alignment horizontal="right" vertical="center" wrapText="1"/>
    </xf>
    <xf numFmtId="1" fontId="17" fillId="22" borderId="8" xfId="0" applyNumberFormat="1" applyFont="1" applyFill="1" applyBorder="1" applyAlignment="1">
      <alignment horizontal="center" vertical="center" wrapText="1"/>
    </xf>
    <xf numFmtId="0" fontId="1" fillId="0" borderId="6" xfId="1" applyBorder="1" applyAlignment="1">
      <alignment horizontal="left" vertical="center" wrapText="1"/>
    </xf>
    <xf numFmtId="0" fontId="114" fillId="0" borderId="6" xfId="0" quotePrefix="1" applyFont="1" applyBorder="1" applyAlignment="1">
      <alignment horizontal="left" vertical="center" wrapText="1"/>
    </xf>
    <xf numFmtId="15" fontId="96" fillId="0" borderId="6" xfId="0" applyNumberFormat="1" applyFont="1" applyBorder="1" applyAlignment="1">
      <alignment horizontal="center" vertical="center" readingOrder="1"/>
    </xf>
    <xf numFmtId="0" fontId="96" fillId="32" borderId="22" xfId="0" applyFont="1" applyFill="1" applyBorder="1" applyAlignment="1">
      <alignment horizontal="left" vertical="center" wrapText="1" readingOrder="1"/>
    </xf>
    <xf numFmtId="1" fontId="109" fillId="22" borderId="3" xfId="0" applyNumberFormat="1" applyFont="1" applyFill="1" applyBorder="1" applyAlignment="1">
      <alignment horizontal="center" vertical="center" wrapText="1"/>
    </xf>
    <xf numFmtId="0" fontId="17" fillId="20" borderId="11" xfId="0" applyFont="1" applyFill="1" applyBorder="1" applyAlignment="1">
      <alignment horizontal="left" vertical="top" wrapText="1"/>
    </xf>
    <xf numFmtId="0" fontId="38" fillId="32" borderId="6" xfId="0" applyFont="1" applyFill="1" applyBorder="1" applyAlignment="1">
      <alignment horizontal="left" vertical="top" wrapText="1" readingOrder="1"/>
    </xf>
    <xf numFmtId="0" fontId="1" fillId="0" borderId="10" xfId="1" applyBorder="1" applyAlignment="1">
      <alignment horizontal="left" vertical="center" wrapText="1"/>
    </xf>
    <xf numFmtId="43" fontId="112" fillId="0" borderId="3" xfId="0" applyNumberFormat="1" applyFont="1" applyBorder="1" applyAlignment="1">
      <alignment horizontal="left" vertical="center" wrapText="1"/>
    </xf>
    <xf numFmtId="0" fontId="96" fillId="0" borderId="0" xfId="0" applyFont="1" applyAlignment="1">
      <alignment horizontal="left" vertical="center" wrapText="1"/>
    </xf>
    <xf numFmtId="15" fontId="131" fillId="32" borderId="3" xfId="0" applyNumberFormat="1" applyFont="1" applyFill="1" applyBorder="1" applyAlignment="1">
      <alignment horizontal="center" vertical="center" readingOrder="1"/>
    </xf>
    <xf numFmtId="0" fontId="128" fillId="22" borderId="12" xfId="0" applyFont="1" applyFill="1" applyBorder="1" applyAlignment="1">
      <alignment horizontal="center" vertical="center" readingOrder="1"/>
    </xf>
    <xf numFmtId="15" fontId="131" fillId="32" borderId="5" xfId="0" applyNumberFormat="1" applyFont="1" applyFill="1" applyBorder="1" applyAlignment="1">
      <alignment horizontal="center" vertical="center" readingOrder="1"/>
    </xf>
    <xf numFmtId="0" fontId="128" fillId="22" borderId="24" xfId="0" applyFont="1" applyFill="1" applyBorder="1" applyAlignment="1">
      <alignment horizontal="center" vertical="center" readingOrder="1"/>
    </xf>
    <xf numFmtId="1" fontId="127" fillId="22" borderId="7" xfId="0" applyNumberFormat="1" applyFont="1" applyFill="1" applyBorder="1" applyAlignment="1">
      <alignment horizontal="center" vertical="center" readingOrder="1"/>
    </xf>
    <xf numFmtId="1" fontId="128" fillId="22" borderId="7" xfId="0" applyNumberFormat="1" applyFont="1" applyFill="1" applyBorder="1" applyAlignment="1">
      <alignment horizontal="center" vertical="center" readingOrder="1"/>
    </xf>
    <xf numFmtId="0" fontId="96" fillId="0" borderId="5" xfId="0" applyFont="1" applyBorder="1" applyAlignment="1">
      <alignment horizontal="center" vertical="center" readingOrder="1"/>
    </xf>
    <xf numFmtId="0" fontId="96" fillId="0" borderId="25" xfId="0" applyFont="1" applyBorder="1" applyAlignment="1">
      <alignment horizontal="center" vertical="center" readingOrder="1"/>
    </xf>
    <xf numFmtId="0" fontId="36" fillId="19" borderId="5" xfId="0" applyFont="1" applyFill="1" applyBorder="1" applyAlignment="1">
      <alignment horizontal="left" vertical="center" wrapText="1"/>
    </xf>
    <xf numFmtId="1" fontId="109" fillId="22" borderId="5" xfId="0" applyNumberFormat="1" applyFont="1" applyFill="1" applyBorder="1" applyAlignment="1">
      <alignment horizontal="center" vertical="center" wrapText="1"/>
    </xf>
    <xf numFmtId="0" fontId="114" fillId="0" borderId="10" xfId="0" applyFont="1" applyBorder="1" applyAlignment="1">
      <alignment horizontal="left" vertical="center" wrapText="1"/>
    </xf>
    <xf numFmtId="0" fontId="38" fillId="32" borderId="10" xfId="0" applyFont="1" applyFill="1" applyBorder="1" applyAlignment="1">
      <alignment horizontal="left" vertical="top" wrapText="1" readingOrder="1"/>
    </xf>
    <xf numFmtId="0" fontId="128" fillId="22" borderId="3" xfId="0" applyFont="1" applyFill="1" applyBorder="1" applyAlignment="1">
      <alignment horizontal="center" vertical="center" readingOrder="1"/>
    </xf>
    <xf numFmtId="1" fontId="133" fillId="22" borderId="3" xfId="0" applyNumberFormat="1" applyFont="1" applyFill="1" applyBorder="1" applyAlignment="1">
      <alignment horizontal="center" vertical="center" readingOrder="1"/>
    </xf>
    <xf numFmtId="4" fontId="112" fillId="0" borderId="10" xfId="0" applyNumberFormat="1" applyFont="1" applyBorder="1" applyAlignment="1">
      <alignment horizontal="right" vertical="center" wrapText="1"/>
    </xf>
    <xf numFmtId="43" fontId="112" fillId="0" borderId="0" xfId="0" applyNumberFormat="1" applyFont="1" applyAlignment="1">
      <alignment horizontal="left" vertical="center" wrapText="1"/>
    </xf>
    <xf numFmtId="0" fontId="96" fillId="0" borderId="3" xfId="0" applyFont="1" applyBorder="1" applyAlignment="1">
      <alignment horizontal="left" vertical="center" wrapText="1"/>
    </xf>
    <xf numFmtId="0" fontId="0" fillId="0" borderId="12" xfId="0" applyBorder="1" applyAlignment="1">
      <alignment horizontal="left" vertical="center" indent="1"/>
    </xf>
    <xf numFmtId="1" fontId="133" fillId="22" borderId="6" xfId="0" applyNumberFormat="1" applyFont="1" applyFill="1" applyBorder="1" applyAlignment="1">
      <alignment horizontal="center" vertical="center" readingOrder="1"/>
    </xf>
    <xf numFmtId="3" fontId="112" fillId="0" borderId="10" xfId="0" applyNumberFormat="1" applyFont="1" applyBorder="1" applyAlignment="1">
      <alignment horizontal="right" vertical="center" wrapText="1"/>
    </xf>
    <xf numFmtId="43" fontId="112" fillId="0" borderId="23" xfId="0" applyNumberFormat="1" applyFont="1" applyBorder="1" applyAlignment="1">
      <alignment horizontal="left" vertical="center" wrapText="1"/>
    </xf>
    <xf numFmtId="0" fontId="124" fillId="22" borderId="7" xfId="0" applyFont="1" applyFill="1" applyBorder="1" applyAlignment="1">
      <alignment horizontal="center" vertical="center" readingOrder="1"/>
    </xf>
    <xf numFmtId="0" fontId="96" fillId="22" borderId="7" xfId="0" applyFont="1" applyFill="1" applyBorder="1" applyAlignment="1">
      <alignment horizontal="center" vertical="center" readingOrder="1"/>
    </xf>
    <xf numFmtId="0" fontId="96" fillId="0" borderId="7" xfId="0" applyFont="1" applyBorder="1" applyAlignment="1">
      <alignment horizontal="center" vertical="center" readingOrder="1"/>
    </xf>
    <xf numFmtId="15" fontId="96" fillId="0" borderId="3" xfId="0" applyNumberFormat="1" applyFont="1" applyBorder="1" applyAlignment="1">
      <alignment horizontal="left" vertical="center" wrapText="1"/>
    </xf>
    <xf numFmtId="0" fontId="96" fillId="32" borderId="25" xfId="0" applyFont="1" applyFill="1" applyBorder="1" applyAlignment="1">
      <alignment horizontal="left" vertical="center" wrapText="1" readingOrder="1"/>
    </xf>
    <xf numFmtId="169" fontId="96" fillId="32" borderId="7" xfId="0" applyNumberFormat="1" applyFont="1" applyFill="1" applyBorder="1" applyAlignment="1">
      <alignment horizontal="center" vertical="center" wrapText="1" readingOrder="1"/>
    </xf>
    <xf numFmtId="0" fontId="15" fillId="32" borderId="7" xfId="0" applyFont="1" applyFill="1" applyBorder="1" applyAlignment="1">
      <alignment horizontal="left" vertical="top" wrapText="1" readingOrder="1"/>
    </xf>
    <xf numFmtId="0" fontId="38" fillId="32" borderId="7" xfId="0" applyFont="1" applyFill="1" applyBorder="1" applyAlignment="1">
      <alignment horizontal="left" vertical="top" wrapText="1" readingOrder="1"/>
    </xf>
    <xf numFmtId="0" fontId="38" fillId="32" borderId="9" xfId="0" applyFont="1" applyFill="1" applyBorder="1" applyAlignment="1">
      <alignment horizontal="left" vertical="top" wrapText="1" readingOrder="1"/>
    </xf>
    <xf numFmtId="0" fontId="17" fillId="20" borderId="8" xfId="0" applyFont="1" applyFill="1" applyBorder="1" applyAlignment="1">
      <alignment horizontal="left" vertical="top" wrapText="1"/>
    </xf>
    <xf numFmtId="0" fontId="38" fillId="32" borderId="11" xfId="0" applyFont="1" applyFill="1" applyBorder="1" applyAlignment="1">
      <alignment horizontal="left" vertical="top" wrapText="1" readingOrder="1"/>
    </xf>
    <xf numFmtId="0" fontId="96" fillId="0" borderId="12" xfId="0" applyFont="1" applyBorder="1" applyAlignment="1">
      <alignment horizontal="center" vertical="center" readingOrder="1"/>
    </xf>
    <xf numFmtId="0" fontId="12" fillId="20" borderId="3" xfId="0" applyFont="1" applyFill="1" applyBorder="1" applyAlignment="1">
      <alignment horizontal="left" vertical="top" wrapText="1"/>
    </xf>
    <xf numFmtId="1" fontId="110" fillId="0" borderId="11" xfId="0" applyNumberFormat="1" applyFont="1" applyBorder="1" applyAlignment="1">
      <alignment horizontal="center" vertical="center" wrapText="1"/>
    </xf>
    <xf numFmtId="0" fontId="114" fillId="0" borderId="12" xfId="0" applyFont="1" applyBorder="1" applyAlignment="1">
      <alignment horizontal="left" vertical="center" wrapText="1"/>
    </xf>
    <xf numFmtId="0" fontId="1" fillId="0" borderId="34" xfId="1" applyBorder="1" applyAlignment="1">
      <alignment horizontal="center" vertical="center" wrapText="1"/>
    </xf>
    <xf numFmtId="1" fontId="135" fillId="33" borderId="3" xfId="0" applyNumberFormat="1" applyFont="1" applyFill="1" applyBorder="1" applyAlignment="1">
      <alignment horizontal="center" vertical="center" readingOrder="1"/>
    </xf>
    <xf numFmtId="0" fontId="136" fillId="0" borderId="6" xfId="0" applyFont="1" applyBorder="1" applyAlignment="1">
      <alignment horizontal="left" vertical="center" wrapText="1"/>
    </xf>
    <xf numFmtId="0" fontId="15" fillId="32" borderId="10" xfId="0" applyFont="1" applyFill="1" applyBorder="1" applyAlignment="1">
      <alignment horizontal="left" vertical="top" wrapText="1" readingOrder="1"/>
    </xf>
    <xf numFmtId="0" fontId="38" fillId="32" borderId="14" xfId="0" applyFont="1" applyFill="1" applyBorder="1" applyAlignment="1">
      <alignment horizontal="left" vertical="top" wrapText="1" readingOrder="1"/>
    </xf>
    <xf numFmtId="1" fontId="109" fillId="0" borderId="11" xfId="0" applyNumberFormat="1" applyFont="1" applyBorder="1" applyAlignment="1">
      <alignment horizontal="center" vertical="center" wrapText="1"/>
    </xf>
    <xf numFmtId="1" fontId="135" fillId="33" borderId="6" xfId="0" applyNumberFormat="1" applyFont="1" applyFill="1" applyBorder="1" applyAlignment="1">
      <alignment horizontal="center" vertical="center" readingOrder="1"/>
    </xf>
    <xf numFmtId="0" fontId="17" fillId="20" borderId="6" xfId="0" applyFont="1" applyFill="1" applyBorder="1" applyAlignment="1">
      <alignment horizontal="left" vertical="top" wrapText="1"/>
    </xf>
    <xf numFmtId="3" fontId="112" fillId="0" borderId="6" xfId="0" applyNumberFormat="1" applyFont="1" applyBorder="1" applyAlignment="1">
      <alignment horizontal="right" vertical="center" wrapText="1"/>
    </xf>
    <xf numFmtId="15" fontId="96" fillId="0" borderId="9" xfId="0" applyNumberFormat="1" applyFont="1" applyBorder="1" applyAlignment="1">
      <alignment horizontal="left" vertical="center" wrapText="1"/>
    </xf>
    <xf numFmtId="0" fontId="109" fillId="19" borderId="6" xfId="0" applyFont="1" applyFill="1" applyBorder="1" applyAlignment="1">
      <alignment horizontal="left" vertical="top" wrapText="1" readingOrder="1"/>
    </xf>
    <xf numFmtId="0" fontId="38" fillId="32" borderId="13" xfId="0" applyFont="1" applyFill="1" applyBorder="1" applyAlignment="1">
      <alignment horizontal="left" vertical="top" wrapText="1" readingOrder="1"/>
    </xf>
    <xf numFmtId="1" fontId="36" fillId="0" borderId="6" xfId="0" applyNumberFormat="1" applyFont="1" applyBorder="1" applyAlignment="1">
      <alignment horizontal="center" vertical="center" wrapText="1"/>
    </xf>
    <xf numFmtId="0" fontId="109" fillId="35" borderId="6" xfId="0" applyFont="1" applyFill="1" applyBorder="1" applyAlignment="1">
      <alignment horizontal="left" vertical="center" wrapText="1" readingOrder="1"/>
    </xf>
    <xf numFmtId="0" fontId="124" fillId="32" borderId="3" xfId="0" applyFont="1" applyFill="1" applyBorder="1" applyAlignment="1">
      <alignment horizontal="center" vertical="center" readingOrder="1"/>
    </xf>
    <xf numFmtId="1" fontId="127" fillId="32" borderId="3" xfId="0" applyNumberFormat="1" applyFont="1" applyFill="1" applyBorder="1" applyAlignment="1">
      <alignment horizontal="center" vertical="center" readingOrder="1"/>
    </xf>
    <xf numFmtId="1" fontId="119" fillId="33" borderId="6" xfId="0" applyNumberFormat="1" applyFont="1" applyFill="1" applyBorder="1" applyAlignment="1">
      <alignment horizontal="center" vertical="center" readingOrder="1"/>
    </xf>
    <xf numFmtId="15" fontId="96" fillId="20" borderId="6" xfId="0" applyNumberFormat="1" applyFont="1" applyFill="1" applyBorder="1" applyAlignment="1">
      <alignment horizontal="center" vertical="center" readingOrder="1"/>
    </xf>
    <xf numFmtId="0" fontId="96" fillId="10" borderId="6" xfId="0" applyFont="1" applyFill="1" applyBorder="1" applyAlignment="1">
      <alignment horizontal="center" vertical="center" readingOrder="1"/>
    </xf>
    <xf numFmtId="43" fontId="112" fillId="0" borderId="9" xfId="0" applyNumberFormat="1" applyFont="1" applyBorder="1" applyAlignment="1">
      <alignment horizontal="left" vertical="center" wrapText="1"/>
    </xf>
    <xf numFmtId="0" fontId="125" fillId="27" borderId="6" xfId="0" applyFont="1" applyFill="1" applyBorder="1" applyAlignment="1">
      <alignment horizontal="left" vertical="center" readingOrder="1"/>
    </xf>
    <xf numFmtId="0" fontId="109" fillId="27" borderId="6" xfId="0" applyFont="1" applyFill="1" applyBorder="1" applyAlignment="1">
      <alignment horizontal="left" vertical="center" readingOrder="1"/>
    </xf>
    <xf numFmtId="43" fontId="96" fillId="27" borderId="6" xfId="0" applyNumberFormat="1" applyFont="1" applyFill="1" applyBorder="1" applyAlignment="1">
      <alignment horizontal="right" vertical="center" wrapText="1" readingOrder="1"/>
    </xf>
    <xf numFmtId="0" fontId="109" fillId="27" borderId="6" xfId="0" applyFont="1" applyFill="1" applyBorder="1" applyAlignment="1">
      <alignment horizontal="left" vertical="center" wrapText="1" readingOrder="1"/>
    </xf>
    <xf numFmtId="0" fontId="109" fillId="27" borderId="6" xfId="0" applyFont="1" applyFill="1" applyBorder="1" applyAlignment="1">
      <alignment horizontal="left" vertical="top" readingOrder="1"/>
    </xf>
    <xf numFmtId="0" fontId="96" fillId="4" borderId="6" xfId="0" applyFont="1" applyFill="1" applyBorder="1"/>
    <xf numFmtId="0" fontId="36" fillId="27" borderId="6" xfId="0" applyFont="1" applyFill="1" applyBorder="1" applyAlignment="1">
      <alignment horizontal="left" vertical="center" readingOrder="1"/>
    </xf>
    <xf numFmtId="0" fontId="108" fillId="27" borderId="6" xfId="0" applyFont="1" applyFill="1" applyBorder="1" applyAlignment="1">
      <alignment horizontal="left" vertical="center" readingOrder="1"/>
    </xf>
    <xf numFmtId="0" fontId="114" fillId="27" borderId="22" xfId="0" applyFont="1" applyFill="1" applyBorder="1" applyAlignment="1">
      <alignment horizontal="left" vertical="center" wrapText="1"/>
    </xf>
    <xf numFmtId="0" fontId="114" fillId="27" borderId="6" xfId="0" applyFont="1" applyFill="1" applyBorder="1" applyAlignment="1">
      <alignment horizontal="left" vertical="center" wrapText="1"/>
    </xf>
    <xf numFmtId="0" fontId="115" fillId="27" borderId="6" xfId="1" applyFont="1" applyFill="1" applyBorder="1" applyAlignment="1">
      <alignment wrapText="1"/>
    </xf>
    <xf numFmtId="0" fontId="112" fillId="27" borderId="6" xfId="0" applyFont="1" applyFill="1" applyBorder="1" applyAlignment="1">
      <alignment wrapText="1"/>
    </xf>
    <xf numFmtId="0" fontId="112" fillId="27" borderId="6" xfId="0" applyFont="1" applyFill="1" applyBorder="1" applyAlignment="1">
      <alignment horizontal="right" wrapText="1"/>
    </xf>
    <xf numFmtId="0" fontId="112" fillId="27" borderId="9" xfId="0" applyFont="1" applyFill="1" applyBorder="1" applyAlignment="1">
      <alignment wrapText="1"/>
    </xf>
    <xf numFmtId="0" fontId="109" fillId="27" borderId="9" xfId="0" applyFont="1" applyFill="1" applyBorder="1" applyAlignment="1">
      <alignment horizontal="left" vertical="center" wrapText="1" readingOrder="1"/>
    </xf>
    <xf numFmtId="1" fontId="137" fillId="22" borderId="6" xfId="0" applyNumberFormat="1" applyFont="1" applyFill="1" applyBorder="1" applyAlignment="1">
      <alignment horizontal="center" vertical="center" readingOrder="1"/>
    </xf>
    <xf numFmtId="0" fontId="138" fillId="33" borderId="6" xfId="0" applyFont="1" applyFill="1" applyBorder="1" applyAlignment="1">
      <alignment horizontal="center" vertical="center" readingOrder="1"/>
    </xf>
    <xf numFmtId="1" fontId="109" fillId="22" borderId="6" xfId="0" applyNumberFormat="1" applyFont="1" applyFill="1" applyBorder="1" applyAlignment="1">
      <alignment horizontal="center" vertical="center" readingOrder="1"/>
    </xf>
    <xf numFmtId="0" fontId="12" fillId="0" borderId="9" xfId="0" applyFont="1" applyBorder="1" applyAlignment="1">
      <alignment horizontal="left" vertical="top" wrapText="1"/>
    </xf>
    <xf numFmtId="0" fontId="36" fillId="19" borderId="10" xfId="0" applyFont="1" applyFill="1" applyBorder="1" applyAlignment="1">
      <alignment horizontal="left" vertical="center" wrapText="1"/>
    </xf>
    <xf numFmtId="43" fontId="112" fillId="0" borderId="11" xfId="0" applyNumberFormat="1" applyFont="1" applyBorder="1" applyAlignment="1">
      <alignment horizontal="right" vertical="center" wrapText="1"/>
    </xf>
    <xf numFmtId="0" fontId="96" fillId="32" borderId="14" xfId="0" applyFont="1" applyFill="1" applyBorder="1" applyAlignment="1">
      <alignment horizontal="left" vertical="center" wrapText="1" readingOrder="1"/>
    </xf>
    <xf numFmtId="0" fontId="96" fillId="32" borderId="11" xfId="0" applyFont="1" applyFill="1" applyBorder="1" applyAlignment="1">
      <alignment horizontal="left" vertical="center" wrapText="1" readingOrder="1"/>
    </xf>
    <xf numFmtId="0" fontId="96" fillId="22" borderId="12" xfId="0" applyFont="1" applyFill="1" applyBorder="1" applyAlignment="1">
      <alignment horizontal="center" vertical="center" wrapText="1" readingOrder="1"/>
    </xf>
    <xf numFmtId="1" fontId="137" fillId="22" borderId="3" xfId="0" applyNumberFormat="1" applyFont="1" applyFill="1" applyBorder="1" applyAlignment="1">
      <alignment horizontal="center" vertical="center" wrapText="1" readingOrder="1"/>
    </xf>
    <xf numFmtId="0" fontId="138" fillId="33" borderId="3" xfId="0" applyFont="1" applyFill="1" applyBorder="1" applyAlignment="1">
      <alignment horizontal="center" vertical="center" readingOrder="1"/>
    </xf>
    <xf numFmtId="1" fontId="109" fillId="22" borderId="3" xfId="0" applyNumberFormat="1" applyFont="1" applyFill="1" applyBorder="1" applyAlignment="1">
      <alignment horizontal="center" vertical="center" wrapText="1" readingOrder="1"/>
    </xf>
    <xf numFmtId="0" fontId="12" fillId="34" borderId="5" xfId="0" applyFont="1" applyFill="1" applyBorder="1" applyAlignment="1">
      <alignment vertical="top" wrapText="1"/>
    </xf>
    <xf numFmtId="0" fontId="139" fillId="3" borderId="0" xfId="0" applyFont="1" applyFill="1" applyAlignment="1">
      <alignment wrapText="1"/>
    </xf>
    <xf numFmtId="1" fontId="137" fillId="22" borderId="3" xfId="0" applyNumberFormat="1" applyFont="1" applyFill="1" applyBorder="1" applyAlignment="1">
      <alignment horizontal="center" vertical="center" readingOrder="1"/>
    </xf>
    <xf numFmtId="0" fontId="17" fillId="0" borderId="3" xfId="0" applyFont="1" applyBorder="1" applyAlignment="1">
      <alignment horizontal="left" vertical="center" wrapText="1"/>
    </xf>
    <xf numFmtId="4" fontId="112" fillId="0" borderId="11" xfId="0" applyNumberFormat="1" applyFont="1" applyBorder="1" applyAlignment="1">
      <alignment horizontal="right" vertical="center" wrapText="1"/>
    </xf>
    <xf numFmtId="0" fontId="17" fillId="0" borderId="3" xfId="0" applyFont="1" applyBorder="1" applyAlignment="1">
      <alignment horizontal="left" vertical="top" wrapText="1"/>
    </xf>
    <xf numFmtId="0" fontId="112" fillId="0" borderId="11" xfId="0" applyFont="1" applyBorder="1" applyAlignment="1">
      <alignment horizontal="right" vertical="center" wrapText="1"/>
    </xf>
    <xf numFmtId="49" fontId="96" fillId="32" borderId="8" xfId="0" applyNumberFormat="1" applyFont="1" applyFill="1" applyBorder="1" applyAlignment="1">
      <alignment horizontal="center" vertical="center" wrapText="1" readingOrder="1"/>
    </xf>
    <xf numFmtId="43" fontId="96" fillId="32" borderId="7" xfId="0" applyNumberFormat="1" applyFont="1" applyFill="1" applyBorder="1" applyAlignment="1">
      <alignment horizontal="right" vertical="center" wrapText="1" readingOrder="1"/>
    </xf>
    <xf numFmtId="0" fontId="12" fillId="34" borderId="5" xfId="0" applyFont="1" applyFill="1" applyBorder="1" applyAlignment="1">
      <alignment horizontal="left" vertical="top" wrapText="1"/>
    </xf>
    <xf numFmtId="0" fontId="114" fillId="0" borderId="0" xfId="0" quotePrefix="1" applyFont="1" applyAlignment="1">
      <alignment vertical="center"/>
    </xf>
    <xf numFmtId="0" fontId="0" fillId="0" borderId="5" xfId="0" applyBorder="1" applyAlignment="1">
      <alignment horizontal="left" vertical="center" indent="1"/>
    </xf>
    <xf numFmtId="0" fontId="4" fillId="0" borderId="5" xfId="0" applyFont="1" applyBorder="1" applyAlignment="1">
      <alignment horizontal="left" vertical="center"/>
    </xf>
    <xf numFmtId="49" fontId="96" fillId="32" borderId="5" xfId="0" applyNumberFormat="1" applyFont="1" applyFill="1" applyBorder="1" applyAlignment="1">
      <alignment horizontal="center" vertical="center" wrapText="1" readingOrder="1"/>
    </xf>
    <xf numFmtId="0" fontId="109" fillId="19" borderId="5" xfId="0" applyFont="1" applyFill="1" applyBorder="1" applyAlignment="1">
      <alignment vertical="center" wrapText="1"/>
    </xf>
    <xf numFmtId="0" fontId="96" fillId="32" borderId="8" xfId="0" applyFont="1" applyFill="1" applyBorder="1" applyAlignment="1">
      <alignment horizontal="center" vertical="center" wrapText="1" readingOrder="1"/>
    </xf>
    <xf numFmtId="0" fontId="96" fillId="32" borderId="5" xfId="0" applyFont="1" applyFill="1" applyBorder="1" applyAlignment="1">
      <alignment horizontal="center" vertical="center" wrapText="1"/>
    </xf>
    <xf numFmtId="0" fontId="96" fillId="32" borderId="24" xfId="0" applyFont="1" applyFill="1" applyBorder="1" applyAlignment="1">
      <alignment horizontal="left" vertical="center" wrapText="1" readingOrder="1"/>
    </xf>
    <xf numFmtId="1" fontId="137" fillId="22" borderId="5" xfId="0" applyNumberFormat="1" applyFont="1" applyFill="1" applyBorder="1" applyAlignment="1">
      <alignment horizontal="center" vertical="center" readingOrder="1"/>
    </xf>
    <xf numFmtId="0" fontId="138" fillId="33" borderId="5" xfId="0" applyFont="1" applyFill="1" applyBorder="1" applyAlignment="1">
      <alignment horizontal="center" vertical="center" readingOrder="1"/>
    </xf>
    <xf numFmtId="0" fontId="140" fillId="0" borderId="5" xfId="0" applyFont="1" applyBorder="1" applyAlignment="1">
      <alignment horizontal="center" vertical="center"/>
    </xf>
    <xf numFmtId="0" fontId="96" fillId="0" borderId="8" xfId="0" applyFont="1" applyBorder="1" applyAlignment="1">
      <alignment horizontal="left" vertical="center"/>
    </xf>
    <xf numFmtId="0" fontId="17" fillId="0" borderId="24" xfId="0" applyFont="1" applyBorder="1" applyAlignment="1">
      <alignment horizontal="left" vertical="top" wrapText="1"/>
    </xf>
    <xf numFmtId="0" fontId="36" fillId="19" borderId="5" xfId="0" applyFont="1" applyFill="1" applyBorder="1" applyAlignment="1">
      <alignment horizontal="center" vertical="top" wrapText="1"/>
    </xf>
    <xf numFmtId="3" fontId="112" fillId="0" borderId="8" xfId="0" applyNumberFormat="1" applyFont="1" applyBorder="1" applyAlignment="1">
      <alignment horizontal="right" vertical="center" wrapText="1"/>
    </xf>
    <xf numFmtId="49" fontId="96" fillId="32" borderId="8" xfId="0" quotePrefix="1" applyNumberFormat="1" applyFont="1" applyFill="1" applyBorder="1" applyAlignment="1">
      <alignment horizontal="center" vertical="center" wrapText="1" readingOrder="1"/>
    </xf>
    <xf numFmtId="43" fontId="96" fillId="32" borderId="23" xfId="0" applyNumberFormat="1" applyFont="1" applyFill="1" applyBorder="1" applyAlignment="1">
      <alignment horizontal="right" vertical="center" wrapText="1" readingOrder="1"/>
    </xf>
    <xf numFmtId="0" fontId="96" fillId="32" borderId="5" xfId="0" applyFont="1" applyFill="1" applyBorder="1" applyAlignment="1">
      <alignment horizontal="left" vertical="top" wrapText="1" readingOrder="1"/>
    </xf>
    <xf numFmtId="1" fontId="138" fillId="32" borderId="5" xfId="0" applyNumberFormat="1" applyFont="1" applyFill="1" applyBorder="1" applyAlignment="1">
      <alignment horizontal="center" vertical="center" readingOrder="1"/>
    </xf>
    <xf numFmtId="0" fontId="140" fillId="0" borderId="5" xfId="0" applyFont="1" applyBorder="1" applyAlignment="1">
      <alignment horizontal="center" vertical="center" readingOrder="1"/>
    </xf>
    <xf numFmtId="0" fontId="12" fillId="0" borderId="5" xfId="0" applyFont="1" applyBorder="1" applyAlignment="1">
      <alignment horizontal="left" vertical="top" wrapText="1"/>
    </xf>
    <xf numFmtId="0" fontId="114" fillId="0" borderId="24" xfId="0" applyFont="1" applyBorder="1" applyAlignment="1">
      <alignment horizontal="left" vertical="center" wrapText="1"/>
    </xf>
    <xf numFmtId="1" fontId="138" fillId="22" borderId="3" xfId="0" applyNumberFormat="1" applyFont="1" applyFill="1" applyBorder="1" applyAlignment="1">
      <alignment horizontal="center" vertical="center" readingOrder="1"/>
    </xf>
    <xf numFmtId="1" fontId="138" fillId="32" borderId="3" xfId="0" applyNumberFormat="1" applyFont="1" applyFill="1" applyBorder="1" applyAlignment="1">
      <alignment horizontal="center" vertical="center" readingOrder="1"/>
    </xf>
    <xf numFmtId="0" fontId="140" fillId="0" borderId="3" xfId="0" applyFont="1" applyBorder="1" applyAlignment="1">
      <alignment horizontal="center" vertical="center" readingOrder="1"/>
    </xf>
    <xf numFmtId="0" fontId="17" fillId="34" borderId="3" xfId="0" applyFont="1" applyFill="1" applyBorder="1" applyAlignment="1">
      <alignment vertical="top" wrapText="1"/>
    </xf>
    <xf numFmtId="1" fontId="36" fillId="0" borderId="12" xfId="0" applyNumberFormat="1" applyFont="1" applyBorder="1" applyAlignment="1">
      <alignment horizontal="center" vertical="top" wrapText="1"/>
    </xf>
    <xf numFmtId="1" fontId="119" fillId="22" borderId="24" xfId="0" applyNumberFormat="1" applyFont="1" applyFill="1" applyBorder="1" applyAlignment="1">
      <alignment horizontal="center" vertical="center" readingOrder="1"/>
    </xf>
    <xf numFmtId="1" fontId="110" fillId="0" borderId="5" xfId="0" applyNumberFormat="1" applyFont="1" applyBorder="1" applyAlignment="1">
      <alignment horizontal="center" vertical="top" wrapText="1"/>
    </xf>
    <xf numFmtId="0" fontId="114" fillId="0" borderId="7" xfId="0" applyFont="1" applyBorder="1" applyAlignment="1">
      <alignment vertical="top" wrapText="1"/>
    </xf>
    <xf numFmtId="0" fontId="114" fillId="0" borderId="7" xfId="0" applyFont="1" applyBorder="1" applyAlignment="1">
      <alignment wrapText="1"/>
    </xf>
    <xf numFmtId="0" fontId="112" fillId="0" borderId="7" xfId="0" applyFont="1" applyBorder="1" applyAlignment="1">
      <alignment vertical="top" wrapText="1"/>
    </xf>
    <xf numFmtId="0" fontId="1" fillId="0" borderId="7" xfId="1" applyBorder="1" applyAlignment="1">
      <alignment vertical="top" wrapText="1"/>
    </xf>
    <xf numFmtId="0" fontId="112" fillId="0" borderId="7" xfId="0" quotePrefix="1" applyFont="1" applyBorder="1" applyAlignment="1">
      <alignment vertical="top" wrapText="1"/>
    </xf>
    <xf numFmtId="43" fontId="112" fillId="0" borderId="9" xfId="0" applyNumberFormat="1" applyFont="1" applyBorder="1" applyAlignment="1">
      <alignment horizontal="right" vertical="top" wrapText="1"/>
    </xf>
    <xf numFmtId="0" fontId="112" fillId="0" borderId="5" xfId="0" applyFont="1" applyBorder="1" applyAlignment="1">
      <alignment vertical="top" wrapText="1"/>
    </xf>
    <xf numFmtId="0" fontId="96" fillId="0" borderId="8" xfId="0" applyFont="1" applyBorder="1" applyAlignment="1">
      <alignment wrapText="1"/>
    </xf>
    <xf numFmtId="0" fontId="4" fillId="0" borderId="5" xfId="0" applyFont="1" applyBorder="1" applyAlignment="1">
      <alignment vertical="center"/>
    </xf>
    <xf numFmtId="1" fontId="138" fillId="33" borderId="3" xfId="0" applyNumberFormat="1" applyFont="1" applyFill="1" applyBorder="1" applyAlignment="1">
      <alignment horizontal="center" vertical="center" readingOrder="1"/>
    </xf>
    <xf numFmtId="0" fontId="96" fillId="0" borderId="3" xfId="0" applyFont="1" applyBorder="1"/>
    <xf numFmtId="1" fontId="36" fillId="0" borderId="24" xfId="0" applyNumberFormat="1" applyFont="1" applyBorder="1" applyAlignment="1">
      <alignment horizontal="center" vertical="center" wrapText="1"/>
    </xf>
    <xf numFmtId="0" fontId="114" fillId="0" borderId="6" xfId="0" applyFont="1" applyBorder="1" applyAlignment="1">
      <alignment wrapText="1"/>
    </xf>
    <xf numFmtId="0" fontId="112" fillId="0" borderId="6" xfId="0" applyFont="1" applyBorder="1" applyAlignment="1">
      <alignment wrapText="1"/>
    </xf>
    <xf numFmtId="0" fontId="112" fillId="0" borderId="6" xfId="0" applyFont="1" applyBorder="1" applyAlignment="1">
      <alignment vertical="center" wrapText="1"/>
    </xf>
    <xf numFmtId="0" fontId="96" fillId="0" borderId="10" xfId="0" applyFont="1" applyBorder="1" applyAlignment="1">
      <alignment wrapText="1"/>
    </xf>
    <xf numFmtId="0" fontId="12" fillId="0" borderId="3" xfId="0" applyFont="1" applyBorder="1" applyAlignment="1">
      <alignment vertical="top" wrapText="1"/>
    </xf>
    <xf numFmtId="1" fontId="36" fillId="0" borderId="12" xfId="0" applyNumberFormat="1" applyFont="1" applyBorder="1" applyAlignment="1">
      <alignment horizontal="center" vertical="center" wrapText="1"/>
    </xf>
    <xf numFmtId="0" fontId="114" fillId="0" borderId="5" xfId="0" applyFont="1" applyBorder="1" applyAlignment="1">
      <alignment vertical="top" wrapText="1"/>
    </xf>
    <xf numFmtId="0" fontId="114" fillId="0" borderId="5" xfId="0" applyFont="1" applyBorder="1" applyAlignment="1">
      <alignment wrapText="1"/>
    </xf>
    <xf numFmtId="0" fontId="112" fillId="0" borderId="5" xfId="0" applyFont="1" applyBorder="1" applyAlignment="1">
      <alignment wrapText="1"/>
    </xf>
    <xf numFmtId="43" fontId="112" fillId="0" borderId="8" xfId="0" applyNumberFormat="1" applyFont="1" applyBorder="1" applyAlignment="1">
      <alignment horizontal="right" vertical="top" wrapText="1"/>
    </xf>
    <xf numFmtId="49" fontId="96" fillId="32" borderId="11" xfId="0" quotePrefix="1" applyNumberFormat="1" applyFont="1" applyFill="1" applyBorder="1" applyAlignment="1">
      <alignment horizontal="center" vertical="center" wrapText="1" readingOrder="1"/>
    </xf>
    <xf numFmtId="0" fontId="96" fillId="32" borderId="6" xfId="0" applyFont="1" applyFill="1" applyBorder="1" applyAlignment="1">
      <alignment horizontal="left" vertical="top" wrapText="1" readingOrder="1"/>
    </xf>
    <xf numFmtId="1" fontId="138" fillId="33" borderId="6" xfId="0" applyNumberFormat="1" applyFont="1" applyFill="1" applyBorder="1" applyAlignment="1">
      <alignment horizontal="center" vertical="center" readingOrder="1"/>
    </xf>
    <xf numFmtId="1" fontId="109" fillId="0" borderId="6" xfId="0" applyNumberFormat="1" applyFont="1" applyBorder="1" applyAlignment="1">
      <alignment horizontal="center" vertical="center" wrapText="1" readingOrder="1"/>
    </xf>
    <xf numFmtId="14" fontId="96" fillId="0" borderId="6" xfId="0" applyNumberFormat="1" applyFont="1" applyBorder="1" applyAlignment="1">
      <alignment horizontal="center" vertical="center"/>
    </xf>
    <xf numFmtId="0" fontId="140" fillId="0" borderId="6" xfId="0" applyFont="1" applyBorder="1" applyAlignment="1">
      <alignment horizontal="center" vertical="center" readingOrder="1"/>
    </xf>
    <xf numFmtId="0" fontId="96" fillId="0" borderId="6" xfId="0" applyFont="1" applyBorder="1"/>
    <xf numFmtId="0" fontId="12" fillId="34" borderId="6" xfId="0" applyFont="1" applyFill="1" applyBorder="1" applyAlignment="1">
      <alignment vertical="top" wrapText="1"/>
    </xf>
    <xf numFmtId="0" fontId="12" fillId="0" borderId="6" xfId="0" applyFont="1" applyBorder="1" applyAlignment="1">
      <alignment vertical="top" wrapText="1"/>
    </xf>
    <xf numFmtId="0" fontId="36" fillId="19" borderId="6" xfId="0" applyFont="1" applyFill="1" applyBorder="1" applyAlignment="1">
      <alignment horizontal="left" vertical="center" wrapText="1"/>
    </xf>
    <xf numFmtId="1" fontId="109" fillId="22" borderId="13" xfId="0" applyNumberFormat="1" applyFont="1" applyFill="1" applyBorder="1" applyAlignment="1">
      <alignment horizontal="center" vertical="center" wrapText="1"/>
    </xf>
    <xf numFmtId="0" fontId="114" fillId="0" borderId="6" xfId="0" applyFont="1" applyBorder="1" applyAlignment="1">
      <alignment vertical="top" wrapText="1"/>
    </xf>
    <xf numFmtId="0" fontId="112" fillId="0" borderId="6" xfId="0" applyFont="1" applyBorder="1" applyAlignment="1">
      <alignment vertical="top" wrapText="1"/>
    </xf>
    <xf numFmtId="0" fontId="4" fillId="0" borderId="3" xfId="0" applyFont="1" applyBorder="1" applyAlignment="1">
      <alignment vertical="center" wrapText="1"/>
    </xf>
    <xf numFmtId="0" fontId="12" fillId="34" borderId="3" xfId="0" applyFont="1" applyFill="1" applyBorder="1" applyAlignment="1">
      <alignment horizontal="left" vertical="top" wrapText="1"/>
    </xf>
    <xf numFmtId="0" fontId="36" fillId="19" borderId="3" xfId="0" applyFont="1" applyFill="1" applyBorder="1" applyAlignment="1">
      <alignment horizontal="center" vertical="center" wrapText="1"/>
    </xf>
    <xf numFmtId="0" fontId="114" fillId="0" borderId="3" xfId="0" applyFont="1" applyBorder="1" applyAlignment="1">
      <alignment vertical="center" wrapText="1"/>
    </xf>
    <xf numFmtId="0" fontId="114" fillId="0" borderId="3" xfId="0" applyFont="1" applyBorder="1" applyAlignment="1">
      <alignment wrapText="1"/>
    </xf>
    <xf numFmtId="0" fontId="112" fillId="0" borderId="3" xfId="0" applyFont="1" applyBorder="1" applyAlignment="1">
      <alignment wrapText="1"/>
    </xf>
    <xf numFmtId="0" fontId="96" fillId="32" borderId="7" xfId="0" applyFont="1" applyFill="1" applyBorder="1" applyAlignment="1">
      <alignment horizontal="center" vertical="center" wrapText="1" readingOrder="1"/>
    </xf>
    <xf numFmtId="0" fontId="109" fillId="19" borderId="7" xfId="0" applyFont="1" applyFill="1" applyBorder="1" applyAlignment="1">
      <alignment horizontal="center" vertical="center" wrapText="1" readingOrder="1"/>
    </xf>
    <xf numFmtId="0" fontId="121" fillId="32" borderId="7" xfId="0" applyFont="1" applyFill="1" applyBorder="1" applyAlignment="1">
      <alignment horizontal="left" vertical="top" wrapText="1" readingOrder="1"/>
    </xf>
    <xf numFmtId="0" fontId="124" fillId="22" borderId="25" xfId="0" applyFont="1" applyFill="1" applyBorder="1" applyAlignment="1">
      <alignment horizontal="center" vertical="center" readingOrder="1"/>
    </xf>
    <xf numFmtId="1" fontId="138" fillId="22" borderId="7" xfId="0" applyNumberFormat="1" applyFont="1" applyFill="1" applyBorder="1" applyAlignment="1">
      <alignment horizontal="center" vertical="center" readingOrder="1"/>
    </xf>
    <xf numFmtId="1" fontId="138" fillId="33" borderId="7" xfId="0" applyNumberFormat="1" applyFont="1" applyFill="1" applyBorder="1" applyAlignment="1">
      <alignment horizontal="center" vertical="center" readingOrder="1"/>
    </xf>
    <xf numFmtId="1" fontId="109" fillId="22" borderId="9" xfId="0" applyNumberFormat="1" applyFont="1" applyFill="1" applyBorder="1" applyAlignment="1">
      <alignment horizontal="center" vertical="center" readingOrder="1"/>
    </xf>
    <xf numFmtId="0" fontId="125" fillId="0" borderId="6" xfId="0" applyFont="1" applyBorder="1" applyAlignment="1">
      <alignment horizontal="center" vertical="center" readingOrder="1"/>
    </xf>
    <xf numFmtId="0" fontId="96" fillId="0" borderId="7" xfId="0" applyFont="1" applyBorder="1" applyAlignment="1">
      <alignment vertical="center" wrapText="1"/>
    </xf>
    <xf numFmtId="0" fontId="12" fillId="34" borderId="6" xfId="0" applyFont="1" applyFill="1" applyBorder="1" applyAlignment="1">
      <alignment horizontal="left" vertical="top" wrapText="1"/>
    </xf>
    <xf numFmtId="0" fontId="17" fillId="0" borderId="7" xfId="0" applyFont="1" applyBorder="1" applyAlignment="1">
      <alignment horizontal="left" vertical="top" wrapText="1"/>
    </xf>
    <xf numFmtId="0" fontId="112" fillId="0" borderId="5" xfId="0" quotePrefix="1" applyFont="1" applyBorder="1" applyAlignment="1">
      <alignment wrapText="1"/>
    </xf>
    <xf numFmtId="4" fontId="112" fillId="0" borderId="8" xfId="0" applyNumberFormat="1" applyFont="1" applyBorder="1" applyAlignment="1">
      <alignment horizontal="right" vertical="center" wrapText="1"/>
    </xf>
    <xf numFmtId="15" fontId="96" fillId="0" borderId="8" xfId="0" applyNumberFormat="1" applyFont="1" applyBorder="1" applyAlignment="1">
      <alignment wrapText="1"/>
    </xf>
    <xf numFmtId="49" fontId="96" fillId="32" borderId="3" xfId="0" quotePrefix="1" applyNumberFormat="1" applyFont="1" applyFill="1" applyBorder="1" applyAlignment="1">
      <alignment horizontal="center" vertical="center" wrapText="1" readingOrder="1"/>
    </xf>
    <xf numFmtId="0" fontId="12" fillId="32" borderId="3" xfId="0" applyFont="1" applyFill="1" applyBorder="1" applyAlignment="1">
      <alignment horizontal="left" vertical="top" wrapText="1" readingOrder="1"/>
    </xf>
    <xf numFmtId="0" fontId="124" fillId="22" borderId="24" xfId="0" applyFont="1" applyFill="1" applyBorder="1" applyAlignment="1">
      <alignment horizontal="center" vertical="center" readingOrder="1"/>
    </xf>
    <xf numFmtId="1" fontId="138" fillId="22" borderId="5" xfId="0" applyNumberFormat="1" applyFont="1" applyFill="1" applyBorder="1" applyAlignment="1">
      <alignment horizontal="center" vertical="center" readingOrder="1"/>
    </xf>
    <xf numFmtId="1" fontId="138" fillId="33" borderId="5" xfId="0" applyNumberFormat="1" applyFont="1" applyFill="1" applyBorder="1" applyAlignment="1">
      <alignment horizontal="center" vertical="center" readingOrder="1"/>
    </xf>
    <xf numFmtId="1" fontId="128" fillId="22" borderId="5" xfId="0" applyNumberFormat="1" applyFont="1" applyFill="1" applyBorder="1" applyAlignment="1">
      <alignment horizontal="center" vertical="center" readingOrder="1"/>
    </xf>
    <xf numFmtId="0" fontId="96" fillId="0" borderId="3" xfId="0" applyFont="1" applyBorder="1" applyAlignment="1">
      <alignment vertical="center" wrapText="1"/>
    </xf>
    <xf numFmtId="0" fontId="17" fillId="0" borderId="5" xfId="0" applyFont="1" applyBorder="1" applyAlignment="1">
      <alignment horizontal="left" vertical="top" wrapText="1"/>
    </xf>
    <xf numFmtId="0" fontId="114" fillId="0" borderId="3" xfId="0" applyFont="1" applyBorder="1" applyAlignment="1">
      <alignment vertical="top" wrapText="1"/>
    </xf>
    <xf numFmtId="0" fontId="112" fillId="0" borderId="3" xfId="0" applyFont="1" applyBorder="1" applyAlignment="1">
      <alignment horizontal="center" vertical="center" wrapText="1"/>
    </xf>
    <xf numFmtId="0" fontId="112" fillId="0" borderId="5" xfId="0" applyFont="1" applyBorder="1" applyAlignment="1">
      <alignment vertical="center" wrapText="1"/>
    </xf>
    <xf numFmtId="0" fontId="121" fillId="32" borderId="3" xfId="0" applyFont="1" applyFill="1" applyBorder="1" applyAlignment="1">
      <alignment horizontal="left" vertical="top" wrapText="1" readingOrder="1"/>
    </xf>
    <xf numFmtId="0" fontId="96" fillId="10" borderId="5" xfId="0" applyFont="1" applyFill="1" applyBorder="1" applyAlignment="1">
      <alignment horizontal="center" vertical="center" readingOrder="1"/>
    </xf>
    <xf numFmtId="0" fontId="112" fillId="0" borderId="3" xfId="0" applyFont="1" applyBorder="1" applyAlignment="1">
      <alignment vertical="center" wrapText="1"/>
    </xf>
    <xf numFmtId="0" fontId="112" fillId="0" borderId="3" xfId="0" quotePrefix="1" applyFont="1" applyBorder="1" applyAlignment="1">
      <alignment vertical="center" wrapText="1"/>
    </xf>
    <xf numFmtId="0" fontId="1" fillId="0" borderId="3" xfId="1" applyBorder="1" applyAlignment="1">
      <alignment vertical="center" wrapText="1"/>
    </xf>
    <xf numFmtId="0" fontId="96" fillId="0" borderId="11" xfId="0" applyFont="1" applyBorder="1" applyAlignment="1">
      <alignment vertical="center" wrapText="1"/>
    </xf>
    <xf numFmtId="15" fontId="96" fillId="32" borderId="11" xfId="0" applyNumberFormat="1" applyFont="1" applyFill="1" applyBorder="1" applyAlignment="1">
      <alignment horizontal="center" vertical="center" readingOrder="1"/>
    </xf>
    <xf numFmtId="0" fontId="124" fillId="22" borderId="5" xfId="0" applyFont="1" applyFill="1" applyBorder="1" applyAlignment="1">
      <alignment horizontal="center" vertical="center" readingOrder="1"/>
    </xf>
    <xf numFmtId="1" fontId="138" fillId="22" borderId="24" xfId="0" applyNumberFormat="1" applyFont="1" applyFill="1" applyBorder="1" applyAlignment="1">
      <alignment horizontal="center" vertical="center" readingOrder="1"/>
    </xf>
    <xf numFmtId="0" fontId="112" fillId="0" borderId="3" xfId="0" applyFont="1" applyBorder="1" applyAlignment="1">
      <alignment vertical="top" wrapText="1"/>
    </xf>
    <xf numFmtId="0" fontId="112" fillId="0" borderId="3" xfId="0" applyFont="1" applyBorder="1" applyAlignment="1">
      <alignment horizontal="right" vertical="top" wrapText="1"/>
    </xf>
    <xf numFmtId="0" fontId="96" fillId="0" borderId="11" xfId="0" applyFont="1" applyBorder="1" applyAlignment="1">
      <alignment vertical="top" wrapText="1"/>
    </xf>
    <xf numFmtId="4" fontId="0" fillId="0" borderId="0" xfId="0" applyNumberFormat="1" applyAlignment="1">
      <alignment horizontal="center"/>
    </xf>
    <xf numFmtId="20" fontId="96" fillId="32" borderId="6" xfId="0" quotePrefix="1" applyNumberFormat="1" applyFont="1" applyFill="1" applyBorder="1" applyAlignment="1">
      <alignment horizontal="center" vertical="center" wrapText="1" readingOrder="1"/>
    </xf>
    <xf numFmtId="0" fontId="96" fillId="32" borderId="7" xfId="0" applyFont="1" applyFill="1" applyBorder="1" applyAlignment="1">
      <alignment horizontal="left" vertical="top" wrapText="1" readingOrder="1"/>
    </xf>
    <xf numFmtId="0" fontId="96" fillId="10" borderId="3" xfId="0" applyFont="1" applyFill="1" applyBorder="1" applyAlignment="1">
      <alignment horizontal="center" vertical="center" readingOrder="1"/>
    </xf>
    <xf numFmtId="0" fontId="96" fillId="32" borderId="25" xfId="0" applyFont="1" applyFill="1" applyBorder="1" applyAlignment="1">
      <alignment horizontal="center" vertical="center" wrapText="1" readingOrder="1"/>
    </xf>
    <xf numFmtId="1" fontId="109" fillId="20" borderId="5" xfId="0" applyNumberFormat="1" applyFont="1" applyFill="1" applyBorder="1" applyAlignment="1">
      <alignment horizontal="center" vertical="center" readingOrder="1"/>
    </xf>
    <xf numFmtId="4" fontId="96" fillId="32" borderId="6" xfId="0" applyNumberFormat="1" applyFont="1" applyFill="1" applyBorder="1" applyAlignment="1">
      <alignment horizontal="center" vertical="center" wrapText="1" readingOrder="1"/>
    </xf>
    <xf numFmtId="0" fontId="96" fillId="32" borderId="10" xfId="0" applyFont="1" applyFill="1" applyBorder="1" applyAlignment="1">
      <alignment horizontal="center" vertical="center" wrapText="1" readingOrder="1"/>
    </xf>
    <xf numFmtId="4" fontId="96" fillId="32" borderId="22" xfId="0" applyNumberFormat="1" applyFont="1" applyFill="1" applyBorder="1" applyAlignment="1">
      <alignment horizontal="center" vertical="center" wrapText="1" readingOrder="1"/>
    </xf>
    <xf numFmtId="43" fontId="96" fillId="32" borderId="6" xfId="0" applyNumberFormat="1" applyFont="1" applyFill="1" applyBorder="1" applyAlignment="1">
      <alignment horizontal="center" vertical="center" wrapText="1" readingOrder="1"/>
    </xf>
    <xf numFmtId="20" fontId="96" fillId="32" borderId="7" xfId="0" quotePrefix="1" applyNumberFormat="1" applyFont="1" applyFill="1" applyBorder="1" applyAlignment="1">
      <alignment horizontal="center" vertical="center" wrapText="1" readingOrder="1"/>
    </xf>
    <xf numFmtId="0" fontId="96" fillId="32" borderId="11" xfId="0" applyFont="1" applyFill="1" applyBorder="1" applyAlignment="1">
      <alignment horizontal="left" vertical="top" wrapText="1" readingOrder="1"/>
    </xf>
    <xf numFmtId="4" fontId="96" fillId="32" borderId="7" xfId="0" applyNumberFormat="1" applyFont="1" applyFill="1" applyBorder="1" applyAlignment="1">
      <alignment horizontal="center" vertical="center" wrapText="1" readingOrder="1"/>
    </xf>
    <xf numFmtId="0" fontId="96" fillId="32" borderId="9" xfId="0" applyFont="1" applyFill="1" applyBorder="1" applyAlignment="1">
      <alignment horizontal="center" vertical="center" wrapText="1" readingOrder="1"/>
    </xf>
    <xf numFmtId="3" fontId="96" fillId="32" borderId="0" xfId="0" applyNumberFormat="1" applyFont="1" applyFill="1" applyAlignment="1">
      <alignment horizontal="center" vertical="center" wrapText="1" readingOrder="1"/>
    </xf>
    <xf numFmtId="43" fontId="96" fillId="32" borderId="0" xfId="0" applyNumberFormat="1" applyFont="1" applyFill="1" applyAlignment="1">
      <alignment horizontal="center" vertical="center" wrapText="1" readingOrder="1"/>
    </xf>
    <xf numFmtId="20" fontId="96" fillId="32" borderId="5" xfId="0" quotePrefix="1" applyNumberFormat="1" applyFont="1" applyFill="1" applyBorder="1" applyAlignment="1">
      <alignment horizontal="center" vertical="center" wrapText="1" readingOrder="1"/>
    </xf>
    <xf numFmtId="169" fontId="96" fillId="32" borderId="0" xfId="0" applyNumberFormat="1" applyFont="1" applyFill="1" applyAlignment="1">
      <alignment horizontal="center" vertical="center" wrapText="1" readingOrder="1"/>
    </xf>
    <xf numFmtId="15" fontId="96" fillId="32" borderId="3" xfId="0" applyNumberFormat="1" applyFont="1" applyFill="1" applyBorder="1" applyAlignment="1">
      <alignment horizontal="center" vertical="center" wrapText="1" readingOrder="1"/>
    </xf>
    <xf numFmtId="0" fontId="109" fillId="19" borderId="12" xfId="0" applyFont="1" applyFill="1" applyBorder="1" applyAlignment="1">
      <alignment horizontal="left" vertical="center" wrapText="1" readingOrder="1"/>
    </xf>
    <xf numFmtId="0" fontId="96" fillId="32" borderId="3" xfId="0" quotePrefix="1" applyFont="1" applyFill="1" applyBorder="1" applyAlignment="1">
      <alignment horizontal="center" vertical="center" wrapText="1" readingOrder="1"/>
    </xf>
    <xf numFmtId="0" fontId="1" fillId="32" borderId="3" xfId="1" applyFill="1" applyBorder="1" applyAlignment="1">
      <alignment horizontal="center" vertical="center" wrapText="1" readingOrder="1"/>
    </xf>
    <xf numFmtId="4" fontId="96" fillId="32" borderId="3" xfId="0" applyNumberFormat="1" applyFont="1" applyFill="1" applyBorder="1" applyAlignment="1">
      <alignment horizontal="center" vertical="center" wrapText="1" readingOrder="1"/>
    </xf>
    <xf numFmtId="20" fontId="96" fillId="32" borderId="3" xfId="0" quotePrefix="1" applyNumberFormat="1" applyFont="1" applyFill="1" applyBorder="1" applyAlignment="1">
      <alignment horizontal="center" vertical="center" wrapText="1" readingOrder="1"/>
    </xf>
    <xf numFmtId="0" fontId="109" fillId="32" borderId="11" xfId="0" applyFont="1" applyFill="1" applyBorder="1" applyAlignment="1">
      <alignment horizontal="center" vertical="center" wrapText="1" readingOrder="1"/>
    </xf>
    <xf numFmtId="20" fontId="96" fillId="32" borderId="11" xfId="0" quotePrefix="1" applyNumberFormat="1" applyFont="1" applyFill="1" applyBorder="1" applyAlignment="1">
      <alignment horizontal="center" vertical="center" wrapText="1" readingOrder="1"/>
    </xf>
    <xf numFmtId="0" fontId="96" fillId="32" borderId="12" xfId="0" applyFont="1" applyFill="1" applyBorder="1" applyAlignment="1">
      <alignment horizontal="center" vertical="center" wrapText="1" readingOrder="1"/>
    </xf>
    <xf numFmtId="1" fontId="110" fillId="0" borderId="12" xfId="0" applyNumberFormat="1" applyFont="1" applyBorder="1" applyAlignment="1">
      <alignment horizontal="center" vertical="center" wrapText="1"/>
    </xf>
    <xf numFmtId="20" fontId="96" fillId="10" borderId="3" xfId="0" quotePrefix="1" applyNumberFormat="1" applyFont="1" applyFill="1" applyBorder="1" applyAlignment="1">
      <alignment horizontal="center" vertical="center" wrapText="1" readingOrder="1"/>
    </xf>
    <xf numFmtId="0" fontId="109" fillId="19" borderId="13" xfId="0" applyFont="1" applyFill="1" applyBorder="1" applyAlignment="1">
      <alignment horizontal="left" vertical="center" wrapText="1" readingOrder="1"/>
    </xf>
    <xf numFmtId="0" fontId="17" fillId="0" borderId="9" xfId="0" applyFont="1" applyBorder="1" applyAlignment="1">
      <alignment horizontal="left" vertical="top" wrapText="1"/>
    </xf>
    <xf numFmtId="1" fontId="110" fillId="0" borderId="24" xfId="0" applyNumberFormat="1" applyFont="1" applyBorder="1" applyAlignment="1">
      <alignment horizontal="center" vertical="center" wrapText="1"/>
    </xf>
    <xf numFmtId="0" fontId="38" fillId="32" borderId="5" xfId="0" applyFont="1" applyFill="1" applyBorder="1" applyAlignment="1">
      <alignment horizontal="left" vertical="center" wrapText="1" readingOrder="1"/>
    </xf>
    <xf numFmtId="0" fontId="1" fillId="32" borderId="0" xfId="1" applyFill="1" applyAlignment="1">
      <alignment horizontal="center" vertical="center" wrapText="1" readingOrder="1"/>
    </xf>
    <xf numFmtId="0" fontId="109" fillId="35" borderId="3" xfId="0" applyFont="1" applyFill="1" applyBorder="1" applyAlignment="1">
      <alignment horizontal="left" vertical="center" wrapText="1" readingOrder="1"/>
    </xf>
    <xf numFmtId="0" fontId="96" fillId="25" borderId="3" xfId="0" applyFont="1" applyFill="1" applyBorder="1" applyAlignment="1">
      <alignment horizontal="center" vertical="center" wrapText="1" readingOrder="1"/>
    </xf>
    <xf numFmtId="1" fontId="128" fillId="32" borderId="3" xfId="0" applyNumberFormat="1" applyFont="1" applyFill="1" applyBorder="1" applyAlignment="1">
      <alignment horizontal="center" vertical="center" readingOrder="1"/>
    </xf>
    <xf numFmtId="1" fontId="109" fillId="20" borderId="3" xfId="0" applyNumberFormat="1" applyFont="1" applyFill="1" applyBorder="1" applyAlignment="1">
      <alignment horizontal="center" vertical="center" readingOrder="1"/>
    </xf>
    <xf numFmtId="20" fontId="96" fillId="32" borderId="10" xfId="0" quotePrefix="1" applyNumberFormat="1" applyFont="1" applyFill="1" applyBorder="1" applyAlignment="1">
      <alignment horizontal="center" vertical="center" wrapText="1" readingOrder="1"/>
    </xf>
    <xf numFmtId="0" fontId="96" fillId="25" borderId="22" xfId="0" applyFont="1" applyFill="1" applyBorder="1" applyAlignment="1">
      <alignment horizontal="center" vertical="center" wrapText="1" readingOrder="1"/>
    </xf>
    <xf numFmtId="0" fontId="12" fillId="32" borderId="6" xfId="0" applyFont="1" applyFill="1" applyBorder="1" applyAlignment="1">
      <alignment horizontal="left" vertical="top" wrapText="1" readingOrder="1"/>
    </xf>
    <xf numFmtId="0" fontId="124" fillId="32" borderId="6" xfId="0" applyFont="1" applyFill="1" applyBorder="1" applyAlignment="1">
      <alignment horizontal="center" vertical="center" readingOrder="1"/>
    </xf>
    <xf numFmtId="1" fontId="138" fillId="22" borderId="6" xfId="0" applyNumberFormat="1" applyFont="1" applyFill="1" applyBorder="1" applyAlignment="1">
      <alignment horizontal="center" vertical="center" readingOrder="1"/>
    </xf>
    <xf numFmtId="15" fontId="96" fillId="22" borderId="6" xfId="0" applyNumberFormat="1" applyFont="1" applyFill="1" applyBorder="1" applyAlignment="1">
      <alignment horizontal="center" vertical="center" readingOrder="1"/>
    </xf>
    <xf numFmtId="0" fontId="12" fillId="20" borderId="6" xfId="0" applyFont="1" applyFill="1" applyBorder="1" applyAlignment="1">
      <alignment horizontal="left" vertical="top" wrapText="1"/>
    </xf>
    <xf numFmtId="0" fontId="17" fillId="0" borderId="6" xfId="0" applyFont="1" applyBorder="1" applyAlignment="1">
      <alignment horizontal="left" vertical="top" wrapText="1"/>
    </xf>
    <xf numFmtId="1" fontId="109" fillId="20" borderId="6" xfId="0" applyNumberFormat="1" applyFont="1" applyFill="1" applyBorder="1" applyAlignment="1">
      <alignment horizontal="center" vertical="center" readingOrder="1"/>
    </xf>
    <xf numFmtId="0" fontId="96" fillId="32" borderId="22" xfId="0" applyFont="1" applyFill="1" applyBorder="1" applyAlignment="1">
      <alignment horizontal="center" vertical="center" wrapText="1" readingOrder="1"/>
    </xf>
    <xf numFmtId="0" fontId="96" fillId="32" borderId="13" xfId="0" applyFont="1" applyFill="1" applyBorder="1" applyAlignment="1">
      <alignment horizontal="center" vertical="center" wrapText="1" readingOrder="1"/>
    </xf>
    <xf numFmtId="0" fontId="0" fillId="0" borderId="6" xfId="0" applyBorder="1" applyAlignment="1">
      <alignment horizontal="left" vertical="center" indent="1"/>
    </xf>
    <xf numFmtId="0" fontId="109" fillId="32" borderId="6" xfId="0" applyFont="1" applyFill="1" applyBorder="1" applyAlignment="1">
      <alignment horizontal="center" vertical="center" wrapText="1" readingOrder="1"/>
    </xf>
    <xf numFmtId="0" fontId="136" fillId="0" borderId="0" xfId="0" applyFont="1"/>
    <xf numFmtId="0" fontId="143" fillId="0" borderId="0" xfId="0" applyFont="1" applyAlignment="1">
      <alignment horizontal="left" vertical="center"/>
    </xf>
    <xf numFmtId="0" fontId="85" fillId="0" borderId="3" xfId="0" applyFont="1" applyBorder="1" applyAlignment="1">
      <alignment horizontal="left" vertical="top" wrapText="1"/>
    </xf>
    <xf numFmtId="0" fontId="33" fillId="0" borderId="6" xfId="0" applyFont="1" applyBorder="1" applyAlignment="1">
      <alignment horizontal="left" vertical="top" wrapText="1"/>
    </xf>
    <xf numFmtId="0" fontId="33" fillId="0" borderId="3" xfId="0" applyFont="1" applyBorder="1" applyAlignment="1">
      <alignment horizontal="left" vertical="top"/>
    </xf>
    <xf numFmtId="0" fontId="85" fillId="0" borderId="5" xfId="0" applyFont="1" applyBorder="1" applyAlignment="1">
      <alignment vertical="top" wrapText="1"/>
    </xf>
    <xf numFmtId="0" fontId="33" fillId="0" borderId="5" xfId="0" applyFont="1" applyBorder="1" applyAlignment="1">
      <alignment horizontal="left" vertical="center" wrapText="1"/>
    </xf>
    <xf numFmtId="0" fontId="33" fillId="0" borderId="6" xfId="0" applyFont="1" applyBorder="1" applyAlignment="1">
      <alignment horizontal="center" vertical="center" wrapText="1"/>
    </xf>
    <xf numFmtId="0" fontId="32" fillId="36" borderId="14" xfId="0" applyFont="1" applyFill="1" applyBorder="1" applyAlignment="1">
      <alignment vertical="top" wrapText="1"/>
    </xf>
    <xf numFmtId="0" fontId="82" fillId="36" borderId="14" xfId="0" applyFont="1" applyFill="1" applyBorder="1" applyAlignment="1">
      <alignment vertical="top" wrapText="1"/>
    </xf>
    <xf numFmtId="0" fontId="32" fillId="36" borderId="14" xfId="0" applyFont="1" applyFill="1" applyBorder="1"/>
    <xf numFmtId="0" fontId="32" fillId="36" borderId="12" xfId="0" applyFont="1" applyFill="1" applyBorder="1"/>
    <xf numFmtId="0" fontId="33" fillId="0" borderId="11" xfId="0" applyFont="1" applyBorder="1" applyAlignment="1">
      <alignment horizontal="center" vertical="center"/>
    </xf>
    <xf numFmtId="0" fontId="32" fillId="36" borderId="23" xfId="0" applyFont="1" applyFill="1" applyBorder="1" applyAlignment="1">
      <alignment vertical="top" wrapText="1"/>
    </xf>
    <xf numFmtId="0" fontId="85" fillId="0" borderId="7" xfId="0" applyFont="1" applyBorder="1" applyAlignment="1">
      <alignment vertical="top" wrapText="1"/>
    </xf>
    <xf numFmtId="0" fontId="33" fillId="38" borderId="3" xfId="0" applyFont="1" applyFill="1" applyBorder="1" applyAlignment="1">
      <alignment horizontal="left" vertical="top" wrapText="1"/>
    </xf>
    <xf numFmtId="0" fontId="33" fillId="38" borderId="3" xfId="0" applyFont="1" applyFill="1" applyBorder="1" applyAlignment="1">
      <alignment horizontal="center" vertical="top"/>
    </xf>
    <xf numFmtId="0" fontId="33" fillId="0" borderId="5" xfId="0" applyFont="1" applyBorder="1" applyAlignment="1">
      <alignment horizontal="left" vertical="top" wrapText="1"/>
    </xf>
    <xf numFmtId="0" fontId="33" fillId="39" borderId="3" xfId="0" applyFont="1" applyFill="1" applyBorder="1" applyAlignment="1">
      <alignment horizontal="left" vertical="top" wrapText="1"/>
    </xf>
    <xf numFmtId="0" fontId="33" fillId="39" borderId="3" xfId="0" applyFont="1" applyFill="1" applyBorder="1" applyAlignment="1">
      <alignment horizontal="center" vertical="top"/>
    </xf>
    <xf numFmtId="0" fontId="32" fillId="0" borderId="0" xfId="0" applyFont="1" applyAlignment="1">
      <alignment horizontal="left"/>
    </xf>
    <xf numFmtId="0" fontId="33" fillId="0" borderId="12" xfId="0" applyFont="1" applyBorder="1" applyAlignment="1">
      <alignment horizontal="left" vertical="center" wrapText="1"/>
    </xf>
    <xf numFmtId="0" fontId="82" fillId="0" borderId="12" xfId="0" applyFont="1" applyBorder="1" applyAlignment="1">
      <alignment vertical="top" wrapText="1"/>
    </xf>
    <xf numFmtId="0" fontId="33" fillId="39" borderId="12" xfId="0" applyFont="1" applyFill="1" applyBorder="1" applyAlignment="1">
      <alignment horizontal="left" vertical="top" wrapText="1"/>
    </xf>
    <xf numFmtId="0" fontId="33" fillId="39" borderId="12" xfId="0" applyFont="1" applyFill="1" applyBorder="1" applyAlignment="1">
      <alignment horizontal="left" vertical="center" wrapText="1"/>
    </xf>
    <xf numFmtId="0" fontId="33" fillId="0" borderId="24" xfId="0" applyFont="1" applyBorder="1" applyAlignment="1">
      <alignment horizontal="left" vertical="center" wrapText="1"/>
    </xf>
    <xf numFmtId="0" fontId="85" fillId="0" borderId="6" xfId="0" applyFont="1" applyBorder="1" applyAlignment="1">
      <alignment horizontal="left" vertical="top" wrapText="1"/>
    </xf>
    <xf numFmtId="0" fontId="33" fillId="19" borderId="3" xfId="0" applyFont="1" applyFill="1" applyBorder="1" applyAlignment="1">
      <alignment horizontal="left" vertical="top"/>
    </xf>
    <xf numFmtId="0" fontId="85" fillId="0" borderId="6" xfId="0" applyFont="1" applyBorder="1" applyAlignment="1">
      <alignment vertical="top" wrapText="1"/>
    </xf>
    <xf numFmtId="0" fontId="33" fillId="39" borderId="11" xfId="0" applyFont="1" applyFill="1" applyBorder="1" applyAlignment="1">
      <alignment horizontal="center" vertical="top"/>
    </xf>
    <xf numFmtId="0" fontId="33" fillId="39" borderId="11" xfId="0" applyFont="1" applyFill="1" applyBorder="1" applyAlignment="1">
      <alignment horizontal="center" vertical="center"/>
    </xf>
    <xf numFmtId="0" fontId="33" fillId="0" borderId="8" xfId="0" applyFont="1" applyBorder="1" applyAlignment="1">
      <alignment horizontal="center" vertical="center"/>
    </xf>
    <xf numFmtId="0" fontId="85" fillId="0" borderId="12" xfId="0" applyFont="1" applyBorder="1" applyAlignment="1">
      <alignment vertical="top" wrapText="1"/>
    </xf>
    <xf numFmtId="0" fontId="33" fillId="0" borderId="12" xfId="0" applyFont="1" applyBorder="1" applyAlignment="1">
      <alignment horizontal="center" vertical="center"/>
    </xf>
    <xf numFmtId="0" fontId="33" fillId="27" borderId="3" xfId="0" applyFont="1" applyFill="1" applyBorder="1" applyAlignment="1">
      <alignment horizontal="left" vertical="top" wrapText="1"/>
    </xf>
    <xf numFmtId="0" fontId="33" fillId="27" borderId="3" xfId="0" applyFont="1" applyFill="1" applyBorder="1" applyAlignment="1">
      <alignment horizontal="center" vertical="top"/>
    </xf>
    <xf numFmtId="0" fontId="82" fillId="0" borderId="11" xfId="0" applyFont="1" applyBorder="1" applyAlignment="1">
      <alignment vertical="top" wrapText="1"/>
    </xf>
    <xf numFmtId="0" fontId="33" fillId="27" borderId="3" xfId="0" applyFont="1" applyFill="1" applyBorder="1" applyAlignment="1">
      <alignment horizontal="left" vertical="center" wrapText="1"/>
    </xf>
    <xf numFmtId="0" fontId="33" fillId="27" borderId="3" xfId="0" applyFont="1" applyFill="1" applyBorder="1" applyAlignment="1">
      <alignment horizontal="center" vertical="center"/>
    </xf>
    <xf numFmtId="0" fontId="83" fillId="26" borderId="31" xfId="0" applyFont="1" applyFill="1" applyBorder="1" applyAlignment="1">
      <alignment horizontal="center" vertical="center" wrapText="1"/>
    </xf>
    <xf numFmtId="0" fontId="83" fillId="26" borderId="32" xfId="0" applyFont="1" applyFill="1" applyBorder="1" applyAlignment="1">
      <alignment horizontal="center" vertical="center" wrapText="1"/>
    </xf>
    <xf numFmtId="0" fontId="33" fillId="0" borderId="7" xfId="0" applyFont="1" applyBorder="1" applyAlignment="1">
      <alignment horizontal="center" vertical="top"/>
    </xf>
    <xf numFmtId="0" fontId="33" fillId="27" borderId="9" xfId="0" applyFont="1" applyFill="1" applyBorder="1" applyAlignment="1">
      <alignment horizontal="center" vertical="top"/>
    </xf>
    <xf numFmtId="0" fontId="85" fillId="0" borderId="3" xfId="0" applyFont="1" applyBorder="1" applyAlignment="1">
      <alignment horizontal="left" vertical="top" wrapText="1"/>
    </xf>
    <xf numFmtId="0" fontId="33" fillId="0" borderId="3" xfId="0" applyFont="1" applyBorder="1" applyAlignment="1">
      <alignment horizontal="left" vertical="top" wrapText="1"/>
    </xf>
    <xf numFmtId="0" fontId="33" fillId="0" borderId="5" xfId="0" applyFont="1" applyBorder="1" applyAlignment="1">
      <alignment horizontal="left" vertical="top" wrapText="1"/>
    </xf>
    <xf numFmtId="0" fontId="85" fillId="0" borderId="24" xfId="0" applyFont="1" applyBorder="1" applyAlignment="1">
      <alignment horizontal="left" vertical="top" wrapText="1"/>
    </xf>
    <xf numFmtId="0" fontId="33" fillId="0" borderId="25" xfId="0" applyFont="1" applyBorder="1" applyAlignment="1">
      <alignment horizontal="left" vertical="top" wrapText="1"/>
    </xf>
    <xf numFmtId="0" fontId="33" fillId="0" borderId="5" xfId="0" applyFont="1" applyBorder="1" applyAlignment="1">
      <alignment horizontal="center" vertical="top"/>
    </xf>
    <xf numFmtId="0" fontId="33" fillId="0" borderId="6" xfId="0" applyFont="1" applyBorder="1" applyAlignment="1">
      <alignment horizontal="center" vertical="top"/>
    </xf>
    <xf numFmtId="0" fontId="33" fillId="19" borderId="7" xfId="0" applyFont="1" applyFill="1" applyBorder="1" applyAlignment="1">
      <alignment horizontal="center" vertical="top"/>
    </xf>
    <xf numFmtId="0" fontId="33" fillId="19" borderId="6" xfId="0" applyFont="1" applyFill="1" applyBorder="1" applyAlignment="1">
      <alignment horizontal="center" vertical="top"/>
    </xf>
    <xf numFmtId="0" fontId="33" fillId="0" borderId="7" xfId="0" applyFont="1" applyBorder="1" applyAlignment="1">
      <alignment horizontal="left" vertical="top" wrapText="1"/>
    </xf>
    <xf numFmtId="0" fontId="33" fillId="0" borderId="6" xfId="0" applyFont="1" applyBorder="1" applyAlignment="1">
      <alignment horizontal="left" vertical="top" wrapText="1"/>
    </xf>
    <xf numFmtId="0" fontId="85" fillId="0" borderId="5" xfId="0" applyFont="1" applyBorder="1" applyAlignment="1">
      <alignment horizontal="left" vertical="top" wrapText="1"/>
    </xf>
    <xf numFmtId="0" fontId="33" fillId="0" borderId="3" xfId="0" applyFont="1" applyBorder="1" applyAlignment="1">
      <alignment horizontal="center" vertical="top"/>
    </xf>
    <xf numFmtId="0" fontId="33" fillId="0" borderId="5" xfId="0" applyFont="1" applyBorder="1" applyAlignment="1">
      <alignment horizontal="center" vertical="top" wrapText="1"/>
    </xf>
    <xf numFmtId="0" fontId="33" fillId="0" borderId="7" xfId="0" applyFont="1" applyBorder="1" applyAlignment="1">
      <alignment horizontal="center" vertical="top" wrapText="1"/>
    </xf>
    <xf numFmtId="0" fontId="33" fillId="0" borderId="6" xfId="0" applyFont="1" applyBorder="1" applyAlignment="1">
      <alignment horizontal="center" vertical="top" wrapText="1"/>
    </xf>
    <xf numFmtId="0" fontId="33" fillId="27" borderId="10" xfId="0" applyFont="1" applyFill="1" applyBorder="1" applyAlignment="1">
      <alignment horizontal="center" vertical="top"/>
    </xf>
    <xf numFmtId="0" fontId="33" fillId="5" borderId="3" xfId="0" applyFont="1" applyFill="1" applyBorder="1" applyAlignment="1">
      <alignment horizontal="center" vertical="top"/>
    </xf>
    <xf numFmtId="0" fontId="33" fillId="0" borderId="5" xfId="0" applyFont="1" applyBorder="1" applyAlignment="1">
      <alignment vertical="top" wrapText="1"/>
    </xf>
    <xf numFmtId="0" fontId="33" fillId="0" borderId="7" xfId="0" applyFont="1" applyBorder="1" applyAlignment="1">
      <alignment vertical="top" wrapText="1"/>
    </xf>
    <xf numFmtId="0" fontId="33" fillId="0" borderId="6" xfId="0" applyFont="1" applyBorder="1" applyAlignment="1">
      <alignment vertical="top" wrapText="1"/>
    </xf>
    <xf numFmtId="0" fontId="33" fillId="0" borderId="8" xfId="0" applyFont="1" applyBorder="1" applyAlignment="1">
      <alignment horizontal="center" vertical="top" wrapText="1"/>
    </xf>
    <xf numFmtId="0" fontId="33" fillId="0" borderId="9" xfId="0" applyFont="1" applyBorder="1" applyAlignment="1">
      <alignment horizontal="center" vertical="top" wrapText="1"/>
    </xf>
    <xf numFmtId="0" fontId="33" fillId="0" borderId="10" xfId="0" applyFont="1" applyBorder="1" applyAlignment="1">
      <alignment horizontal="center" vertical="top" wrapText="1"/>
    </xf>
    <xf numFmtId="0" fontId="33" fillId="0" borderId="3" xfId="0" applyFont="1" applyBorder="1" applyAlignment="1">
      <alignment horizontal="center" vertical="top" wrapText="1"/>
    </xf>
    <xf numFmtId="0" fontId="85" fillId="0" borderId="25" xfId="0" applyFont="1" applyBorder="1" applyAlignment="1">
      <alignment horizontal="left" vertical="top" wrapText="1"/>
    </xf>
    <xf numFmtId="0" fontId="33" fillId="0" borderId="22" xfId="0" applyFont="1" applyBorder="1" applyAlignment="1">
      <alignment horizontal="left" vertical="top" wrapText="1"/>
    </xf>
    <xf numFmtId="0" fontId="92" fillId="26" borderId="31" xfId="0" applyFont="1" applyFill="1" applyBorder="1" applyAlignment="1">
      <alignment horizontal="center" vertical="center" wrapText="1"/>
    </xf>
    <xf numFmtId="0" fontId="32" fillId="0" borderId="0" xfId="0" applyFont="1" applyAlignment="1">
      <alignment horizontal="center" vertical="center"/>
    </xf>
    <xf numFmtId="0" fontId="83" fillId="26" borderId="31" xfId="0" applyFont="1" applyFill="1" applyBorder="1" applyAlignment="1">
      <alignment horizontal="center" vertical="center"/>
    </xf>
    <xf numFmtId="0" fontId="144" fillId="0" borderId="5" xfId="0" applyFont="1" applyBorder="1" applyAlignment="1">
      <alignment vertical="top" wrapText="1"/>
    </xf>
    <xf numFmtId="0" fontId="144" fillId="0" borderId="7" xfId="0" applyFont="1" applyBorder="1" applyAlignment="1">
      <alignment vertical="top" wrapText="1"/>
    </xf>
    <xf numFmtId="0" fontId="144" fillId="0" borderId="6" xfId="0" applyFont="1" applyBorder="1" applyAlignment="1">
      <alignment vertical="top" wrapText="1"/>
    </xf>
    <xf numFmtId="0" fontId="144" fillId="0" borderId="8" xfId="0" applyFont="1" applyBorder="1" applyAlignment="1">
      <alignment vertical="top" wrapText="1"/>
    </xf>
    <xf numFmtId="0" fontId="144" fillId="0" borderId="9" xfId="0" applyFont="1" applyBorder="1" applyAlignment="1">
      <alignment vertical="top" wrapText="1"/>
    </xf>
    <xf numFmtId="0" fontId="144" fillId="0" borderId="10" xfId="0" applyFont="1" applyBorder="1" applyAlignment="1">
      <alignment vertical="top" wrapText="1"/>
    </xf>
    <xf numFmtId="0" fontId="145" fillId="0" borderId="5" xfId="0" applyFont="1" applyBorder="1" applyAlignment="1">
      <alignment vertical="top" wrapText="1"/>
    </xf>
    <xf numFmtId="0" fontId="145" fillId="0" borderId="7" xfId="0" applyFont="1" applyBorder="1" applyAlignment="1">
      <alignment vertical="top" wrapText="1"/>
    </xf>
    <xf numFmtId="0" fontId="145" fillId="0" borderId="6" xfId="0" applyFont="1" applyBorder="1" applyAlignment="1">
      <alignment vertical="top" wrapText="1"/>
    </xf>
    <xf numFmtId="0" fontId="33" fillId="19" borderId="9" xfId="0" applyFont="1" applyFill="1" applyBorder="1" applyAlignment="1">
      <alignment horizontal="center" vertical="top"/>
    </xf>
    <xf numFmtId="0" fontId="33" fillId="19" borderId="10" xfId="0" applyFont="1" applyFill="1" applyBorder="1" applyAlignment="1">
      <alignment horizontal="center" vertical="top"/>
    </xf>
    <xf numFmtId="0" fontId="93" fillId="0" borderId="9" xfId="0" applyFont="1" applyBorder="1" applyAlignment="1">
      <alignment horizontal="left" vertical="top" wrapText="1"/>
    </xf>
    <xf numFmtId="0" fontId="33" fillId="0" borderId="9" xfId="0" applyFont="1" applyBorder="1" applyAlignment="1">
      <alignment horizontal="left" vertical="top" wrapText="1"/>
    </xf>
    <xf numFmtId="0" fontId="33" fillId="0" borderId="10" xfId="0" applyFont="1" applyBorder="1" applyAlignment="1">
      <alignment horizontal="left" vertical="top" wrapText="1"/>
    </xf>
    <xf numFmtId="0" fontId="33" fillId="0" borderId="3" xfId="0" applyFont="1" applyBorder="1" applyAlignment="1">
      <alignment horizontal="left" vertical="top"/>
    </xf>
    <xf numFmtId="0" fontId="146" fillId="37" borderId="5" xfId="0" applyFont="1" applyFill="1" applyBorder="1" applyAlignment="1">
      <alignment vertical="top" wrapText="1"/>
    </xf>
    <xf numFmtId="0" fontId="146" fillId="37" borderId="7" xfId="0" applyFont="1" applyFill="1" applyBorder="1" applyAlignment="1">
      <alignment vertical="top" wrapText="1"/>
    </xf>
    <xf numFmtId="0" fontId="146" fillId="37" borderId="6" xfId="0" applyFont="1" applyFill="1" applyBorder="1" applyAlignment="1">
      <alignment vertical="top" wrapText="1"/>
    </xf>
    <xf numFmtId="0" fontId="32" fillId="36" borderId="11" xfId="0" applyFont="1" applyFill="1" applyBorder="1" applyAlignment="1">
      <alignment horizontal="left" vertical="top"/>
    </xf>
    <xf numFmtId="0" fontId="32" fillId="36" borderId="14" xfId="0" applyFont="1" applyFill="1" applyBorder="1" applyAlignment="1">
      <alignment horizontal="left" vertical="top"/>
    </xf>
    <xf numFmtId="0" fontId="33" fillId="5" borderId="9" xfId="0" applyFont="1" applyFill="1" applyBorder="1" applyAlignment="1">
      <alignment horizontal="center" vertical="top"/>
    </xf>
    <xf numFmtId="0" fontId="33" fillId="5" borderId="10" xfId="0" applyFont="1" applyFill="1" applyBorder="1" applyAlignment="1">
      <alignment horizontal="center" vertical="top"/>
    </xf>
    <xf numFmtId="0" fontId="33" fillId="5" borderId="6" xfId="0" applyFont="1" applyFill="1" applyBorder="1" applyAlignment="1">
      <alignment horizontal="center" vertical="top"/>
    </xf>
    <xf numFmtId="0" fontId="27" fillId="0" borderId="15" xfId="0" applyFont="1" applyBorder="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81" fillId="0" borderId="0" xfId="0" applyFont="1" applyAlignment="1">
      <alignment horizontal="center" vertical="center"/>
    </xf>
    <xf numFmtId="0" fontId="15" fillId="0" borderId="5" xfId="0" applyFont="1" applyBorder="1" applyAlignment="1">
      <alignment horizontal="left" vertical="top" wrapText="1"/>
    </xf>
    <xf numFmtId="0" fontId="15" fillId="0" borderId="7" xfId="0" applyFont="1" applyBorder="1" applyAlignment="1">
      <alignment horizontal="left" vertical="top" wrapText="1"/>
    </xf>
    <xf numFmtId="0" fontId="15" fillId="0" borderId="6" xfId="0" applyFont="1" applyBorder="1" applyAlignment="1">
      <alignment horizontal="left" vertical="top" wrapText="1"/>
    </xf>
    <xf numFmtId="0" fontId="38" fillId="12" borderId="5" xfId="0" applyFont="1" applyFill="1" applyBorder="1" applyAlignment="1">
      <alignment horizontal="left" vertical="top" wrapText="1"/>
    </xf>
    <xf numFmtId="0" fontId="38" fillId="12" borderId="6" xfId="0" applyFont="1" applyFill="1" applyBorder="1" applyAlignment="1">
      <alignment horizontal="left" vertical="top" wrapText="1"/>
    </xf>
    <xf numFmtId="0" fontId="38" fillId="0" borderId="5" xfId="0" applyFont="1" applyBorder="1" applyAlignment="1">
      <alignment horizontal="left" vertical="top" wrapText="1"/>
    </xf>
    <xf numFmtId="0" fontId="38" fillId="0" borderId="6" xfId="0" applyFont="1" applyBorder="1" applyAlignment="1">
      <alignment horizontal="left" vertical="top" wrapText="1"/>
    </xf>
    <xf numFmtId="0" fontId="15" fillId="0" borderId="24" xfId="0" applyFont="1" applyBorder="1" applyAlignment="1">
      <alignment horizontal="left" vertical="top" wrapText="1"/>
    </xf>
    <xf numFmtId="0" fontId="15" fillId="0" borderId="25" xfId="0" applyFont="1" applyBorder="1" applyAlignment="1">
      <alignment horizontal="left" vertical="top" wrapText="1"/>
    </xf>
    <xf numFmtId="0" fontId="15" fillId="0" borderId="22" xfId="0" applyFont="1" applyBorder="1" applyAlignment="1">
      <alignment horizontal="left" vertical="top" wrapText="1"/>
    </xf>
    <xf numFmtId="0" fontId="15" fillId="0" borderId="23" xfId="0" applyFont="1" applyBorder="1" applyAlignment="1">
      <alignment horizontal="left" vertical="top" wrapText="1"/>
    </xf>
    <xf numFmtId="0" fontId="15" fillId="0" borderId="0" xfId="0" applyFont="1" applyAlignment="1">
      <alignment horizontal="left" vertical="top" wrapText="1"/>
    </xf>
    <xf numFmtId="0" fontId="15" fillId="0" borderId="13" xfId="0" applyFont="1" applyBorder="1" applyAlignment="1">
      <alignment horizontal="left" vertical="top" wrapText="1"/>
    </xf>
    <xf numFmtId="0" fontId="38" fillId="0" borderId="7" xfId="0" applyFont="1" applyBorder="1" applyAlignment="1">
      <alignment horizontal="left" vertical="top" wrapText="1"/>
    </xf>
    <xf numFmtId="0" fontId="38" fillId="0" borderId="5" xfId="0" quotePrefix="1" applyFont="1" applyBorder="1" applyAlignment="1">
      <alignment horizontal="left" vertical="top" wrapText="1"/>
    </xf>
    <xf numFmtId="0" fontId="38" fillId="0" borderId="7" xfId="0" quotePrefix="1" applyFont="1" applyBorder="1" applyAlignment="1">
      <alignment horizontal="left" vertical="top" wrapText="1"/>
    </xf>
    <xf numFmtId="0" fontId="38" fillId="0" borderId="6" xfId="0" quotePrefix="1" applyFont="1" applyBorder="1" applyAlignment="1">
      <alignment horizontal="left" vertical="top" wrapText="1"/>
    </xf>
    <xf numFmtId="0" fontId="38" fillId="20" borderId="5" xfId="0" applyFont="1" applyFill="1" applyBorder="1" applyAlignment="1">
      <alignment horizontal="left" vertical="top" wrapText="1"/>
    </xf>
    <xf numFmtId="0" fontId="38" fillId="20" borderId="6" xfId="0" applyFont="1" applyFill="1" applyBorder="1" applyAlignment="1">
      <alignment horizontal="left" vertical="top" wrapText="1"/>
    </xf>
    <xf numFmtId="0" fontId="38" fillId="20" borderId="7" xfId="0" applyFont="1" applyFill="1" applyBorder="1" applyAlignment="1">
      <alignment horizontal="left" vertical="top" wrapText="1"/>
    </xf>
    <xf numFmtId="0" fontId="36" fillId="0" borderId="5" xfId="0" applyFont="1" applyBorder="1" applyAlignment="1">
      <alignment horizontal="center" vertical="top" wrapText="1"/>
    </xf>
    <xf numFmtId="0" fontId="36" fillId="0" borderId="7" xfId="0" applyFont="1" applyBorder="1" applyAlignment="1">
      <alignment horizontal="center" vertical="top" wrapText="1"/>
    </xf>
    <xf numFmtId="0" fontId="36" fillId="0" borderId="0" xfId="0" applyFont="1" applyAlignment="1">
      <alignment horizontal="center" wrapText="1"/>
    </xf>
    <xf numFmtId="0" fontId="38" fillId="0" borderId="5" xfId="0" applyFont="1" applyBorder="1" applyAlignment="1">
      <alignment horizontal="left" vertical="top" wrapText="1" readingOrder="1"/>
    </xf>
    <xf numFmtId="0" fontId="38" fillId="0" borderId="7" xfId="0" applyFont="1" applyBorder="1" applyAlignment="1">
      <alignment horizontal="left" vertical="top" wrapText="1" readingOrder="1"/>
    </xf>
    <xf numFmtId="0" fontId="38" fillId="0" borderId="6" xfId="0" applyFont="1" applyBorder="1" applyAlignment="1">
      <alignment horizontal="left" vertical="top" wrapText="1" readingOrder="1"/>
    </xf>
    <xf numFmtId="0" fontId="42" fillId="0" borderId="5" xfId="0" applyFont="1" applyBorder="1" applyAlignment="1">
      <alignment vertical="center"/>
    </xf>
    <xf numFmtId="0" fontId="43" fillId="16" borderId="24" xfId="0" applyFont="1" applyFill="1" applyBorder="1" applyAlignment="1">
      <alignment vertical="center"/>
    </xf>
    <xf numFmtId="0" fontId="44" fillId="12" borderId="5" xfId="0" applyFont="1" applyFill="1" applyBorder="1" applyAlignment="1">
      <alignment horizontal="center" vertical="center" wrapText="1"/>
    </xf>
    <xf numFmtId="0" fontId="36" fillId="11" borderId="5" xfId="0" applyFont="1" applyFill="1" applyBorder="1" applyAlignment="1">
      <alignment horizontal="center" vertical="center" wrapText="1"/>
    </xf>
    <xf numFmtId="0" fontId="36" fillId="11" borderId="6" xfId="0" applyFont="1" applyFill="1" applyBorder="1" applyAlignment="1">
      <alignment horizontal="center" vertical="center" wrapText="1"/>
    </xf>
    <xf numFmtId="0" fontId="36" fillId="11" borderId="3" xfId="0" applyFont="1" applyFill="1" applyBorder="1" applyAlignment="1">
      <alignment horizontal="center" vertical="center" wrapText="1"/>
    </xf>
    <xf numFmtId="0" fontId="36" fillId="11" borderId="11" xfId="0" applyFont="1" applyFill="1" applyBorder="1" applyAlignment="1">
      <alignment horizontal="center" vertical="center" wrapText="1"/>
    </xf>
    <xf numFmtId="0" fontId="36" fillId="11" borderId="12" xfId="0" applyFont="1" applyFill="1" applyBorder="1" applyAlignment="1">
      <alignment horizontal="center" vertical="center" wrapText="1"/>
    </xf>
    <xf numFmtId="0" fontId="38" fillId="0" borderId="10" xfId="0" applyFont="1" applyBorder="1" applyAlignment="1">
      <alignment horizontal="left" vertical="top" wrapText="1"/>
    </xf>
    <xf numFmtId="0" fontId="38" fillId="0" borderId="11" xfId="0" applyFont="1" applyBorder="1" applyAlignment="1">
      <alignment horizontal="left" vertical="top" wrapText="1"/>
    </xf>
    <xf numFmtId="0" fontId="38" fillId="0" borderId="3" xfId="0" applyFont="1" applyBorder="1" applyAlignment="1">
      <alignment horizontal="left" vertical="top" wrapText="1"/>
    </xf>
    <xf numFmtId="0" fontId="38" fillId="0" borderId="24" xfId="0" applyFont="1" applyBorder="1" applyAlignment="1">
      <alignment horizontal="left" vertical="top" wrapText="1"/>
    </xf>
    <xf numFmtId="0" fontId="38" fillId="0" borderId="25" xfId="0" applyFont="1" applyBorder="1" applyAlignment="1">
      <alignment horizontal="left" vertical="top" wrapText="1"/>
    </xf>
    <xf numFmtId="0" fontId="38" fillId="0" borderId="22" xfId="0" applyFont="1" applyBorder="1" applyAlignment="1">
      <alignment horizontal="left" vertical="top" wrapText="1"/>
    </xf>
    <xf numFmtId="0" fontId="38" fillId="0" borderId="8" xfId="0" applyFont="1" applyBorder="1" applyAlignment="1">
      <alignment horizontal="left" vertical="top" wrapText="1"/>
    </xf>
    <xf numFmtId="0" fontId="38" fillId="0" borderId="9" xfId="0" applyFont="1" applyBorder="1" applyAlignment="1">
      <alignment horizontal="left" vertical="top" wrapText="1"/>
    </xf>
    <xf numFmtId="0" fontId="31" fillId="0" borderId="0" xfId="2" applyFont="1" applyAlignment="1">
      <alignment horizontal="center" vertical="center" wrapText="1"/>
    </xf>
    <xf numFmtId="0" fontId="25" fillId="0" borderId="0" xfId="2" applyFont="1" applyAlignment="1">
      <alignment horizontal="center" vertical="center" wrapText="1"/>
    </xf>
    <xf numFmtId="0" fontId="28" fillId="9" borderId="20" xfId="3" applyFont="1" applyFill="1" applyBorder="1" applyAlignment="1">
      <alignment horizontal="center" vertical="center" wrapText="1"/>
    </xf>
    <xf numFmtId="0" fontId="28" fillId="9" borderId="21" xfId="3" applyFont="1" applyFill="1" applyBorder="1" applyAlignment="1">
      <alignment horizontal="center" vertical="center" wrapText="1"/>
    </xf>
    <xf numFmtId="0" fontId="29" fillId="9" borderId="17" xfId="3" applyFont="1" applyFill="1" applyBorder="1" applyAlignment="1">
      <alignment horizontal="center" vertical="center" wrapText="1"/>
    </xf>
    <xf numFmtId="0" fontId="27" fillId="9" borderId="17" xfId="3" applyFont="1" applyFill="1" applyBorder="1" applyAlignment="1">
      <alignment horizontal="center" vertical="center" wrapText="1"/>
    </xf>
    <xf numFmtId="0" fontId="29" fillId="9" borderId="3" xfId="3" applyFont="1" applyFill="1" applyBorder="1" applyAlignment="1">
      <alignment horizontal="center" vertical="center" wrapText="1"/>
    </xf>
    <xf numFmtId="0" fontId="27" fillId="9" borderId="3" xfId="3" applyFont="1" applyFill="1" applyBorder="1" applyAlignment="1">
      <alignment horizontal="center" vertical="center" wrapText="1"/>
    </xf>
    <xf numFmtId="0" fontId="35" fillId="0" borderId="0" xfId="2" applyFont="1" applyAlignment="1">
      <alignment horizontal="center" vertical="center"/>
    </xf>
    <xf numFmtId="0" fontId="27" fillId="9" borderId="16" xfId="3" applyFont="1" applyFill="1" applyBorder="1" applyAlignment="1">
      <alignment horizontal="center" vertical="center" wrapText="1"/>
    </xf>
    <xf numFmtId="0" fontId="27" fillId="9" borderId="18" xfId="3" applyFont="1" applyFill="1" applyBorder="1" applyAlignment="1">
      <alignment horizontal="center" vertical="center" wrapText="1"/>
    </xf>
    <xf numFmtId="0" fontId="27" fillId="9" borderId="19" xfId="3" applyFont="1" applyFill="1" applyBorder="1" applyAlignment="1">
      <alignment horizontal="center" vertical="center" wrapText="1"/>
    </xf>
    <xf numFmtId="0" fontId="25" fillId="9" borderId="16" xfId="3" applyFont="1" applyFill="1" applyBorder="1" applyAlignment="1">
      <alignment horizontal="center" vertical="center" wrapText="1"/>
    </xf>
    <xf numFmtId="0" fontId="7" fillId="0" borderId="0" xfId="0" applyFont="1" applyAlignment="1">
      <alignment horizontal="center" vertical="center"/>
    </xf>
    <xf numFmtId="0" fontId="50" fillId="0" borderId="0" xfId="0" applyFont="1" applyAlignment="1">
      <alignment horizontal="center"/>
    </xf>
    <xf numFmtId="0" fontId="13" fillId="0" borderId="0" xfId="0" applyFont="1" applyAlignment="1">
      <alignment horizontal="left" vertical="center" wrapText="1"/>
    </xf>
    <xf numFmtId="0" fontId="0" fillId="0" borderId="0" xfId="0" applyAlignment="1">
      <alignment vertical="center"/>
    </xf>
    <xf numFmtId="0" fontId="11" fillId="8" borderId="11" xfId="0" applyFont="1" applyFill="1" applyBorder="1" applyAlignment="1">
      <alignment horizontal="center" vertical="center" wrapText="1"/>
    </xf>
    <xf numFmtId="0" fontId="18" fillId="0" borderId="12" xfId="0" applyFont="1" applyBorder="1" applyAlignment="1">
      <alignment vertical="center"/>
    </xf>
    <xf numFmtId="0" fontId="13" fillId="0" borderId="7" xfId="0" applyFont="1" applyBorder="1" applyAlignment="1">
      <alignment horizontal="center" vertical="center" wrapText="1"/>
    </xf>
    <xf numFmtId="0" fontId="18" fillId="0" borderId="7" xfId="0" applyFont="1" applyBorder="1" applyAlignment="1">
      <alignment vertical="center"/>
    </xf>
    <xf numFmtId="0" fontId="11" fillId="0" borderId="0" xfId="0" applyFont="1" applyAlignment="1">
      <alignment horizontal="center" vertical="center"/>
    </xf>
    <xf numFmtId="0" fontId="17" fillId="8" borderId="11" xfId="0" applyFont="1" applyFill="1" applyBorder="1" applyAlignment="1">
      <alignment horizontal="center" vertical="center" wrapText="1"/>
    </xf>
    <xf numFmtId="0" fontId="36" fillId="0" borderId="0" xfId="0" applyFont="1" applyAlignment="1">
      <alignment horizontal="center" vertical="center"/>
    </xf>
    <xf numFmtId="0" fontId="36" fillId="0" borderId="0" xfId="0" applyFont="1" applyAlignment="1">
      <alignment horizontal="center" vertical="center" wrapText="1"/>
    </xf>
    <xf numFmtId="0" fontId="19" fillId="0" borderId="0" xfId="0" applyFont="1" applyAlignment="1">
      <alignment horizontal="left" vertical="center" wrapText="1"/>
    </xf>
    <xf numFmtId="0" fontId="17" fillId="0" borderId="13" xfId="0" applyFont="1" applyBorder="1" applyAlignment="1">
      <alignment horizontal="center" vertical="center"/>
    </xf>
    <xf numFmtId="0" fontId="18" fillId="0" borderId="13" xfId="0" applyFont="1" applyBorder="1" applyAlignment="1">
      <alignment vertical="center"/>
    </xf>
    <xf numFmtId="0" fontId="17" fillId="8" borderId="5" xfId="0" applyFont="1" applyFill="1" applyBorder="1" applyAlignment="1">
      <alignment horizontal="center" vertical="center" wrapText="1"/>
    </xf>
    <xf numFmtId="0" fontId="18" fillId="0" borderId="6" xfId="0" applyFont="1" applyBorder="1" applyAlignment="1">
      <alignment vertical="center"/>
    </xf>
    <xf numFmtId="0" fontId="18" fillId="0" borderId="14" xfId="0" applyFont="1" applyBorder="1" applyAlignment="1">
      <alignment vertical="center"/>
    </xf>
    <xf numFmtId="0" fontId="56" fillId="0" borderId="13" xfId="0" applyFont="1" applyBorder="1" applyAlignment="1">
      <alignment horizontal="center" vertical="top"/>
    </xf>
    <xf numFmtId="0" fontId="0" fillId="0" borderId="5" xfId="0" applyBorder="1" applyAlignment="1">
      <alignment horizontal="left" vertical="center" wrapText="1"/>
    </xf>
    <xf numFmtId="0" fontId="0" fillId="0" borderId="7"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top" wrapText="1"/>
    </xf>
    <xf numFmtId="0" fontId="0" fillId="0" borderId="7" xfId="0" applyBorder="1" applyAlignment="1">
      <alignment horizontal="left" vertical="top" wrapText="1"/>
    </xf>
    <xf numFmtId="0" fontId="0" fillId="0" borderId="6" xfId="0" applyBorder="1" applyAlignment="1">
      <alignment horizontal="left" vertical="top" wrapText="1"/>
    </xf>
    <xf numFmtId="0" fontId="10" fillId="7" borderId="3" xfId="0" applyFont="1" applyFill="1" applyBorder="1" applyAlignment="1">
      <alignment horizontal="center" vertical="center" wrapText="1"/>
    </xf>
    <xf numFmtId="0" fontId="10" fillId="7" borderId="11" xfId="0" applyFont="1" applyFill="1" applyBorder="1" applyAlignment="1">
      <alignment horizontal="center" vertical="center" wrapText="1"/>
    </xf>
    <xf numFmtId="0" fontId="71" fillId="7" borderId="24" xfId="0" applyFont="1" applyFill="1" applyBorder="1" applyAlignment="1">
      <alignment horizontal="center" vertical="center" wrapText="1"/>
    </xf>
    <xf numFmtId="0" fontId="71" fillId="7" borderId="22" xfId="0" applyFont="1" applyFill="1" applyBorder="1" applyAlignment="1">
      <alignment horizontal="center" vertical="center" wrapText="1"/>
    </xf>
    <xf numFmtId="0" fontId="71" fillId="7" borderId="5" xfId="0" applyFont="1" applyFill="1" applyBorder="1" applyAlignment="1">
      <alignment horizontal="center" vertical="center" wrapText="1"/>
    </xf>
    <xf numFmtId="0" fontId="71" fillId="7" borderId="6" xfId="0" applyFont="1" applyFill="1" applyBorder="1" applyAlignment="1">
      <alignment horizontal="center" vertical="center" wrapText="1"/>
    </xf>
    <xf numFmtId="0" fontId="71" fillId="7" borderId="8" xfId="0" applyFont="1" applyFill="1" applyBorder="1" applyAlignment="1">
      <alignment horizontal="center" vertical="center" wrapText="1"/>
    </xf>
    <xf numFmtId="0" fontId="71" fillId="7" borderId="10" xfId="0" applyFont="1" applyFill="1" applyBorder="1" applyAlignment="1">
      <alignment horizontal="center" vertical="center" wrapText="1"/>
    </xf>
    <xf numFmtId="0" fontId="60" fillId="0" borderId="5" xfId="0" applyFont="1" applyBorder="1" applyAlignment="1">
      <alignment horizontal="center" vertical="center"/>
    </xf>
    <xf numFmtId="0" fontId="60" fillId="0" borderId="7" xfId="0" applyFont="1" applyBorder="1" applyAlignment="1">
      <alignment horizontal="center" vertical="center"/>
    </xf>
    <xf numFmtId="0" fontId="60" fillId="0" borderId="6" xfId="0" applyFont="1" applyBorder="1" applyAlignment="1">
      <alignment horizontal="center" vertical="center"/>
    </xf>
    <xf numFmtId="0" fontId="0" fillId="0" borderId="5" xfId="0" applyBorder="1" applyAlignment="1">
      <alignment horizontal="center" vertical="center"/>
    </xf>
    <xf numFmtId="0" fontId="0" fillId="0" borderId="7" xfId="0" applyBorder="1" applyAlignment="1">
      <alignment horizontal="center" vertical="center"/>
    </xf>
    <xf numFmtId="0" fontId="0" fillId="0" borderId="6" xfId="0" applyBorder="1" applyAlignment="1">
      <alignment horizontal="center" vertical="center"/>
    </xf>
    <xf numFmtId="0" fontId="59" fillId="0" borderId="5" xfId="0" applyFont="1" applyBorder="1" applyAlignment="1">
      <alignment horizontal="left" vertical="center" wrapText="1"/>
    </xf>
    <xf numFmtId="0" fontId="59" fillId="0" borderId="7" xfId="0" applyFont="1" applyBorder="1" applyAlignment="1">
      <alignment horizontal="left" vertical="center" wrapText="1"/>
    </xf>
    <xf numFmtId="0" fontId="59" fillId="0" borderId="6" xfId="0" applyFont="1" applyBorder="1" applyAlignment="1">
      <alignment horizontal="left" vertical="center" wrapText="1"/>
    </xf>
    <xf numFmtId="0" fontId="59" fillId="0" borderId="5" xfId="0" applyFont="1" applyBorder="1" applyAlignment="1">
      <alignment horizontal="center" vertical="center"/>
    </xf>
    <xf numFmtId="0" fontId="59" fillId="0" borderId="7" xfId="0" applyFont="1" applyBorder="1" applyAlignment="1">
      <alignment horizontal="center" vertical="center"/>
    </xf>
    <xf numFmtId="0" fontId="59" fillId="0" borderId="6" xfId="0" applyFont="1" applyBorder="1" applyAlignment="1">
      <alignment horizontal="center" vertical="center"/>
    </xf>
    <xf numFmtId="0" fontId="10" fillId="7" borderId="5" xfId="0" applyFont="1" applyFill="1" applyBorder="1" applyAlignment="1">
      <alignment horizontal="center" vertical="center" wrapText="1"/>
    </xf>
    <xf numFmtId="0" fontId="60" fillId="0" borderId="5" xfId="0" applyFont="1" applyBorder="1" applyAlignment="1">
      <alignment horizontal="left" vertical="center" wrapText="1"/>
    </xf>
    <xf numFmtId="0" fontId="60" fillId="0" borderId="7" xfId="0" applyFont="1" applyBorder="1" applyAlignment="1">
      <alignment horizontal="left" vertical="center" wrapText="1"/>
    </xf>
    <xf numFmtId="0" fontId="60" fillId="0" borderId="6" xfId="0" applyFont="1" applyBorder="1" applyAlignment="1">
      <alignment horizontal="left" vertical="center" wrapText="1"/>
    </xf>
    <xf numFmtId="0" fontId="60" fillId="0" borderId="9" xfId="0" applyFont="1" applyBorder="1" applyAlignment="1">
      <alignment horizontal="center" vertical="center"/>
    </xf>
    <xf numFmtId="0" fontId="60" fillId="0" borderId="10" xfId="0" applyFont="1" applyBorder="1" applyAlignment="1">
      <alignment horizontal="center" vertical="center"/>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8" xfId="0" applyBorder="1" applyAlignment="1">
      <alignment horizontal="center" vertical="top" wrapText="1"/>
    </xf>
    <xf numFmtId="0" fontId="0" fillId="0" borderId="9" xfId="0" applyBorder="1" applyAlignment="1">
      <alignment horizontal="center" vertical="top" wrapText="1"/>
    </xf>
    <xf numFmtId="0" fontId="0" fillId="0" borderId="10" xfId="0" applyBorder="1" applyAlignment="1">
      <alignment horizontal="center" vertical="top" wrapText="1"/>
    </xf>
    <xf numFmtId="0" fontId="0" fillId="0" borderId="5" xfId="0" applyBorder="1" applyAlignment="1">
      <alignment horizontal="center" vertical="top"/>
    </xf>
    <xf numFmtId="0" fontId="0" fillId="0" borderId="7" xfId="0" applyBorder="1" applyAlignment="1">
      <alignment horizontal="center" vertical="top"/>
    </xf>
    <xf numFmtId="0" fontId="0" fillId="0" borderId="6" xfId="0" applyBorder="1" applyAlignment="1">
      <alignment horizontal="center" vertical="top"/>
    </xf>
    <xf numFmtId="0" fontId="59" fillId="0" borderId="5" xfId="0" applyFont="1" applyBorder="1" applyAlignment="1">
      <alignment horizontal="center" vertical="top" wrapText="1"/>
    </xf>
    <xf numFmtId="0" fontId="59" fillId="0" borderId="7" xfId="0" applyFont="1" applyBorder="1" applyAlignment="1">
      <alignment horizontal="center" vertical="top" wrapText="1"/>
    </xf>
    <xf numFmtId="0" fontId="59" fillId="0" borderId="6" xfId="0" applyFont="1" applyBorder="1" applyAlignment="1">
      <alignment horizontal="center" vertical="top" wrapText="1"/>
    </xf>
    <xf numFmtId="0" fontId="59" fillId="0" borderId="5" xfId="0" applyFont="1" applyBorder="1" applyAlignment="1">
      <alignment horizontal="center" vertical="top"/>
    </xf>
    <xf numFmtId="0" fontId="59" fillId="0" borderId="7" xfId="0" applyFont="1" applyBorder="1" applyAlignment="1">
      <alignment horizontal="center" vertical="top"/>
    </xf>
    <xf numFmtId="0" fontId="59" fillId="0" borderId="6" xfId="0" applyFont="1" applyBorder="1" applyAlignment="1">
      <alignment horizontal="center" vertical="top"/>
    </xf>
    <xf numFmtId="0" fontId="59" fillId="0" borderId="5" xfId="0" applyFont="1" applyBorder="1" applyAlignment="1">
      <alignment horizontal="left" vertical="top" wrapText="1"/>
    </xf>
    <xf numFmtId="0" fontId="59" fillId="0" borderId="7" xfId="0" applyFont="1" applyBorder="1" applyAlignment="1">
      <alignment horizontal="left" vertical="top" wrapText="1"/>
    </xf>
    <xf numFmtId="0" fontId="59" fillId="0" borderId="6" xfId="0" applyFont="1" applyBorder="1" applyAlignment="1">
      <alignment horizontal="left" vertical="top" wrapText="1"/>
    </xf>
    <xf numFmtId="0" fontId="60" fillId="0" borderId="5" xfId="0" applyFont="1" applyBorder="1" applyAlignment="1">
      <alignment horizontal="left" vertical="top" wrapText="1"/>
    </xf>
    <xf numFmtId="0" fontId="60" fillId="0" borderId="6" xfId="0" applyFont="1" applyBorder="1" applyAlignment="1">
      <alignment horizontal="left" vertical="top" wrapText="1"/>
    </xf>
    <xf numFmtId="0" fontId="60" fillId="0" borderId="5" xfId="0" applyFont="1" applyBorder="1" applyAlignment="1">
      <alignment horizontal="center" vertical="top"/>
    </xf>
    <xf numFmtId="0" fontId="60" fillId="0" borderId="6" xfId="0" applyFont="1" applyBorder="1" applyAlignment="1">
      <alignment horizontal="center" vertical="top"/>
    </xf>
    <xf numFmtId="0" fontId="60" fillId="0" borderId="7" xfId="0" applyFont="1" applyBorder="1" applyAlignment="1">
      <alignment horizontal="left" vertical="top" wrapText="1"/>
    </xf>
    <xf numFmtId="0" fontId="60" fillId="0" borderId="7" xfId="0" applyFont="1" applyBorder="1" applyAlignment="1">
      <alignment horizontal="center" vertical="top"/>
    </xf>
    <xf numFmtId="0" fontId="61" fillId="0" borderId="8" xfId="0" applyFont="1" applyBorder="1" applyAlignment="1">
      <alignment horizontal="left" vertical="top" wrapText="1"/>
    </xf>
    <xf numFmtId="0" fontId="61" fillId="0" borderId="9" xfId="0" applyFont="1" applyBorder="1" applyAlignment="1">
      <alignment horizontal="left" vertical="top" wrapText="1"/>
    </xf>
    <xf numFmtId="0" fontId="61" fillId="0" borderId="10" xfId="0" applyFont="1"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0" fillId="0" borderId="10" xfId="0" applyBorder="1" applyAlignment="1">
      <alignment horizontal="left" vertical="top" wrapText="1"/>
    </xf>
    <xf numFmtId="0" fontId="0" fillId="0" borderId="5" xfId="0" applyBorder="1" applyAlignment="1">
      <alignment vertical="top" wrapText="1"/>
    </xf>
    <xf numFmtId="0" fontId="0" fillId="0" borderId="6" xfId="0" applyBorder="1" applyAlignment="1">
      <alignment vertical="top" wrapText="1"/>
    </xf>
    <xf numFmtId="0" fontId="0" fillId="0" borderId="5" xfId="0" applyBorder="1" applyAlignment="1">
      <alignment horizontal="center" vertical="top" wrapText="1"/>
    </xf>
    <xf numFmtId="0" fontId="0" fillId="0" borderId="7" xfId="0" applyBorder="1" applyAlignment="1">
      <alignment horizontal="center" vertical="top" wrapText="1"/>
    </xf>
    <xf numFmtId="0" fontId="0" fillId="0" borderId="6" xfId="0" applyBorder="1" applyAlignment="1">
      <alignment horizontal="center" vertical="top" wrapText="1"/>
    </xf>
    <xf numFmtId="0" fontId="60" fillId="0" borderId="5" xfId="0" applyFont="1" applyBorder="1" applyAlignment="1">
      <alignment horizontal="center" vertical="top" wrapText="1"/>
    </xf>
    <xf numFmtId="0" fontId="60" fillId="0" borderId="6" xfId="0" applyFont="1" applyBorder="1" applyAlignment="1">
      <alignment horizontal="center" vertical="top" wrapText="1"/>
    </xf>
    <xf numFmtId="0" fontId="60" fillId="0" borderId="7" xfId="0" applyFont="1" applyBorder="1" applyAlignment="1">
      <alignment horizontal="center" vertical="top" wrapText="1"/>
    </xf>
    <xf numFmtId="0" fontId="61" fillId="0" borderId="8" xfId="0" applyFont="1" applyBorder="1" applyAlignment="1">
      <alignment horizontal="center" vertical="top" wrapText="1"/>
    </xf>
    <xf numFmtId="0" fontId="61" fillId="0" borderId="10" xfId="0" applyFont="1" applyBorder="1" applyAlignment="1">
      <alignment horizontal="center" vertical="top" wrapText="1"/>
    </xf>
    <xf numFmtId="0" fontId="61" fillId="0" borderId="11" xfId="0" applyFont="1" applyBorder="1" applyAlignment="1">
      <alignment horizontal="center" vertical="top" wrapText="1"/>
    </xf>
    <xf numFmtId="0" fontId="61" fillId="0" borderId="5" xfId="0" applyFont="1" applyBorder="1" applyAlignment="1">
      <alignment horizontal="left" vertical="top" wrapText="1"/>
    </xf>
    <xf numFmtId="0" fontId="61" fillId="0" borderId="6" xfId="0" applyFont="1" applyBorder="1" applyAlignment="1">
      <alignment horizontal="left" vertical="top" wrapText="1"/>
    </xf>
    <xf numFmtId="0" fontId="0" fillId="0" borderId="11" xfId="0" applyBorder="1" applyAlignment="1">
      <alignment horizontal="center" vertical="top" wrapText="1"/>
    </xf>
    <xf numFmtId="0" fontId="0" fillId="0" borderId="3" xfId="0" applyBorder="1" applyAlignment="1">
      <alignment horizontal="left" vertical="top" wrapText="1"/>
    </xf>
    <xf numFmtId="0" fontId="60" fillId="0" borderId="8" xfId="0" applyFont="1" applyBorder="1" applyAlignment="1">
      <alignment horizontal="center" vertical="top" wrapText="1"/>
    </xf>
    <xf numFmtId="0" fontId="60" fillId="0" borderId="10" xfId="0" applyFont="1" applyBorder="1" applyAlignment="1">
      <alignment horizontal="center" vertical="top" wrapText="1"/>
    </xf>
    <xf numFmtId="0" fontId="59" fillId="0" borderId="8" xfId="0" applyFont="1" applyBorder="1" applyAlignment="1">
      <alignment horizontal="center" vertical="top" wrapText="1"/>
    </xf>
    <xf numFmtId="0" fontId="59" fillId="0" borderId="9" xfId="0" applyFont="1" applyBorder="1" applyAlignment="1">
      <alignment horizontal="center" vertical="top" wrapText="1"/>
    </xf>
    <xf numFmtId="0" fontId="0" fillId="0" borderId="5" xfId="0" applyBorder="1" applyAlignment="1">
      <alignment horizontal="left" vertical="center"/>
    </xf>
    <xf numFmtId="0" fontId="0" fillId="0" borderId="6" xfId="0" applyBorder="1" applyAlignment="1">
      <alignment horizontal="left" vertical="center"/>
    </xf>
    <xf numFmtId="0" fontId="63" fillId="0" borderId="5" xfId="0" applyFont="1" applyBorder="1" applyAlignment="1">
      <alignment horizontal="center" vertical="center"/>
    </xf>
    <xf numFmtId="0" fontId="63" fillId="0" borderId="6" xfId="0" applyFont="1"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22" xfId="0" applyBorder="1" applyAlignment="1">
      <alignment horizontal="center" vertical="center"/>
    </xf>
    <xf numFmtId="0" fontId="0" fillId="0" borderId="5" xfId="0" applyBorder="1" applyAlignment="1">
      <alignment horizontal="center" vertical="center" wrapText="1"/>
    </xf>
    <xf numFmtId="0" fontId="0" fillId="0" borderId="7" xfId="0" applyBorder="1" applyAlignment="1">
      <alignment horizontal="center" vertical="center" wrapText="1"/>
    </xf>
    <xf numFmtId="0" fontId="0" fillId="0" borderId="6" xfId="0" applyBorder="1" applyAlignment="1">
      <alignment horizontal="center" vertical="center" wrapText="1"/>
    </xf>
    <xf numFmtId="0" fontId="0" fillId="0" borderId="5" xfId="0" applyBorder="1" applyAlignment="1">
      <alignment horizontal="left" vertical="top"/>
    </xf>
    <xf numFmtId="0" fontId="0" fillId="0" borderId="7" xfId="0" applyBorder="1" applyAlignment="1">
      <alignment horizontal="left" vertical="top"/>
    </xf>
    <xf numFmtId="0" fontId="0" fillId="0" borderId="7" xfId="0" applyBorder="1" applyAlignment="1">
      <alignment horizontal="left"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7" fillId="0" borderId="0" xfId="0" applyFont="1" applyAlignment="1">
      <alignment horizontal="center"/>
    </xf>
    <xf numFmtId="0" fontId="63" fillId="0" borderId="5" xfId="0" applyFont="1" applyBorder="1" applyAlignment="1">
      <alignment horizontal="left" vertical="center" wrapText="1"/>
    </xf>
    <xf numFmtId="0" fontId="63" fillId="0" borderId="7" xfId="0" applyFont="1" applyBorder="1" applyAlignment="1">
      <alignment horizontal="left" vertical="center" wrapText="1"/>
    </xf>
    <xf numFmtId="0" fontId="63" fillId="0" borderId="6" xfId="0" applyFont="1" applyBorder="1" applyAlignment="1">
      <alignment horizontal="left" vertical="center" wrapText="1"/>
    </xf>
    <xf numFmtId="0" fontId="0" fillId="0" borderId="3" xfId="0" applyBorder="1" applyAlignment="1">
      <alignment horizontal="center" vertical="center"/>
    </xf>
    <xf numFmtId="0" fontId="0" fillId="0" borderId="23" xfId="0" applyBorder="1" applyAlignment="1">
      <alignment horizontal="left" vertical="center" wrapText="1"/>
    </xf>
    <xf numFmtId="0" fontId="0" fillId="0" borderId="13" xfId="0" applyBorder="1" applyAlignment="1">
      <alignment horizontal="left" vertical="center" wrapText="1"/>
    </xf>
    <xf numFmtId="0" fontId="0" fillId="0" borderId="3" xfId="0" applyBorder="1" applyAlignment="1">
      <alignment horizontal="left" vertical="center" wrapText="1"/>
    </xf>
    <xf numFmtId="0" fontId="63" fillId="0" borderId="3" xfId="0" applyFont="1" applyBorder="1" applyAlignment="1">
      <alignment horizontal="left" vertical="center"/>
    </xf>
    <xf numFmtId="0" fontId="63" fillId="0" borderId="5" xfId="0" applyFont="1" applyBorder="1" applyAlignment="1">
      <alignment horizontal="left" vertical="center"/>
    </xf>
    <xf numFmtId="0" fontId="63" fillId="0" borderId="3" xfId="0" applyFont="1" applyBorder="1" applyAlignment="1">
      <alignment horizontal="left" vertical="center" wrapText="1"/>
    </xf>
    <xf numFmtId="0" fontId="0" fillId="0" borderId="3" xfId="0" applyBorder="1" applyAlignment="1">
      <alignment horizontal="center" vertical="center" wrapText="1"/>
    </xf>
    <xf numFmtId="0" fontId="63" fillId="13" borderId="3" xfId="0" applyFont="1" applyFill="1" applyBorder="1" applyAlignment="1">
      <alignment horizontal="left" vertical="center" wrapText="1"/>
    </xf>
    <xf numFmtId="0" fontId="0" fillId="0" borderId="12" xfId="0" applyBorder="1" applyAlignment="1">
      <alignment horizontal="center" vertical="center"/>
    </xf>
    <xf numFmtId="0" fontId="63" fillId="0" borderId="3" xfId="0" applyFont="1" applyBorder="1" applyAlignment="1">
      <alignment horizontal="center" vertical="center" wrapText="1"/>
    </xf>
    <xf numFmtId="0" fontId="63" fillId="0" borderId="5" xfId="0" applyFont="1" applyBorder="1" applyAlignment="1">
      <alignment horizontal="center" vertical="center" wrapText="1"/>
    </xf>
    <xf numFmtId="0" fontId="63" fillId="0" borderId="3" xfId="0" applyFont="1" applyBorder="1" applyAlignment="1">
      <alignment horizontal="center"/>
    </xf>
    <xf numFmtId="0" fontId="63" fillId="0" borderId="5" xfId="0" applyFont="1" applyBorder="1" applyAlignment="1">
      <alignment horizontal="center"/>
    </xf>
    <xf numFmtId="0" fontId="50" fillId="0" borderId="0" xfId="0" applyFont="1" applyAlignment="1">
      <alignment horizontal="center" vertical="center" wrapText="1"/>
    </xf>
    <xf numFmtId="0" fontId="0" fillId="0" borderId="16" xfId="0" applyBorder="1" applyAlignment="1">
      <alignment horizontal="center" vertical="center"/>
    </xf>
    <xf numFmtId="0" fontId="50" fillId="0" borderId="3" xfId="0" applyFont="1" applyBorder="1" applyAlignment="1">
      <alignment horizontal="left" vertical="center"/>
    </xf>
    <xf numFmtId="0" fontId="50" fillId="0" borderId="3" xfId="0" applyFont="1" applyBorder="1" applyAlignment="1">
      <alignment horizontal="left" vertical="top"/>
    </xf>
    <xf numFmtId="0" fontId="50" fillId="0" borderId="3" xfId="0" applyFont="1" applyBorder="1" applyAlignment="1">
      <alignment horizontal="left" vertical="center" wrapText="1"/>
    </xf>
    <xf numFmtId="0" fontId="0" fillId="0" borderId="17" xfId="0" applyBorder="1" applyAlignment="1">
      <alignment horizontal="center"/>
    </xf>
    <xf numFmtId="0" fontId="0" fillId="0" borderId="19" xfId="0" applyBorder="1" applyAlignment="1">
      <alignment horizontal="center"/>
    </xf>
    <xf numFmtId="0" fontId="0" fillId="0" borderId="18" xfId="0" applyBorder="1" applyAlignment="1">
      <alignment horizontal="center"/>
    </xf>
    <xf numFmtId="0" fontId="0" fillId="0" borderId="16" xfId="0" applyBorder="1" applyAlignment="1">
      <alignment horizontal="center"/>
    </xf>
    <xf numFmtId="0" fontId="52" fillId="23" borderId="17" xfId="0" applyFont="1" applyFill="1" applyBorder="1" applyAlignment="1">
      <alignment horizontal="center" vertical="center"/>
    </xf>
    <xf numFmtId="0" fontId="52" fillId="23" borderId="19" xfId="0" applyFont="1" applyFill="1" applyBorder="1" applyAlignment="1">
      <alignment horizontal="center" vertical="center"/>
    </xf>
    <xf numFmtId="0" fontId="52" fillId="23" borderId="18" xfId="0" applyFont="1" applyFill="1" applyBorder="1" applyAlignment="1">
      <alignment horizontal="center" vertical="center"/>
    </xf>
    <xf numFmtId="0" fontId="52" fillId="23" borderId="16" xfId="0" applyFont="1" applyFill="1" applyBorder="1" applyAlignment="1">
      <alignment horizontal="center" vertical="center"/>
    </xf>
    <xf numFmtId="0" fontId="52" fillId="23" borderId="20" xfId="0" applyFont="1" applyFill="1" applyBorder="1" applyAlignment="1">
      <alignment horizontal="center" vertical="center"/>
    </xf>
    <xf numFmtId="0" fontId="52" fillId="23" borderId="21" xfId="0" applyFont="1" applyFill="1" applyBorder="1" applyAlignment="1">
      <alignment horizontal="center" vertical="center"/>
    </xf>
    <xf numFmtId="49" fontId="52" fillId="23" borderId="20" xfId="0" applyNumberFormat="1" applyFont="1" applyFill="1" applyBorder="1" applyAlignment="1">
      <alignment horizontal="center" vertical="center"/>
    </xf>
    <xf numFmtId="49" fontId="52" fillId="23" borderId="21" xfId="0" applyNumberFormat="1" applyFont="1" applyFill="1" applyBorder="1" applyAlignment="1">
      <alignment horizontal="center" vertical="center"/>
    </xf>
    <xf numFmtId="0" fontId="95" fillId="29" borderId="33" xfId="0" applyFont="1" applyFill="1" applyBorder="1" applyAlignment="1">
      <alignment horizontal="center" vertical="center"/>
    </xf>
    <xf numFmtId="0" fontId="38" fillId="0" borderId="0" xfId="0" applyFont="1" applyAlignment="1"/>
    <xf numFmtId="0" fontId="39" fillId="0" borderId="7" xfId="0" applyFont="1" applyBorder="1" applyAlignment="1"/>
    <xf numFmtId="0" fontId="39" fillId="0" borderId="6" xfId="0" applyFont="1" applyBorder="1" applyAlignment="1"/>
    <xf numFmtId="0" fontId="39" fillId="0" borderId="25" xfId="0" applyFont="1" applyBorder="1" applyAlignment="1"/>
    <xf numFmtId="0" fontId="39" fillId="0" borderId="22" xfId="0" applyFont="1" applyBorder="1" applyAlignment="1"/>
  </cellXfs>
  <cellStyles count="4">
    <cellStyle name="Hyperlink" xfId="1" builtinId="8"/>
    <cellStyle name="Normal" xfId="0" builtinId="0"/>
    <cellStyle name="Normal 2" xfId="3" xr:uid="{40469FC6-64C8-415E-B19F-FF659B84512B}"/>
    <cellStyle name="Normal 3" xfId="2" xr:uid="{535E9A5F-4CA1-4D8D-BBE7-AECF766E9086}"/>
  </cellStyles>
  <dxfs count="112">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amridio_zulhilmi_saifinnuha_pu_go_id/Documents/Kendala%20Paket%20Tender%20Seleksi%20BP2JK%20Jatim%202025.xlsx" TargetMode="External"/><Relationship Id="rId1" Type="http://schemas.openxmlformats.org/officeDocument/2006/relationships/externalLinkPath" Target="/personal/amridio_zulhilmi_saifinnuha_pu_go_id/Documents/Kendala%20Paket%20Tender%20Seleksi%20BP2JK%20Jatim%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uat analisa kinerja"/>
    </sheetNames>
    <sheetDataSet>
      <sheetData sheetId="0"/>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urut a-z" id="{CE6B8984-CF52-43F4-B365-B9066146A7A0}"/>
</namedSheetView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3" Type="http://schemas.openxmlformats.org/officeDocument/2006/relationships/hyperlink" Target="https://1drv.ms/f/c/f4f886efd947f863/IgBE8jk03D3MTK6c7inqw91VAU117D42a119HhOIobrrmvw?e=nWXGpy" TargetMode="External"/><Relationship Id="rId18" Type="http://schemas.openxmlformats.org/officeDocument/2006/relationships/hyperlink" Target="https://drive.google.com/file/d/1etbXkVkeKdWXgY2d54LkGQ1ePeJNusGH/view?usp=drive_link" TargetMode="External"/><Relationship Id="rId26" Type="http://schemas.openxmlformats.org/officeDocument/2006/relationships/hyperlink" Target="https://drive.google.com/drive/folders/1a_halu97Fu2Sa73MmRxmJpN3gECvZtpH?usp=drive_link" TargetMode="External"/><Relationship Id="rId21" Type="http://schemas.openxmlformats.org/officeDocument/2006/relationships/hyperlink" Target="https://drive.google.com/drive/folders/1EINCa-qUav1hnAZb5pPK1jvDYpoxrR9Y?usp=sharing" TargetMode="External"/><Relationship Id="rId34" Type="http://schemas.openxmlformats.org/officeDocument/2006/relationships/hyperlink" Target="https://drive.google.com/drive/folders/1u9PsfPhl_8qqaUw-tHxWTDgHSj0VmPXk" TargetMode="External"/><Relationship Id="rId7" Type="http://schemas.openxmlformats.org/officeDocument/2006/relationships/hyperlink" Target="https://drive.google.com/drive/folders/1jiXm9rrXSDCswVlZBDiSwIisce2JBM-z" TargetMode="External"/><Relationship Id="rId12" Type="http://schemas.openxmlformats.org/officeDocument/2006/relationships/hyperlink" Target="https://drive.google.com/drive/folders/1aPe9n1ns5be3hR2eaLU4Z7OsarqilHPM?usp=drive_link" TargetMode="External"/><Relationship Id="rId17" Type="http://schemas.openxmlformats.org/officeDocument/2006/relationships/hyperlink" Target="https://drive.google.com/file/d/1-Eb8XnGfkNTuz9uTXB1M2mqv0nbLa1yO/view?usp=drive_link" TargetMode="External"/><Relationship Id="rId25" Type="http://schemas.openxmlformats.org/officeDocument/2006/relationships/hyperlink" Target="https://drive.google.com/drive/folders/1S2KfJ0_b0NyIMSQ_PAghBRXvYqqEdWbY?usp=drive_link" TargetMode="External"/><Relationship Id="rId33" Type="http://schemas.openxmlformats.org/officeDocument/2006/relationships/hyperlink" Target="https://drive.google.com/drive/folders/1igCKt0Qv-mUA2cmUA9m8Sr9YnzEMHC3t?usp=drive_link" TargetMode="External"/><Relationship Id="rId2" Type="http://schemas.openxmlformats.org/officeDocument/2006/relationships/hyperlink" Target="https://drive.google.com/drive/folders/1jiXm9rrXSDCswVlZBDiSwIisce2JBM-z" TargetMode="External"/><Relationship Id="rId16" Type="http://schemas.openxmlformats.org/officeDocument/2006/relationships/hyperlink" Target="https://drive.google.com/file/d/1xPZ-5fVTeAj3NPbRDnytGp5XP0FHpOJ6/view?usp=drive_link" TargetMode="External"/><Relationship Id="rId20" Type="http://schemas.openxmlformats.org/officeDocument/2006/relationships/hyperlink" Target="https://drive.google.com/file/d/1-Eb8XnGfkNTuz9uTXB1M2mqv0nbLa1yO/view?usp=drive_link" TargetMode="External"/><Relationship Id="rId29" Type="http://schemas.openxmlformats.org/officeDocument/2006/relationships/hyperlink" Target="https://drive.google.com/file/d/1QDz4NjUL_nzSd3ucxi8Q42y6lXbE2gpd/view?usp=sharing" TargetMode="External"/><Relationship Id="rId1" Type="http://schemas.openxmlformats.org/officeDocument/2006/relationships/hyperlink" Target="https://drive.google.com/drive/folders/1jiXm9rrXSDCswVlZBDiSwIisce2JBM-z" TargetMode="External"/><Relationship Id="rId6" Type="http://schemas.openxmlformats.org/officeDocument/2006/relationships/hyperlink" Target="https://drive.google.com/drive/folders/1jiXm9rrXSDCswVlZBDiSwIisce2JBM-z" TargetMode="External"/><Relationship Id="rId11" Type="http://schemas.openxmlformats.org/officeDocument/2006/relationships/hyperlink" Target="https://drive.google.com/drive/folders/1PinSM_1nrcmaofSoViVXEytSyLbn3sR7?usp=drive_link" TargetMode="External"/><Relationship Id="rId24" Type="http://schemas.openxmlformats.org/officeDocument/2006/relationships/hyperlink" Target="https://drive.google.com/drive/folders/1ZgL98oHAEwywZfjXHHKNpee6PeefDmyo?usp=drive_link" TargetMode="External"/><Relationship Id="rId32" Type="http://schemas.openxmlformats.org/officeDocument/2006/relationships/hyperlink" Target="https://drive.google.com/drive/folders/1wkS3uE--R-QIieIUBQ-glRNczEIKhJmz?usp=drive_link" TargetMode="External"/><Relationship Id="rId37" Type="http://schemas.openxmlformats.org/officeDocument/2006/relationships/hyperlink" Target="https://drive.google.com/drive/folders/1obF3QRZABRWs05WKZCrvcJ1CCqpTDtr5?usp=drive_link" TargetMode="External"/><Relationship Id="rId5" Type="http://schemas.openxmlformats.org/officeDocument/2006/relationships/hyperlink" Target="https://drive.google.com/drive/folders/1jiXm9rrXSDCswVlZBDiSwIisce2JBM-z" TargetMode="External"/><Relationship Id="rId15" Type="http://schemas.openxmlformats.org/officeDocument/2006/relationships/hyperlink" Target="https://drive.google.com/file/d/1FWwb9kuwEVVox56TpWfaVGDT4APKk8rd/view?usp=drive_link" TargetMode="External"/><Relationship Id="rId23" Type="http://schemas.openxmlformats.org/officeDocument/2006/relationships/hyperlink" Target="https://puprtes-my.sharepoint.com/:f:/g/personal/chofifa_hidayati_pu_go_id/EvGnaZxHG49AloA48Fz1GvABHXQ_1MVJcn2khVMwNuidlg?e=YEe4cc" TargetMode="External"/><Relationship Id="rId28" Type="http://schemas.openxmlformats.org/officeDocument/2006/relationships/hyperlink" Target="https://drive.google.com/file/d/1FRs5LoMGK5HdDuhDYcS-WUVt6nTIQjor/view?usp=sharing" TargetMode="External"/><Relationship Id="rId36" Type="http://schemas.openxmlformats.org/officeDocument/2006/relationships/hyperlink" Target="https://drive.google.com/file/d/1SkDQRc6NR07qwtCJ9y7hticxcvf9gnvR/view?usp=drive_link" TargetMode="External"/><Relationship Id="rId10" Type="http://schemas.openxmlformats.org/officeDocument/2006/relationships/hyperlink" Target="https://drive.google.com/drive/folders/16aBuRNg0KXRCRJ4XORmua_cwSWpdI0H8?usp=drive_link" TargetMode="External"/><Relationship Id="rId19" Type="http://schemas.openxmlformats.org/officeDocument/2006/relationships/hyperlink" Target="https://drive.google.com/file/d/1xPZ-5fVTeAj3NPbRDnytGp5XP0FHpOJ6/view?usp=drive_link" TargetMode="External"/><Relationship Id="rId31" Type="http://schemas.openxmlformats.org/officeDocument/2006/relationships/hyperlink" Target="https://puprtes-my.sharepoint.com/:f:/g/personal/rahmandaraf_pu_go_id/Et7aYK_qPFNAvnth8QoAmmABp5aeG6Q5hKXH3TD3JD1gIQ?e=4ZfdEK" TargetMode="External"/><Relationship Id="rId4" Type="http://schemas.openxmlformats.org/officeDocument/2006/relationships/hyperlink" Target="https://drive.google.com/drive/folders/1jiXm9rrXSDCswVlZBDiSwIisce2JBM-z" TargetMode="External"/><Relationship Id="rId9" Type="http://schemas.openxmlformats.org/officeDocument/2006/relationships/hyperlink" Target="https://drive.google.com/file/d/1XWdW3lP5bRVxaTiy75i2MWlxrCCPhrAx/view?usp=drive_link" TargetMode="External"/><Relationship Id="rId14" Type="http://schemas.openxmlformats.org/officeDocument/2006/relationships/hyperlink" Target="https://drive.google.com/drive/folders/14xbSEFgo4nmLenoiDpyF0GAFg4TaLkRF?usp=drive_link" TargetMode="External"/><Relationship Id="rId22" Type="http://schemas.openxmlformats.org/officeDocument/2006/relationships/hyperlink" Target="https://drive.google.com/drive/folders/1RbwovcCO-SzVSZ06pIVuO9cHjZAEAjZM?usp=drive_link" TargetMode="External"/><Relationship Id="rId27" Type="http://schemas.openxmlformats.org/officeDocument/2006/relationships/hyperlink" Target="https://drive.google.com/file/d/1QBxcdEEOpFLRhzMP_9r013QNOmB1BUyw/view?usp=sharing" TargetMode="External"/><Relationship Id="rId30" Type="http://schemas.openxmlformats.org/officeDocument/2006/relationships/hyperlink" Target="https://drive.google.com/file/d/1ctagdn2sGhKwHNg_AOFg0tX5Xcx9tnQE/view?usp=sharing" TargetMode="External"/><Relationship Id="rId35" Type="http://schemas.openxmlformats.org/officeDocument/2006/relationships/hyperlink" Target="https://puprtes-my.sharepoint.com/:b:/g/personal/budiputomo_pu_go_id/IQBS5F9VJZZrSLkDo2YJkNahAYLvF27CSz-Vuq0LBLlYuGk?e=yjGgDK" TargetMode="External"/><Relationship Id="rId8" Type="http://schemas.openxmlformats.org/officeDocument/2006/relationships/hyperlink" Target="https://drive.google.com/drive/folders/13DbrcpndLbNFpjMUd_-5jYdRPveog8vA" TargetMode="External"/><Relationship Id="rId3" Type="http://schemas.openxmlformats.org/officeDocument/2006/relationships/hyperlink" Target="https://drive.google.com/drive/folders/1jiXm9rrXSDCswVlZBDiSwIisce2JBM-z"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st/"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puprtes-my.sharepoint.com/:b:/r/personal/ode_sitiandini_pu_go_id/Documents/Sertifikat%20BP2JK%20Jatim/2.%20Ode%20Siti%20Andini%20Ladamay/2.%20Sertifikat%20Tada%20eps%2012%20Ode.pdf?csf=1&amp;web=1&amp;e=oYYe0U" TargetMode="External"/><Relationship Id="rId2" Type="http://schemas.openxmlformats.org/officeDocument/2006/relationships/hyperlink" Target="https://puprtes-my.sharepoint.com/:b:/r/personal/ode_sitiandini_pu_go_id/Documents/Sertifikat%20BP2JK%20Jatim/2.%20Ode%20Siti%20Andini%20Ladamay/1.%20Sertifikat%20CDE%20Ode.pdf?csf=1&amp;web=1&amp;e=uAW75z" TargetMode="External"/><Relationship Id="rId1" Type="http://schemas.openxmlformats.org/officeDocument/2006/relationships/hyperlink" Target="https://puprtes-my.sharepoint.com/:f:/g/personal/ode_sitiandini_pu_go_id/IgAEFGWSyvMwRqbMd5kRbc6tAUIMpwsgh6UHt19Q1BoC1Vo?e=ZqiBub" TargetMode="External"/><Relationship Id="rId5" Type="http://schemas.openxmlformats.org/officeDocument/2006/relationships/hyperlink" Target="https://puprtes-my.sharepoint.com/:b:/r/personal/ode_sitiandini_pu_go_id/Documents/Sertifikat%20BP2JK%20Jatim/2.%20Ode%20Siti%20Andini%20Ladamay/4.%20Sertifikat%20CMC%20Ode.pdf?csf=1&amp;web=1&amp;e=vDmDFh" TargetMode="External"/><Relationship Id="rId4" Type="http://schemas.openxmlformats.org/officeDocument/2006/relationships/hyperlink" Target="https://puprtes-my.sharepoint.com/:b:/r/personal/ode_sitiandini_pu_go_id/Documents/Sertifikat%20BP2JK%20Jatim/2.%20Ode%20Siti%20Andini%20Ladamay/3.%20Serifikat%20Gratifikasi%20Ode.pdf?csf=1&amp;web=1&amp;e=DUadPm" TargetMode="External"/></Relationships>
</file>

<file path=xl/worksheets/_rels/sheet14.xml.rels><?xml version="1.0" encoding="UTF-8" standalone="yes"?>
<Relationships xmlns="http://schemas.openxmlformats.org/package/2006/relationships"><Relationship Id="rId2" Type="http://schemas.openxmlformats.org/officeDocument/2006/relationships/hyperlink" Target="http://s.st/" TargetMode="External"/><Relationship Id="rId1" Type="http://schemas.openxmlformats.org/officeDocument/2006/relationships/hyperlink" Target="http://s.st/" TargetMode="External"/></Relationships>
</file>

<file path=xl/worksheets/_rels/sheet28.xml.rels><?xml version="1.0" encoding="UTF-8" standalone="yes"?>
<Relationships xmlns="http://schemas.openxmlformats.org/package/2006/relationships"><Relationship Id="rId8" Type="http://schemas.openxmlformats.org/officeDocument/2006/relationships/hyperlink" Target="mailto:inakko@gmail.com" TargetMode="External"/><Relationship Id="rId13" Type="http://schemas.openxmlformats.org/officeDocument/2006/relationships/hyperlink" Target="mailto:pt_rajendrapratamajaya@yahoo.com" TargetMode="External"/><Relationship Id="rId18" Type="http://schemas.openxmlformats.org/officeDocument/2006/relationships/hyperlink" Target="mailto:pt.garisputihsejajar@yahoo.com" TargetMode="External"/><Relationship Id="rId26" Type="http://schemas.openxmlformats.org/officeDocument/2006/relationships/hyperlink" Target="mailto:aria_jasa@yahoo.co.id" TargetMode="External"/><Relationship Id="rId3" Type="http://schemas.openxmlformats.org/officeDocument/2006/relationships/hyperlink" Target="mailto:moderna_tehnik_perkasa02@yahoo.com" TargetMode="External"/><Relationship Id="rId21" Type="http://schemas.openxmlformats.org/officeDocument/2006/relationships/hyperlink" Target="mailto:pesonasaktiindonesia@gmail.com" TargetMode="External"/><Relationship Id="rId7" Type="http://schemas.openxmlformats.org/officeDocument/2006/relationships/hyperlink" Target="mailto:atharrazkatatajaya@gmail.com" TargetMode="External"/><Relationship Id="rId12" Type="http://schemas.openxmlformats.org/officeDocument/2006/relationships/hyperlink" Target="mailto:pt_adhistya@yahoo.com" TargetMode="External"/><Relationship Id="rId17" Type="http://schemas.openxmlformats.org/officeDocument/2006/relationships/hyperlink" Target="mailto:surya_mkon@yahoo.co.id" TargetMode="External"/><Relationship Id="rId25" Type="http://schemas.openxmlformats.org/officeDocument/2006/relationships/hyperlink" Target="mailto:arkitron.pt@gmail.com" TargetMode="External"/><Relationship Id="rId2" Type="http://schemas.openxmlformats.org/officeDocument/2006/relationships/hyperlink" Target="mailto:ikaadya@yahoo.co.id" TargetMode="External"/><Relationship Id="rId16" Type="http://schemas.openxmlformats.org/officeDocument/2006/relationships/hyperlink" Target="mailto:diantamarekanusapt@gmail.com" TargetMode="External"/><Relationship Id="rId20" Type="http://schemas.openxmlformats.org/officeDocument/2006/relationships/hyperlink" Target="mailto:pt_rajendrapratamajaya@yahoo.com" TargetMode="External"/><Relationship Id="rId1" Type="http://schemas.openxmlformats.org/officeDocument/2006/relationships/hyperlink" Target="mailto:inakko@gmail.com%20/%20msw_skrd@yahoo.id%20/%20%20%20bhawanaprasasta10@yahoo.com" TargetMode="External"/><Relationship Id="rId6" Type="http://schemas.openxmlformats.org/officeDocument/2006/relationships/hyperlink" Target="mailto:modern.makmur.mandiri03@gmail.com" TargetMode="External"/><Relationship Id="rId11" Type="http://schemas.openxmlformats.org/officeDocument/2006/relationships/hyperlink" Target="mailto:dutabhuanajaya@yahoo.com" TargetMode="External"/><Relationship Id="rId24" Type="http://schemas.openxmlformats.org/officeDocument/2006/relationships/hyperlink" Target="mailto:corsec@manggalakarya.com" TargetMode="External"/><Relationship Id="rId5" Type="http://schemas.openxmlformats.org/officeDocument/2006/relationships/hyperlink" Target="mailto:antusias_raya@yahoo.co.id" TargetMode="External"/><Relationship Id="rId15" Type="http://schemas.openxmlformats.org/officeDocument/2006/relationships/hyperlink" Target="mailto:rayakonsult@bdg.centrin.net.id" TargetMode="External"/><Relationship Id="rId23" Type="http://schemas.openxmlformats.org/officeDocument/2006/relationships/hyperlink" Target="mailto:biro.ps@ptpp.co.id" TargetMode="External"/><Relationship Id="rId28" Type="http://schemas.microsoft.com/office/2019/04/relationships/namedSheetView" Target="../namedSheetViews/namedSheetView1.xml"/><Relationship Id="rId10" Type="http://schemas.openxmlformats.org/officeDocument/2006/relationships/hyperlink" Target="mailto:tenderkonsultan@agrinaspangan.id" TargetMode="External"/><Relationship Id="rId19" Type="http://schemas.openxmlformats.org/officeDocument/2006/relationships/hyperlink" Target="mailto:jayaetikateknik@yahoo.com.sg" TargetMode="External"/><Relationship Id="rId4" Type="http://schemas.openxmlformats.org/officeDocument/2006/relationships/hyperlink" Target="mailto:ptmarinda.uks@gmail.com" TargetMode="External"/><Relationship Id="rId9" Type="http://schemas.openxmlformats.org/officeDocument/2006/relationships/hyperlink" Target="https://spse.inaproc.id/pu/nontender/10436739000/pengumumanpl" TargetMode="External"/><Relationship Id="rId14" Type="http://schemas.openxmlformats.org/officeDocument/2006/relationships/hyperlink" Target="https://spse.inaproc.id/pu/nontender/10469958000/pengumumanpl" TargetMode="External"/><Relationship Id="rId22" Type="http://schemas.openxmlformats.org/officeDocument/2006/relationships/hyperlink" Target="mailto:cv.centrina_engineering@yahoo.com" TargetMode="External"/><Relationship Id="rId27" Type="http://schemas.openxmlformats.org/officeDocument/2006/relationships/hyperlink" Target="mailto:krida_sby@yahoo.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J35"/>
  <sheetViews>
    <sheetView topLeftCell="A17" workbookViewId="0">
      <selection activeCell="D19" sqref="D19"/>
    </sheetView>
  </sheetViews>
  <sheetFormatPr defaultRowHeight="15"/>
  <cols>
    <col min="1" max="1" width="4.85546875" customWidth="1"/>
    <col min="2" max="2" width="31.85546875" customWidth="1"/>
    <col min="3" max="3" width="21.140625" customWidth="1"/>
    <col min="4" max="4" width="15" customWidth="1"/>
    <col min="5" max="5" width="27.140625" customWidth="1"/>
    <col min="6" max="6" width="19.42578125" customWidth="1"/>
    <col min="7" max="8" width="11.7109375" customWidth="1"/>
    <col min="9" max="9" width="13.140625" customWidth="1"/>
    <col min="10" max="10" width="29.85546875" customWidth="1"/>
  </cols>
  <sheetData>
    <row r="3" spans="1:10" ht="48">
      <c r="A3" s="3" t="s">
        <v>0</v>
      </c>
      <c r="B3" s="4" t="s">
        <v>1</v>
      </c>
      <c r="C3" s="4" t="s">
        <v>2</v>
      </c>
      <c r="D3" s="4" t="s">
        <v>3</v>
      </c>
      <c r="E3" s="4" t="s">
        <v>4</v>
      </c>
      <c r="F3" s="4" t="s">
        <v>5</v>
      </c>
      <c r="G3" s="4" t="s">
        <v>6</v>
      </c>
      <c r="H3" s="4" t="s">
        <v>7</v>
      </c>
      <c r="I3" s="4" t="s">
        <v>8</v>
      </c>
      <c r="J3" s="4" t="s">
        <v>9</v>
      </c>
    </row>
    <row r="4" spans="1:10" ht="36">
      <c r="A4" s="9">
        <v>1</v>
      </c>
      <c r="B4" s="8" t="s">
        <v>10</v>
      </c>
      <c r="C4" s="10" t="s">
        <v>11</v>
      </c>
      <c r="D4" s="13" t="s">
        <v>12</v>
      </c>
      <c r="E4" s="8" t="s">
        <v>13</v>
      </c>
      <c r="F4" s="8" t="s">
        <v>14</v>
      </c>
      <c r="G4" s="5">
        <v>44286</v>
      </c>
      <c r="H4" s="5">
        <v>45352</v>
      </c>
      <c r="I4" s="6">
        <v>101.042</v>
      </c>
      <c r="J4" s="1"/>
    </row>
    <row r="5" spans="1:10" ht="36">
      <c r="A5" s="9">
        <v>2</v>
      </c>
      <c r="B5" s="8" t="s">
        <v>15</v>
      </c>
      <c r="C5" s="10" t="s">
        <v>16</v>
      </c>
      <c r="D5" s="13" t="s">
        <v>17</v>
      </c>
      <c r="E5" s="8" t="s">
        <v>13</v>
      </c>
      <c r="F5" s="8" t="s">
        <v>14</v>
      </c>
      <c r="G5" s="5">
        <v>43374</v>
      </c>
      <c r="H5" s="5">
        <v>44197</v>
      </c>
      <c r="I5" s="6">
        <v>0</v>
      </c>
      <c r="J5" s="2" t="s">
        <v>18</v>
      </c>
    </row>
    <row r="6" spans="1:10" ht="24">
      <c r="A6" s="9">
        <v>3</v>
      </c>
      <c r="B6" s="8" t="s">
        <v>19</v>
      </c>
      <c r="C6" s="10" t="s">
        <v>20</v>
      </c>
      <c r="D6" s="12" t="s">
        <v>21</v>
      </c>
      <c r="E6" s="8" t="s">
        <v>22</v>
      </c>
      <c r="F6" s="8" t="s">
        <v>23</v>
      </c>
      <c r="G6" s="5">
        <v>45017</v>
      </c>
      <c r="H6" s="5">
        <v>45566</v>
      </c>
      <c r="I6" s="6">
        <v>162.5</v>
      </c>
      <c r="J6" s="1"/>
    </row>
    <row r="7" spans="1:10" ht="36">
      <c r="A7" s="9">
        <v>4</v>
      </c>
      <c r="B7" s="8" t="s">
        <v>24</v>
      </c>
      <c r="C7" s="11">
        <v>1.9710307200701101E+17</v>
      </c>
      <c r="D7" s="12" t="s">
        <v>25</v>
      </c>
      <c r="E7" s="8" t="s">
        <v>13</v>
      </c>
      <c r="F7" s="8" t="s">
        <v>26</v>
      </c>
      <c r="G7" s="5">
        <v>44835</v>
      </c>
      <c r="H7" s="5">
        <v>45352</v>
      </c>
      <c r="I7" s="6">
        <v>37.5</v>
      </c>
      <c r="J7" s="1"/>
    </row>
    <row r="8" spans="1:10" ht="36">
      <c r="A8" s="9">
        <v>5</v>
      </c>
      <c r="B8" s="8" t="s">
        <v>27</v>
      </c>
      <c r="C8" s="11">
        <v>1.99609182019032E+17</v>
      </c>
      <c r="D8" s="12" t="s">
        <v>28</v>
      </c>
      <c r="E8" s="8" t="s">
        <v>13</v>
      </c>
      <c r="F8" s="8" t="s">
        <v>14</v>
      </c>
      <c r="G8" s="5">
        <v>45200</v>
      </c>
      <c r="H8" s="5">
        <v>44044</v>
      </c>
      <c r="I8" s="6">
        <v>110.45</v>
      </c>
      <c r="J8" s="1"/>
    </row>
    <row r="9" spans="1:10" ht="24">
      <c r="A9" s="9">
        <v>6</v>
      </c>
      <c r="B9" s="8" t="s">
        <v>29</v>
      </c>
      <c r="C9" s="11">
        <v>1.9840501201012198E+17</v>
      </c>
      <c r="D9" s="12" t="s">
        <v>30</v>
      </c>
      <c r="E9" s="8" t="s">
        <v>22</v>
      </c>
      <c r="F9" s="8" t="s">
        <v>23</v>
      </c>
      <c r="G9" s="5">
        <v>44287</v>
      </c>
      <c r="H9" s="5">
        <v>45566</v>
      </c>
      <c r="I9" s="6">
        <v>215.625</v>
      </c>
      <c r="J9" s="1"/>
    </row>
    <row r="10" spans="1:10" ht="36">
      <c r="A10" s="9">
        <v>7</v>
      </c>
      <c r="B10" s="8" t="s">
        <v>31</v>
      </c>
      <c r="C10" s="11">
        <v>1.9890107202012099E+17</v>
      </c>
      <c r="D10" s="12" t="s">
        <v>32</v>
      </c>
      <c r="E10" s="8" t="s">
        <v>13</v>
      </c>
      <c r="F10" s="8" t="s">
        <v>14</v>
      </c>
      <c r="G10" s="5">
        <v>44166</v>
      </c>
      <c r="H10" s="5">
        <v>44166</v>
      </c>
      <c r="I10" s="6">
        <v>0</v>
      </c>
      <c r="J10" s="2" t="s">
        <v>18</v>
      </c>
    </row>
    <row r="11" spans="1:10" ht="36">
      <c r="A11" s="9">
        <v>8</v>
      </c>
      <c r="B11" s="8" t="s">
        <v>33</v>
      </c>
      <c r="C11" s="11">
        <v>1.9910309201903101E+17</v>
      </c>
      <c r="D11" s="12" t="s">
        <v>34</v>
      </c>
      <c r="E11" s="8" t="s">
        <v>13</v>
      </c>
      <c r="F11" s="8" t="s">
        <v>14</v>
      </c>
      <c r="G11" s="5">
        <v>45689</v>
      </c>
      <c r="H11" s="5">
        <v>44013</v>
      </c>
      <c r="I11" s="6">
        <v>80.75</v>
      </c>
      <c r="J11" s="1"/>
    </row>
    <row r="12" spans="1:10" ht="36">
      <c r="A12" s="9">
        <v>9</v>
      </c>
      <c r="B12" s="8" t="s">
        <v>35</v>
      </c>
      <c r="C12" s="11">
        <v>1.9890219201903101E+17</v>
      </c>
      <c r="D12" s="12" t="s">
        <v>36</v>
      </c>
      <c r="E12" s="8" t="s">
        <v>13</v>
      </c>
      <c r="F12" s="8" t="s">
        <v>37</v>
      </c>
      <c r="G12" s="5">
        <v>43525</v>
      </c>
      <c r="H12" s="5">
        <v>44013</v>
      </c>
      <c r="I12" s="6">
        <v>46.5</v>
      </c>
      <c r="J12" s="1"/>
    </row>
    <row r="13" spans="1:10" ht="36">
      <c r="A13" s="9">
        <v>10</v>
      </c>
      <c r="B13" s="8" t="s">
        <v>38</v>
      </c>
      <c r="C13" s="11">
        <v>1.9910405201903101E+17</v>
      </c>
      <c r="D13" s="12" t="s">
        <v>39</v>
      </c>
      <c r="E13" s="8" t="s">
        <v>13</v>
      </c>
      <c r="F13" s="8" t="s">
        <v>26</v>
      </c>
      <c r="G13" s="5">
        <v>45566</v>
      </c>
      <c r="H13" s="5">
        <v>43525</v>
      </c>
      <c r="I13" s="6">
        <v>88.25</v>
      </c>
      <c r="J13" s="1"/>
    </row>
    <row r="14" spans="1:10" ht="36">
      <c r="A14" s="9">
        <v>11</v>
      </c>
      <c r="B14" s="8" t="s">
        <v>40</v>
      </c>
      <c r="C14" s="11">
        <v>1.9940309202012198E+17</v>
      </c>
      <c r="D14" s="12" t="s">
        <v>41</v>
      </c>
      <c r="E14" s="8" t="s">
        <v>13</v>
      </c>
      <c r="F14" s="8" t="s">
        <v>14</v>
      </c>
      <c r="G14" s="5">
        <v>45689</v>
      </c>
      <c r="H14" s="5">
        <v>44593</v>
      </c>
      <c r="I14" s="6">
        <v>83.94</v>
      </c>
      <c r="J14" s="1"/>
    </row>
    <row r="15" spans="1:10" ht="24">
      <c r="A15" s="9">
        <v>12</v>
      </c>
      <c r="B15" s="8" t="s">
        <v>42</v>
      </c>
      <c r="C15" s="11">
        <v>1.9921105202012198E+17</v>
      </c>
      <c r="D15" s="12" t="s">
        <v>43</v>
      </c>
      <c r="E15" s="8" t="s">
        <v>22</v>
      </c>
      <c r="F15" s="8" t="s">
        <v>14</v>
      </c>
      <c r="G15" s="5">
        <v>45931</v>
      </c>
      <c r="H15" s="5">
        <v>45839</v>
      </c>
      <c r="I15" s="6">
        <v>18.75</v>
      </c>
      <c r="J15" s="1"/>
    </row>
    <row r="16" spans="1:10" ht="36">
      <c r="A16" s="9">
        <v>13</v>
      </c>
      <c r="B16" s="8" t="s">
        <v>44</v>
      </c>
      <c r="C16" s="11">
        <v>1.9950513202012198E+17</v>
      </c>
      <c r="D16" s="12" t="s">
        <v>45</v>
      </c>
      <c r="E16" s="8" t="s">
        <v>13</v>
      </c>
      <c r="F16" s="8" t="s">
        <v>14</v>
      </c>
      <c r="G16" s="5">
        <v>46023</v>
      </c>
      <c r="H16" s="5">
        <v>45962</v>
      </c>
      <c r="I16" s="6">
        <v>6.25</v>
      </c>
      <c r="J16" s="1"/>
    </row>
    <row r="17" spans="1:10" ht="36">
      <c r="A17" s="9">
        <v>14</v>
      </c>
      <c r="B17" s="8" t="s">
        <v>46</v>
      </c>
      <c r="C17" s="11">
        <v>1.9951024202012099E+17</v>
      </c>
      <c r="D17" s="12" t="s">
        <v>47</v>
      </c>
      <c r="E17" s="8" t="s">
        <v>13</v>
      </c>
      <c r="F17" s="8" t="s">
        <v>14</v>
      </c>
      <c r="G17" s="5">
        <v>45566</v>
      </c>
      <c r="H17" s="5">
        <v>44593</v>
      </c>
      <c r="I17" s="6">
        <v>85.2</v>
      </c>
      <c r="J17" s="1"/>
    </row>
    <row r="18" spans="1:10" ht="36">
      <c r="A18" s="9">
        <v>15</v>
      </c>
      <c r="B18" s="8" t="s">
        <v>48</v>
      </c>
      <c r="C18" s="11">
        <v>1.9920926202012198E+17</v>
      </c>
      <c r="D18" s="12" t="s">
        <v>49</v>
      </c>
      <c r="E18" s="8" t="s">
        <v>13</v>
      </c>
      <c r="F18" s="8" t="s">
        <v>14</v>
      </c>
      <c r="G18" s="5">
        <v>46023</v>
      </c>
      <c r="H18" s="5">
        <v>45962</v>
      </c>
      <c r="I18" s="6">
        <v>4.1669999999999998</v>
      </c>
      <c r="J18" s="1"/>
    </row>
    <row r="19" spans="1:10" ht="36">
      <c r="A19" s="9">
        <v>16</v>
      </c>
      <c r="B19" s="8" t="s">
        <v>50</v>
      </c>
      <c r="C19" s="11">
        <v>1.9950329202012198E+17</v>
      </c>
      <c r="D19" s="12" t="s">
        <v>51</v>
      </c>
      <c r="E19" s="8" t="s">
        <v>13</v>
      </c>
      <c r="F19" s="8" t="s">
        <v>14</v>
      </c>
      <c r="G19" s="5">
        <v>45931</v>
      </c>
      <c r="H19" s="5">
        <v>44593</v>
      </c>
      <c r="I19" s="6">
        <v>69.48</v>
      </c>
      <c r="J19" s="1"/>
    </row>
    <row r="20" spans="1:10" ht="24">
      <c r="A20" s="9">
        <v>17</v>
      </c>
      <c r="B20" s="8" t="s">
        <v>52</v>
      </c>
      <c r="C20" s="11">
        <v>1.9860610201012198E+17</v>
      </c>
      <c r="D20" s="12" t="s">
        <v>53</v>
      </c>
      <c r="E20" s="8" t="s">
        <v>22</v>
      </c>
      <c r="F20" s="8" t="s">
        <v>23</v>
      </c>
      <c r="G20" s="5">
        <v>45017</v>
      </c>
      <c r="H20" s="5">
        <v>45566</v>
      </c>
      <c r="I20" s="6">
        <v>156.25</v>
      </c>
      <c r="J20" s="1"/>
    </row>
    <row r="21" spans="1:10" ht="36">
      <c r="A21" s="9">
        <v>18</v>
      </c>
      <c r="B21" s="8" t="s">
        <v>54</v>
      </c>
      <c r="C21" s="11">
        <v>1.9950715202012099E+17</v>
      </c>
      <c r="D21" s="12" t="s">
        <v>55</v>
      </c>
      <c r="E21" s="8" t="s">
        <v>13</v>
      </c>
      <c r="F21" s="8" t="s">
        <v>14</v>
      </c>
      <c r="G21" s="5">
        <v>45873</v>
      </c>
      <c r="H21" s="5">
        <v>44593</v>
      </c>
      <c r="I21" s="6">
        <v>63.192</v>
      </c>
      <c r="J21" s="1"/>
    </row>
    <row r="22" spans="1:10" ht="36">
      <c r="A22" s="9">
        <v>19</v>
      </c>
      <c r="B22" s="8" t="s">
        <v>56</v>
      </c>
      <c r="C22" s="11">
        <v>1.9950101202012099E+17</v>
      </c>
      <c r="D22" s="12" t="s">
        <v>57</v>
      </c>
      <c r="E22" s="8" t="s">
        <v>13</v>
      </c>
      <c r="F22" s="8" t="s">
        <v>14</v>
      </c>
      <c r="G22" s="5">
        <v>45748</v>
      </c>
      <c r="H22" s="5">
        <v>44593</v>
      </c>
      <c r="I22" s="6">
        <v>65.260000000000005</v>
      </c>
      <c r="J22" s="1"/>
    </row>
    <row r="23" spans="1:10" ht="36">
      <c r="A23" s="9">
        <v>20</v>
      </c>
      <c r="B23" s="8" t="s">
        <v>58</v>
      </c>
      <c r="C23" s="11">
        <v>1.9901008202012099E+17</v>
      </c>
      <c r="D23" s="12" t="s">
        <v>59</v>
      </c>
      <c r="E23" s="8" t="s">
        <v>13</v>
      </c>
      <c r="F23" s="8" t="s">
        <v>26</v>
      </c>
      <c r="G23" s="5">
        <v>44531</v>
      </c>
      <c r="H23" s="5">
        <v>44593</v>
      </c>
      <c r="I23" s="6">
        <v>53.81</v>
      </c>
      <c r="J23" s="1"/>
    </row>
    <row r="24" spans="1:10">
      <c r="A24" s="7"/>
      <c r="G24" s="7"/>
      <c r="H24" s="7"/>
      <c r="I24" s="7"/>
    </row>
    <row r="25" spans="1:10">
      <c r="A25" s="7"/>
      <c r="G25" s="7"/>
      <c r="H25" s="7"/>
      <c r="I25" s="7"/>
    </row>
    <row r="26" spans="1:10">
      <c r="A26" s="7"/>
      <c r="G26" s="7"/>
      <c r="H26" s="7"/>
      <c r="I26" s="7"/>
    </row>
    <row r="27" spans="1:10">
      <c r="A27" s="7"/>
      <c r="G27" s="7"/>
      <c r="H27" s="7"/>
      <c r="I27" s="7"/>
    </row>
    <row r="28" spans="1:10">
      <c r="A28" s="7"/>
      <c r="G28" s="7"/>
      <c r="H28" s="7"/>
      <c r="I28" s="7"/>
    </row>
    <row r="29" spans="1:10">
      <c r="A29" s="7"/>
      <c r="G29" s="7"/>
      <c r="H29" s="7"/>
      <c r="I29" s="7"/>
    </row>
    <row r="30" spans="1:10">
      <c r="A30" s="7"/>
      <c r="G30" s="7"/>
      <c r="H30" s="7"/>
      <c r="I30" s="7"/>
    </row>
    <row r="31" spans="1:10">
      <c r="A31" s="7"/>
      <c r="G31" s="7"/>
      <c r="H31" s="7"/>
      <c r="I31" s="7"/>
    </row>
    <row r="32" spans="1:10">
      <c r="A32" s="7"/>
      <c r="G32" s="7"/>
      <c r="H32" s="7"/>
      <c r="I32" s="7"/>
    </row>
    <row r="33" spans="1:9">
      <c r="A33" s="7"/>
      <c r="G33" s="7"/>
      <c r="H33" s="7"/>
      <c r="I33" s="7"/>
    </row>
    <row r="34" spans="1:9">
      <c r="A34" s="7"/>
      <c r="G34" s="7"/>
      <c r="H34" s="7"/>
      <c r="I34" s="7"/>
    </row>
    <row r="35" spans="1:9">
      <c r="A35"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4AC00-6DEF-4619-85D9-24A7F5028CF5}">
  <dimension ref="A1:Q524"/>
  <sheetViews>
    <sheetView zoomScale="70" zoomScaleNormal="70" workbookViewId="0"/>
  </sheetViews>
  <sheetFormatPr defaultRowHeight="15"/>
  <cols>
    <col min="1" max="1" width="5.7109375" style="7" customWidth="1"/>
    <col min="2" max="2" width="26.42578125" style="864" customWidth="1"/>
    <col min="3" max="3" width="18" style="16" customWidth="1"/>
    <col min="4" max="4" width="35.85546875" style="16" customWidth="1"/>
    <col min="5" max="5" width="5.5703125" style="7" customWidth="1"/>
    <col min="6" max="6" width="4.140625" style="7" customWidth="1"/>
    <col min="7" max="7" width="16.5703125" style="16" customWidth="1"/>
    <col min="8" max="9" width="24.42578125" style="812" customWidth="1"/>
    <col min="10" max="10" width="17.42578125" style="813" customWidth="1"/>
    <col min="11" max="12" width="8.5703125" style="814" customWidth="1"/>
    <col min="13" max="13" width="11.5703125" style="42" customWidth="1"/>
    <col min="14" max="14" width="18.85546875" style="815" customWidth="1"/>
    <col min="15" max="15" width="9.140625" style="16"/>
    <col min="16" max="16" width="17.28515625" style="16" customWidth="1"/>
    <col min="17" max="17" width="7.28515625" style="16" customWidth="1"/>
    <col min="18" max="16384" width="9.140625" style="16"/>
  </cols>
  <sheetData>
    <row r="1" spans="1:17" ht="44.25" customHeight="1">
      <c r="A1" s="1527" t="s">
        <v>60</v>
      </c>
      <c r="B1" s="1527"/>
      <c r="C1" s="1527"/>
      <c r="D1" s="1527"/>
      <c r="E1" s="1527"/>
      <c r="F1" s="1527"/>
      <c r="G1" s="1527"/>
    </row>
    <row r="2" spans="1:17" ht="12.75" customHeight="1">
      <c r="A2" s="650" t="s">
        <v>61</v>
      </c>
      <c r="B2" s="816" t="s">
        <v>62</v>
      </c>
      <c r="C2" s="650" t="s">
        <v>2</v>
      </c>
      <c r="D2" s="651" t="s">
        <v>63</v>
      </c>
      <c r="E2" s="650" t="s">
        <v>64</v>
      </c>
      <c r="F2" s="650" t="s">
        <v>65</v>
      </c>
      <c r="G2" s="650" t="s">
        <v>66</v>
      </c>
      <c r="H2" s="817" t="s">
        <v>67</v>
      </c>
      <c r="I2" s="817" t="s">
        <v>68</v>
      </c>
      <c r="J2" s="817" t="s">
        <v>69</v>
      </c>
      <c r="K2" s="818" t="s">
        <v>70</v>
      </c>
      <c r="L2" s="818" t="s">
        <v>71</v>
      </c>
      <c r="M2" s="819" t="s">
        <v>72</v>
      </c>
      <c r="N2" s="819" t="s">
        <v>9</v>
      </c>
    </row>
    <row r="3" spans="1:17" s="825" customFormat="1">
      <c r="A3" s="820">
        <v>1</v>
      </c>
      <c r="B3" s="821">
        <v>2</v>
      </c>
      <c r="C3" s="820">
        <v>3</v>
      </c>
      <c r="D3" s="820">
        <v>4</v>
      </c>
      <c r="E3" s="820">
        <v>5</v>
      </c>
      <c r="F3" s="820">
        <v>6</v>
      </c>
      <c r="G3" s="820">
        <v>7</v>
      </c>
      <c r="H3" s="822">
        <v>8</v>
      </c>
      <c r="I3" s="822">
        <v>9</v>
      </c>
      <c r="J3" s="822">
        <v>10</v>
      </c>
      <c r="K3" s="823">
        <v>11</v>
      </c>
      <c r="L3" s="823">
        <v>12</v>
      </c>
      <c r="M3" s="824">
        <v>13</v>
      </c>
      <c r="N3" s="824">
        <v>14</v>
      </c>
    </row>
    <row r="4" spans="1:17" ht="15" hidden="1" customHeight="1">
      <c r="A4" s="650"/>
      <c r="B4" s="826" t="s">
        <v>73</v>
      </c>
      <c r="C4" s="827" t="s">
        <v>74</v>
      </c>
      <c r="D4" s="828" t="s">
        <v>75</v>
      </c>
      <c r="E4" s="829" t="s">
        <v>76</v>
      </c>
      <c r="F4" s="829" t="s">
        <v>77</v>
      </c>
      <c r="G4" s="830" t="s">
        <v>78</v>
      </c>
      <c r="H4" s="831" t="s">
        <v>79</v>
      </c>
      <c r="I4" s="831"/>
      <c r="J4" s="831"/>
      <c r="K4" s="832" t="s">
        <v>80</v>
      </c>
      <c r="L4" s="832"/>
      <c r="M4" s="651"/>
      <c r="N4" s="651"/>
    </row>
    <row r="5" spans="1:17" ht="15" hidden="1" customHeight="1">
      <c r="A5" s="650"/>
      <c r="B5" s="826" t="s">
        <v>81</v>
      </c>
      <c r="C5" s="827" t="s">
        <v>82</v>
      </c>
      <c r="D5" s="828" t="s">
        <v>83</v>
      </c>
      <c r="E5" s="829" t="s">
        <v>84</v>
      </c>
      <c r="F5" s="829" t="s">
        <v>77</v>
      </c>
      <c r="G5" s="828" t="s">
        <v>85</v>
      </c>
      <c r="H5" s="831" t="s">
        <v>86</v>
      </c>
      <c r="I5" s="831"/>
      <c r="J5" s="831"/>
      <c r="K5" s="832" t="s">
        <v>87</v>
      </c>
      <c r="L5" s="832"/>
      <c r="M5" s="651"/>
      <c r="N5" s="651"/>
    </row>
    <row r="6" spans="1:17" ht="15" hidden="1" customHeight="1">
      <c r="A6" s="650"/>
      <c r="B6" s="826" t="s">
        <v>88</v>
      </c>
      <c r="C6" s="827" t="s">
        <v>89</v>
      </c>
      <c r="D6" s="828" t="s">
        <v>90</v>
      </c>
      <c r="E6" s="829" t="s">
        <v>91</v>
      </c>
      <c r="F6" s="829" t="s">
        <v>77</v>
      </c>
      <c r="G6" s="828" t="s">
        <v>37</v>
      </c>
      <c r="H6" s="831" t="s">
        <v>92</v>
      </c>
      <c r="I6" s="831"/>
      <c r="J6" s="831"/>
      <c r="K6" s="832" t="s">
        <v>93</v>
      </c>
      <c r="L6" s="832"/>
      <c r="M6" s="651"/>
      <c r="N6" s="651"/>
    </row>
    <row r="7" spans="1:17" ht="15" hidden="1" customHeight="1">
      <c r="A7" s="650"/>
      <c r="B7" s="826" t="s">
        <v>94</v>
      </c>
      <c r="C7" s="827" t="s">
        <v>95</v>
      </c>
      <c r="D7" s="828" t="s">
        <v>96</v>
      </c>
      <c r="E7" s="829" t="s">
        <v>76</v>
      </c>
      <c r="F7" s="829" t="s">
        <v>77</v>
      </c>
      <c r="G7" s="830" t="s">
        <v>78</v>
      </c>
      <c r="H7" s="831" t="s">
        <v>76</v>
      </c>
      <c r="I7" s="831"/>
      <c r="J7" s="831"/>
      <c r="K7" s="832" t="s">
        <v>78</v>
      </c>
      <c r="L7" s="832"/>
      <c r="M7" s="651"/>
      <c r="N7" s="651"/>
    </row>
    <row r="8" spans="1:17" ht="15" hidden="1" customHeight="1">
      <c r="A8" s="650"/>
      <c r="B8" s="826" t="s">
        <v>97</v>
      </c>
      <c r="C8" s="827" t="s">
        <v>77</v>
      </c>
      <c r="D8" s="828" t="s">
        <v>98</v>
      </c>
      <c r="E8" s="833" t="s">
        <v>77</v>
      </c>
      <c r="F8" s="829" t="s">
        <v>77</v>
      </c>
      <c r="G8" s="833" t="s">
        <v>77</v>
      </c>
      <c r="H8" s="831"/>
      <c r="I8" s="831"/>
      <c r="J8" s="831"/>
      <c r="K8" s="832"/>
      <c r="L8" s="832"/>
      <c r="M8" s="651"/>
      <c r="N8" s="651"/>
    </row>
    <row r="9" spans="1:17" ht="15" hidden="1" customHeight="1">
      <c r="A9" s="650"/>
      <c r="B9" s="826" t="s">
        <v>99</v>
      </c>
      <c r="C9" s="827" t="s">
        <v>100</v>
      </c>
      <c r="D9" s="828" t="s">
        <v>98</v>
      </c>
      <c r="E9" s="829" t="s">
        <v>101</v>
      </c>
      <c r="F9" s="829" t="s">
        <v>77</v>
      </c>
      <c r="G9" s="830" t="s">
        <v>102</v>
      </c>
      <c r="H9" s="831"/>
      <c r="I9" s="831"/>
      <c r="J9" s="831"/>
      <c r="K9" s="832"/>
      <c r="L9" s="832"/>
      <c r="M9" s="651"/>
      <c r="N9" s="651"/>
    </row>
    <row r="10" spans="1:17" ht="54.75">
      <c r="A10" s="650">
        <v>1</v>
      </c>
      <c r="B10" s="826" t="s">
        <v>103</v>
      </c>
      <c r="C10" s="834" t="s">
        <v>104</v>
      </c>
      <c r="D10" s="835" t="s">
        <v>105</v>
      </c>
      <c r="E10" s="832" t="s">
        <v>92</v>
      </c>
      <c r="F10" s="836" t="s">
        <v>106</v>
      </c>
      <c r="G10" s="835" t="s">
        <v>93</v>
      </c>
      <c r="H10" s="837" t="s">
        <v>107</v>
      </c>
      <c r="I10" s="837" t="s">
        <v>108</v>
      </c>
      <c r="J10" s="831" t="s">
        <v>109</v>
      </c>
      <c r="K10" s="832">
        <v>6</v>
      </c>
      <c r="L10" s="838">
        <f>K10+K11</f>
        <v>12</v>
      </c>
      <c r="M10" s="831" t="str">
        <f>IF(L10&gt;=20,"Memenuhi","Tidak Memenuhi")</f>
        <v>Tidak Memenuhi</v>
      </c>
      <c r="N10" s="831"/>
      <c r="P10" s="815" t="s">
        <v>110</v>
      </c>
      <c r="Q10" s="839">
        <f>COUNTIF(M10:M106,"Tidak Memenuhi")</f>
        <v>23</v>
      </c>
    </row>
    <row r="11" spans="1:17" ht="83.25">
      <c r="A11" s="650"/>
      <c r="B11" s="826"/>
      <c r="C11" s="834"/>
      <c r="D11" s="835"/>
      <c r="E11" s="832"/>
      <c r="F11" s="836"/>
      <c r="G11" s="835"/>
      <c r="H11" s="837" t="s">
        <v>111</v>
      </c>
      <c r="I11" s="837" t="s">
        <v>112</v>
      </c>
      <c r="J11" s="831" t="s">
        <v>113</v>
      </c>
      <c r="K11" s="832">
        <v>6</v>
      </c>
      <c r="L11" s="832"/>
      <c r="M11" s="831"/>
      <c r="N11" s="831" t="s">
        <v>114</v>
      </c>
      <c r="P11" s="815"/>
      <c r="Q11" s="839"/>
    </row>
    <row r="12" spans="1:17" ht="54.75">
      <c r="A12" s="650">
        <v>2</v>
      </c>
      <c r="B12" s="826" t="s">
        <v>115</v>
      </c>
      <c r="C12" s="834" t="s">
        <v>116</v>
      </c>
      <c r="D12" s="835" t="s">
        <v>117</v>
      </c>
      <c r="E12" s="832" t="s">
        <v>84</v>
      </c>
      <c r="F12" s="836" t="s">
        <v>77</v>
      </c>
      <c r="G12" s="835" t="s">
        <v>85</v>
      </c>
      <c r="H12" s="837" t="s">
        <v>107</v>
      </c>
      <c r="I12" s="837" t="s">
        <v>118</v>
      </c>
      <c r="J12" s="831" t="s">
        <v>109</v>
      </c>
      <c r="K12" s="832">
        <v>6</v>
      </c>
      <c r="L12" s="838">
        <f>K12+K13</f>
        <v>12</v>
      </c>
      <c r="M12" s="831" t="str">
        <f>IF(L12&gt;=20,"Memenuhi","Tidak Memenuhi")</f>
        <v>Tidak Memenuhi</v>
      </c>
      <c r="N12" s="831"/>
    </row>
    <row r="13" spans="1:17" ht="68.25">
      <c r="A13" s="650"/>
      <c r="B13" s="826"/>
      <c r="C13" s="834"/>
      <c r="D13" s="835"/>
      <c r="E13" s="832"/>
      <c r="F13" s="836"/>
      <c r="G13" s="835"/>
      <c r="H13" s="837" t="s">
        <v>119</v>
      </c>
      <c r="I13" s="837" t="s">
        <v>120</v>
      </c>
      <c r="J13" s="831" t="s">
        <v>121</v>
      </c>
      <c r="K13" s="832">
        <v>6</v>
      </c>
      <c r="L13" s="832"/>
      <c r="M13" s="831"/>
      <c r="N13" s="831" t="s">
        <v>122</v>
      </c>
      <c r="P13" s="815"/>
      <c r="Q13" s="839"/>
    </row>
    <row r="14" spans="1:17" ht="54.75">
      <c r="A14" s="650">
        <v>3</v>
      </c>
      <c r="B14" s="826" t="s">
        <v>123</v>
      </c>
      <c r="C14" s="834" t="s">
        <v>124</v>
      </c>
      <c r="D14" s="835" t="s">
        <v>125</v>
      </c>
      <c r="E14" s="832" t="s">
        <v>84</v>
      </c>
      <c r="F14" s="836" t="s">
        <v>77</v>
      </c>
      <c r="G14" s="835" t="s">
        <v>85</v>
      </c>
      <c r="H14" s="837" t="s">
        <v>107</v>
      </c>
      <c r="I14" s="837" t="s">
        <v>126</v>
      </c>
      <c r="J14" s="831" t="s">
        <v>109</v>
      </c>
      <c r="K14" s="832">
        <v>6</v>
      </c>
      <c r="L14" s="838">
        <f>K14+K15</f>
        <v>12</v>
      </c>
      <c r="M14" s="831" t="str">
        <f>IF(L14&gt;=20,"Memenuhi","Tidak Memenuhi")</f>
        <v>Tidak Memenuhi</v>
      </c>
      <c r="N14" s="831"/>
    </row>
    <row r="15" spans="1:17" ht="68.25">
      <c r="A15" s="650"/>
      <c r="B15" s="826"/>
      <c r="C15" s="834"/>
      <c r="D15" s="835"/>
      <c r="E15" s="832"/>
      <c r="F15" s="836"/>
      <c r="G15" s="835"/>
      <c r="H15" s="837" t="s">
        <v>119</v>
      </c>
      <c r="I15" s="837" t="s">
        <v>127</v>
      </c>
      <c r="J15" s="831" t="s">
        <v>121</v>
      </c>
      <c r="K15" s="832">
        <v>6</v>
      </c>
      <c r="L15" s="832"/>
      <c r="M15" s="831"/>
      <c r="N15" s="831" t="s">
        <v>122</v>
      </c>
      <c r="P15" s="815"/>
      <c r="Q15" s="839"/>
    </row>
    <row r="16" spans="1:17" ht="54.75">
      <c r="A16" s="650">
        <v>4</v>
      </c>
      <c r="B16" s="826" t="s">
        <v>128</v>
      </c>
      <c r="C16" s="834" t="s">
        <v>129</v>
      </c>
      <c r="D16" s="835" t="s">
        <v>130</v>
      </c>
      <c r="E16" s="832" t="s">
        <v>91</v>
      </c>
      <c r="F16" s="836" t="s">
        <v>77</v>
      </c>
      <c r="G16" s="835" t="s">
        <v>37</v>
      </c>
      <c r="H16" s="837" t="s">
        <v>107</v>
      </c>
      <c r="I16" s="837" t="s">
        <v>131</v>
      </c>
      <c r="J16" s="831" t="s">
        <v>109</v>
      </c>
      <c r="K16" s="832">
        <v>6</v>
      </c>
      <c r="L16" s="838">
        <f>K16</f>
        <v>6</v>
      </c>
      <c r="M16" s="831" t="str">
        <f>IF(L16&gt;=20,"Memenuhi","Tidak Memenuhi")</f>
        <v>Tidak Memenuhi</v>
      </c>
      <c r="N16" s="831"/>
    </row>
    <row r="17" spans="1:17" ht="68.25">
      <c r="A17" s="650">
        <v>5</v>
      </c>
      <c r="B17" s="826" t="s">
        <v>132</v>
      </c>
      <c r="C17" s="834" t="s">
        <v>133</v>
      </c>
      <c r="D17" s="835" t="s">
        <v>134</v>
      </c>
      <c r="E17" s="832" t="s">
        <v>92</v>
      </c>
      <c r="F17" s="836" t="s">
        <v>77</v>
      </c>
      <c r="G17" s="835" t="s">
        <v>93</v>
      </c>
      <c r="H17" s="837" t="s">
        <v>119</v>
      </c>
      <c r="I17" s="837" t="s">
        <v>135</v>
      </c>
      <c r="J17" s="831" t="s">
        <v>121</v>
      </c>
      <c r="K17" s="832">
        <v>6</v>
      </c>
      <c r="L17" s="838">
        <f>K17</f>
        <v>6</v>
      </c>
      <c r="M17" s="831" t="str">
        <f>IF(L17&gt;=20,"Memenuhi","Tidak Memenuhi")</f>
        <v>Tidak Memenuhi</v>
      </c>
      <c r="N17" s="831" t="s">
        <v>122</v>
      </c>
    </row>
    <row r="18" spans="1:17" ht="54.75">
      <c r="A18" s="650">
        <v>6</v>
      </c>
      <c r="B18" s="826" t="s">
        <v>136</v>
      </c>
      <c r="C18" s="834" t="s">
        <v>137</v>
      </c>
      <c r="D18" s="835" t="s">
        <v>138</v>
      </c>
      <c r="E18" s="832" t="s">
        <v>84</v>
      </c>
      <c r="F18" s="836" t="s">
        <v>77</v>
      </c>
      <c r="G18" s="835" t="s">
        <v>85</v>
      </c>
      <c r="H18" s="837" t="s">
        <v>139</v>
      </c>
      <c r="I18" s="837" t="s">
        <v>140</v>
      </c>
      <c r="J18" s="831" t="s">
        <v>141</v>
      </c>
      <c r="K18" s="832">
        <v>16</v>
      </c>
      <c r="L18" s="838">
        <f>K18+K19</f>
        <v>22</v>
      </c>
      <c r="M18" s="831" t="str">
        <f>IF(L18&gt;=20,"Memenuhi","Tidak Memenuhi")</f>
        <v>Memenuhi</v>
      </c>
      <c r="N18" s="831"/>
    </row>
    <row r="19" spans="1:17" ht="68.25">
      <c r="A19" s="650"/>
      <c r="B19" s="826"/>
      <c r="C19" s="834"/>
      <c r="D19" s="835"/>
      <c r="E19" s="832"/>
      <c r="F19" s="836"/>
      <c r="G19" s="835"/>
      <c r="H19" s="837" t="s">
        <v>119</v>
      </c>
      <c r="I19" s="837" t="s">
        <v>142</v>
      </c>
      <c r="J19" s="831" t="s">
        <v>121</v>
      </c>
      <c r="K19" s="832">
        <v>6</v>
      </c>
      <c r="L19" s="832"/>
      <c r="M19" s="831"/>
      <c r="N19" s="831" t="s">
        <v>122</v>
      </c>
      <c r="P19" s="815"/>
      <c r="Q19" s="839"/>
    </row>
    <row r="20" spans="1:17" ht="41.25">
      <c r="A20" s="650">
        <v>7</v>
      </c>
      <c r="B20" s="826" t="s">
        <v>143</v>
      </c>
      <c r="C20" s="834" t="s">
        <v>144</v>
      </c>
      <c r="D20" s="835" t="s">
        <v>138</v>
      </c>
      <c r="E20" s="832" t="s">
        <v>84</v>
      </c>
      <c r="F20" s="836" t="s">
        <v>77</v>
      </c>
      <c r="G20" s="835" t="s">
        <v>85</v>
      </c>
      <c r="H20" s="837" t="s">
        <v>145</v>
      </c>
      <c r="I20" s="837" t="s">
        <v>146</v>
      </c>
      <c r="J20" s="831" t="s">
        <v>147</v>
      </c>
      <c r="K20" s="832">
        <v>16</v>
      </c>
      <c r="L20" s="838">
        <f>K20+K21</f>
        <v>22</v>
      </c>
      <c r="M20" s="831" t="str">
        <f>IF(L20&gt;=20,"Memenuhi","Tidak Memenuhi")</f>
        <v>Memenuhi</v>
      </c>
      <c r="N20" s="831"/>
    </row>
    <row r="21" spans="1:17" ht="54.75">
      <c r="A21" s="650"/>
      <c r="B21" s="826"/>
      <c r="C21" s="834"/>
      <c r="D21" s="835"/>
      <c r="E21" s="832"/>
      <c r="F21" s="836"/>
      <c r="G21" s="835"/>
      <c r="H21" s="837" t="s">
        <v>107</v>
      </c>
      <c r="I21" s="837" t="s">
        <v>148</v>
      </c>
      <c r="J21" s="831" t="s">
        <v>109</v>
      </c>
      <c r="K21" s="832">
        <v>6</v>
      </c>
      <c r="L21" s="832"/>
      <c r="M21" s="831"/>
      <c r="N21" s="831"/>
    </row>
    <row r="22" spans="1:17" ht="54.75">
      <c r="A22" s="650">
        <v>8</v>
      </c>
      <c r="B22" s="826" t="s">
        <v>149</v>
      </c>
      <c r="C22" s="834" t="s">
        <v>150</v>
      </c>
      <c r="D22" s="835" t="s">
        <v>130</v>
      </c>
      <c r="E22" s="832" t="s">
        <v>151</v>
      </c>
      <c r="F22" s="836" t="s">
        <v>77</v>
      </c>
      <c r="G22" s="835" t="s">
        <v>152</v>
      </c>
      <c r="H22" s="837" t="s">
        <v>107</v>
      </c>
      <c r="I22" s="837" t="s">
        <v>153</v>
      </c>
      <c r="J22" s="831" t="s">
        <v>109</v>
      </c>
      <c r="K22" s="832">
        <v>6</v>
      </c>
      <c r="L22" s="838">
        <f>K22</f>
        <v>6</v>
      </c>
      <c r="M22" s="831" t="str">
        <f>IF(L22&gt;=20,"Memenuhi","Tidak Memenuhi")</f>
        <v>Tidak Memenuhi</v>
      </c>
      <c r="N22" s="831"/>
    </row>
    <row r="23" spans="1:17" ht="54.75">
      <c r="A23" s="650">
        <v>9</v>
      </c>
      <c r="B23" s="826" t="s">
        <v>154</v>
      </c>
      <c r="C23" s="834" t="s">
        <v>155</v>
      </c>
      <c r="D23" s="835" t="s">
        <v>22</v>
      </c>
      <c r="E23" s="832" t="s">
        <v>84</v>
      </c>
      <c r="F23" s="836" t="s">
        <v>77</v>
      </c>
      <c r="G23" s="835" t="s">
        <v>85</v>
      </c>
      <c r="H23" s="837" t="s">
        <v>107</v>
      </c>
      <c r="I23" s="837" t="s">
        <v>156</v>
      </c>
      <c r="J23" s="831" t="s">
        <v>109</v>
      </c>
      <c r="K23" s="832">
        <v>6</v>
      </c>
      <c r="L23" s="838">
        <f>K23+K24</f>
        <v>12</v>
      </c>
      <c r="M23" s="831" t="str">
        <f>IF(L23&gt;=20,"Memenuhi","Tidak Memenuhi")</f>
        <v>Tidak Memenuhi</v>
      </c>
      <c r="N23" s="831"/>
    </row>
    <row r="24" spans="1:17" ht="68.25">
      <c r="A24" s="650"/>
      <c r="B24" s="826"/>
      <c r="C24" s="834"/>
      <c r="D24" s="835"/>
      <c r="E24" s="832"/>
      <c r="F24" s="836"/>
      <c r="G24" s="835"/>
      <c r="H24" s="837" t="s">
        <v>119</v>
      </c>
      <c r="I24" s="837" t="s">
        <v>157</v>
      </c>
      <c r="J24" s="831" t="s">
        <v>121</v>
      </c>
      <c r="K24" s="832">
        <v>6</v>
      </c>
      <c r="L24" s="832"/>
      <c r="M24" s="831"/>
      <c r="N24" s="831" t="s">
        <v>122</v>
      </c>
    </row>
    <row r="25" spans="1:17" ht="68.25">
      <c r="A25" s="650">
        <v>10</v>
      </c>
      <c r="B25" s="826" t="s">
        <v>15</v>
      </c>
      <c r="C25" s="834" t="s">
        <v>158</v>
      </c>
      <c r="D25" s="835" t="s">
        <v>13</v>
      </c>
      <c r="E25" s="832" t="s">
        <v>91</v>
      </c>
      <c r="F25" s="836" t="s">
        <v>77</v>
      </c>
      <c r="G25" s="835" t="s">
        <v>37</v>
      </c>
      <c r="H25" s="837" t="s">
        <v>119</v>
      </c>
      <c r="I25" s="837" t="s">
        <v>159</v>
      </c>
      <c r="J25" s="831" t="s">
        <v>121</v>
      </c>
      <c r="K25" s="832">
        <v>6</v>
      </c>
      <c r="L25" s="838">
        <f>K25</f>
        <v>6</v>
      </c>
      <c r="M25" s="831" t="str">
        <f>IF(L25&gt;=20,"Memenuhi","Tidak Memenuhi")</f>
        <v>Tidak Memenuhi</v>
      </c>
      <c r="N25" s="831" t="s">
        <v>122</v>
      </c>
    </row>
    <row r="26" spans="1:17" ht="54.75">
      <c r="A26" s="650">
        <v>11</v>
      </c>
      <c r="B26" s="826" t="s">
        <v>160</v>
      </c>
      <c r="C26" s="834" t="s">
        <v>161</v>
      </c>
      <c r="D26" s="835" t="s">
        <v>162</v>
      </c>
      <c r="E26" s="832" t="s">
        <v>91</v>
      </c>
      <c r="F26" s="836" t="s">
        <v>77</v>
      </c>
      <c r="G26" s="835" t="s">
        <v>37</v>
      </c>
      <c r="H26" s="837" t="s">
        <v>107</v>
      </c>
      <c r="I26" s="837" t="s">
        <v>163</v>
      </c>
      <c r="J26" s="831" t="s">
        <v>109</v>
      </c>
      <c r="K26" s="832">
        <v>6</v>
      </c>
      <c r="L26" s="838">
        <f>K26+K27</f>
        <v>12</v>
      </c>
      <c r="M26" s="831" t="str">
        <f>IF(L26&gt;=20,"Memenuhi","Tidak Memenuhi")</f>
        <v>Tidak Memenuhi</v>
      </c>
      <c r="N26" s="831"/>
    </row>
    <row r="27" spans="1:17" ht="68.25">
      <c r="A27" s="650"/>
      <c r="B27" s="826"/>
      <c r="C27" s="834"/>
      <c r="D27" s="835"/>
      <c r="E27" s="832"/>
      <c r="F27" s="836"/>
      <c r="G27" s="835"/>
      <c r="H27" s="837" t="s">
        <v>119</v>
      </c>
      <c r="I27" s="837" t="s">
        <v>164</v>
      </c>
      <c r="J27" s="831" t="s">
        <v>121</v>
      </c>
      <c r="K27" s="832">
        <v>6</v>
      </c>
      <c r="L27" s="831"/>
      <c r="M27" s="831"/>
      <c r="N27" s="831" t="s">
        <v>122</v>
      </c>
    </row>
    <row r="28" spans="1:17" ht="41.25">
      <c r="A28" s="650">
        <v>12</v>
      </c>
      <c r="B28" s="826" t="s">
        <v>19</v>
      </c>
      <c r="C28" s="834" t="s">
        <v>165</v>
      </c>
      <c r="D28" s="835" t="s">
        <v>22</v>
      </c>
      <c r="E28" s="832" t="s">
        <v>84</v>
      </c>
      <c r="F28" s="836" t="s">
        <v>77</v>
      </c>
      <c r="G28" s="835" t="s">
        <v>85</v>
      </c>
      <c r="H28" s="837" t="s">
        <v>145</v>
      </c>
      <c r="I28" s="837" t="s">
        <v>166</v>
      </c>
      <c r="J28" s="831" t="s">
        <v>147</v>
      </c>
      <c r="K28" s="832">
        <v>16</v>
      </c>
      <c r="L28" s="838">
        <f>K28+K29</f>
        <v>22</v>
      </c>
      <c r="M28" s="831" t="str">
        <f>IF(L28&gt;=20,"Memenuhi","Tidak Memenuhi")</f>
        <v>Memenuhi</v>
      </c>
      <c r="N28" s="831"/>
    </row>
    <row r="29" spans="1:17" ht="54.75">
      <c r="A29" s="650"/>
      <c r="B29" s="826"/>
      <c r="C29" s="834"/>
      <c r="D29" s="835"/>
      <c r="E29" s="832"/>
      <c r="F29" s="836"/>
      <c r="G29" s="835"/>
      <c r="H29" s="837" t="s">
        <v>107</v>
      </c>
      <c r="I29" s="837" t="s">
        <v>167</v>
      </c>
      <c r="J29" s="831" t="s">
        <v>109</v>
      </c>
      <c r="K29" s="832">
        <v>6</v>
      </c>
      <c r="L29" s="832"/>
      <c r="M29" s="831"/>
      <c r="N29" s="831"/>
    </row>
    <row r="30" spans="1:17" ht="41.25">
      <c r="A30" s="650">
        <v>13</v>
      </c>
      <c r="B30" s="826" t="s">
        <v>168</v>
      </c>
      <c r="C30" s="834" t="s">
        <v>169</v>
      </c>
      <c r="D30" s="835" t="s">
        <v>170</v>
      </c>
      <c r="E30" s="832" t="s">
        <v>84</v>
      </c>
      <c r="F30" s="836" t="s">
        <v>77</v>
      </c>
      <c r="G30" s="835" t="s">
        <v>85</v>
      </c>
      <c r="H30" s="837" t="s">
        <v>171</v>
      </c>
      <c r="I30" s="837" t="s">
        <v>172</v>
      </c>
      <c r="J30" s="831" t="s">
        <v>141</v>
      </c>
      <c r="K30" s="832">
        <v>16</v>
      </c>
      <c r="L30" s="838">
        <f>K30+K31+K32+K33</f>
        <v>32</v>
      </c>
      <c r="M30" s="831" t="str">
        <f>IF(L30&gt;=20,"Memenuhi","Tidak Memenuhi")</f>
        <v>Memenuhi</v>
      </c>
      <c r="N30" s="831"/>
    </row>
    <row r="31" spans="1:17" ht="83.25">
      <c r="A31" s="650"/>
      <c r="B31" s="826"/>
      <c r="C31" s="834"/>
      <c r="D31" s="835"/>
      <c r="E31" s="832"/>
      <c r="F31" s="836"/>
      <c r="G31" s="835"/>
      <c r="H31" s="837" t="s">
        <v>173</v>
      </c>
      <c r="I31" s="837" t="s">
        <v>174</v>
      </c>
      <c r="J31" s="840">
        <v>45559</v>
      </c>
      <c r="K31" s="832">
        <v>4</v>
      </c>
      <c r="L31" s="832"/>
      <c r="M31" s="831"/>
      <c r="N31" s="831"/>
    </row>
    <row r="32" spans="1:17" ht="54.75">
      <c r="A32" s="650"/>
      <c r="B32" s="826"/>
      <c r="C32" s="834"/>
      <c r="D32" s="835"/>
      <c r="E32" s="832"/>
      <c r="F32" s="836"/>
      <c r="G32" s="835"/>
      <c r="H32" s="837" t="s">
        <v>107</v>
      </c>
      <c r="I32" s="837" t="s">
        <v>175</v>
      </c>
      <c r="J32" s="831" t="s">
        <v>109</v>
      </c>
      <c r="K32" s="832">
        <v>6</v>
      </c>
      <c r="L32" s="832"/>
      <c r="M32" s="831"/>
      <c r="N32" s="831"/>
    </row>
    <row r="33" spans="1:14" ht="68.25">
      <c r="A33" s="650"/>
      <c r="B33" s="826"/>
      <c r="C33" s="834"/>
      <c r="D33" s="835"/>
      <c r="E33" s="832"/>
      <c r="F33" s="836"/>
      <c r="G33" s="835"/>
      <c r="H33" s="837" t="s">
        <v>119</v>
      </c>
      <c r="I33" s="837" t="s">
        <v>176</v>
      </c>
      <c r="J33" s="831" t="s">
        <v>121</v>
      </c>
      <c r="K33" s="832">
        <v>6</v>
      </c>
      <c r="L33" s="831"/>
      <c r="M33" s="831"/>
      <c r="N33" s="831" t="s">
        <v>122</v>
      </c>
    </row>
    <row r="34" spans="1:14" ht="54.75">
      <c r="A34" s="650">
        <v>14</v>
      </c>
      <c r="B34" s="826" t="s">
        <v>177</v>
      </c>
      <c r="C34" s="834" t="s">
        <v>178</v>
      </c>
      <c r="D34" s="835" t="s">
        <v>13</v>
      </c>
      <c r="E34" s="832" t="s">
        <v>101</v>
      </c>
      <c r="F34" s="836" t="s">
        <v>77</v>
      </c>
      <c r="G34" s="835" t="s">
        <v>102</v>
      </c>
      <c r="H34" s="837" t="s">
        <v>107</v>
      </c>
      <c r="I34" s="837" t="s">
        <v>179</v>
      </c>
      <c r="J34" s="831" t="s">
        <v>109</v>
      </c>
      <c r="K34" s="832">
        <v>6</v>
      </c>
      <c r="L34" s="838">
        <f>K34</f>
        <v>6</v>
      </c>
      <c r="M34" s="831" t="str">
        <f>IF(L34&gt;=20,"Memenuhi","Tidak Memenuhi")</f>
        <v>Tidak Memenuhi</v>
      </c>
      <c r="N34" s="831"/>
    </row>
    <row r="35" spans="1:14" ht="68.25">
      <c r="A35" s="650"/>
      <c r="B35" s="826"/>
      <c r="C35" s="834"/>
      <c r="D35" s="835"/>
      <c r="E35" s="832"/>
      <c r="F35" s="836"/>
      <c r="G35" s="835"/>
      <c r="H35" s="837" t="s">
        <v>119</v>
      </c>
      <c r="I35" s="837" t="s">
        <v>180</v>
      </c>
      <c r="J35" s="831" t="s">
        <v>121</v>
      </c>
      <c r="K35" s="832">
        <v>6</v>
      </c>
      <c r="L35" s="831"/>
      <c r="M35" s="831"/>
      <c r="N35" s="831" t="s">
        <v>122</v>
      </c>
    </row>
    <row r="36" spans="1:14" ht="54.75">
      <c r="A36" s="650">
        <v>15</v>
      </c>
      <c r="B36" s="826" t="s">
        <v>181</v>
      </c>
      <c r="C36" s="834" t="s">
        <v>182</v>
      </c>
      <c r="D36" s="835" t="s">
        <v>138</v>
      </c>
      <c r="E36" s="832" t="s">
        <v>91</v>
      </c>
      <c r="F36" s="836" t="s">
        <v>77</v>
      </c>
      <c r="G36" s="835" t="s">
        <v>37</v>
      </c>
      <c r="H36" s="837" t="s">
        <v>107</v>
      </c>
      <c r="I36" s="837" t="s">
        <v>183</v>
      </c>
      <c r="J36" s="831" t="s">
        <v>109</v>
      </c>
      <c r="K36" s="832">
        <v>6</v>
      </c>
      <c r="L36" s="838">
        <f>K36</f>
        <v>6</v>
      </c>
      <c r="M36" s="831" t="str">
        <f>IF(L36&gt;=20,"Memenuhi","Tidak Memenuhi")</f>
        <v>Tidak Memenuhi</v>
      </c>
      <c r="N36" s="831"/>
    </row>
    <row r="37" spans="1:14" ht="54.75">
      <c r="A37" s="650">
        <v>16</v>
      </c>
      <c r="B37" s="826" t="s">
        <v>27</v>
      </c>
      <c r="C37" s="834" t="s">
        <v>184</v>
      </c>
      <c r="D37" s="835" t="s">
        <v>13</v>
      </c>
      <c r="E37" s="832" t="s">
        <v>91</v>
      </c>
      <c r="F37" s="836" t="s">
        <v>77</v>
      </c>
      <c r="G37" s="835" t="s">
        <v>37</v>
      </c>
      <c r="H37" s="837" t="s">
        <v>107</v>
      </c>
      <c r="I37" s="837" t="s">
        <v>185</v>
      </c>
      <c r="J37" s="831" t="s">
        <v>109</v>
      </c>
      <c r="K37" s="832">
        <v>6</v>
      </c>
      <c r="L37" s="838">
        <f>K37+K38</f>
        <v>12</v>
      </c>
      <c r="M37" s="831" t="str">
        <f>IF(L37&gt;=20,"Memenuhi","Tidak Memenuhi")</f>
        <v>Tidak Memenuhi</v>
      </c>
      <c r="N37" s="831"/>
    </row>
    <row r="38" spans="1:14" ht="68.25">
      <c r="A38" s="650"/>
      <c r="B38" s="826"/>
      <c r="C38" s="834"/>
      <c r="D38" s="835"/>
      <c r="E38" s="832"/>
      <c r="F38" s="836"/>
      <c r="G38" s="835"/>
      <c r="H38" s="837" t="s">
        <v>119</v>
      </c>
      <c r="I38" s="837" t="s">
        <v>186</v>
      </c>
      <c r="J38" s="831" t="s">
        <v>121</v>
      </c>
      <c r="K38" s="832">
        <v>6</v>
      </c>
      <c r="L38" s="831"/>
      <c r="M38" s="831"/>
      <c r="N38" s="831" t="s">
        <v>122</v>
      </c>
    </row>
    <row r="39" spans="1:14" ht="41.25">
      <c r="A39" s="650">
        <v>17</v>
      </c>
      <c r="B39" s="826" t="s">
        <v>187</v>
      </c>
      <c r="C39" s="834" t="s">
        <v>188</v>
      </c>
      <c r="D39" s="835" t="s">
        <v>13</v>
      </c>
      <c r="E39" s="832" t="s">
        <v>91</v>
      </c>
      <c r="F39" s="836" t="s">
        <v>77</v>
      </c>
      <c r="G39" s="835" t="s">
        <v>37</v>
      </c>
      <c r="H39" s="837" t="s">
        <v>189</v>
      </c>
      <c r="I39" s="837" t="s">
        <v>190</v>
      </c>
      <c r="J39" s="831" t="s">
        <v>191</v>
      </c>
      <c r="K39" s="832">
        <v>64</v>
      </c>
      <c r="L39" s="838">
        <f>K39+K40+K41</f>
        <v>86</v>
      </c>
      <c r="M39" s="831" t="str">
        <f>IF(L39&gt;=20,"Memenuhi","Tidak Memenuhi")</f>
        <v>Memenuhi</v>
      </c>
      <c r="N39" s="831"/>
    </row>
    <row r="40" spans="1:14" ht="68.25">
      <c r="A40" s="650"/>
      <c r="B40" s="826"/>
      <c r="C40" s="834"/>
      <c r="D40" s="835"/>
      <c r="E40" s="832"/>
      <c r="F40" s="836"/>
      <c r="G40" s="835"/>
      <c r="H40" s="837" t="s">
        <v>192</v>
      </c>
      <c r="I40" s="837" t="s">
        <v>193</v>
      </c>
      <c r="J40" s="831" t="s">
        <v>194</v>
      </c>
      <c r="K40" s="832">
        <v>16</v>
      </c>
      <c r="L40" s="832"/>
      <c r="M40" s="831"/>
      <c r="N40" s="831"/>
    </row>
    <row r="41" spans="1:14" ht="54.75">
      <c r="A41" s="650"/>
      <c r="B41" s="826"/>
      <c r="C41" s="834"/>
      <c r="D41" s="835"/>
      <c r="E41" s="832"/>
      <c r="F41" s="836"/>
      <c r="G41" s="835"/>
      <c r="H41" s="837" t="s">
        <v>107</v>
      </c>
      <c r="I41" s="837" t="s">
        <v>195</v>
      </c>
      <c r="J41" s="831" t="s">
        <v>109</v>
      </c>
      <c r="K41" s="832">
        <v>6</v>
      </c>
      <c r="L41" s="832"/>
      <c r="M41" s="831"/>
      <c r="N41" s="831"/>
    </row>
    <row r="42" spans="1:14" ht="41.25">
      <c r="A42" s="650">
        <v>18</v>
      </c>
      <c r="B42" s="826" t="s">
        <v>29</v>
      </c>
      <c r="C42" s="834" t="s">
        <v>196</v>
      </c>
      <c r="D42" s="835" t="s">
        <v>22</v>
      </c>
      <c r="E42" s="832" t="s">
        <v>84</v>
      </c>
      <c r="F42" s="836" t="s">
        <v>77</v>
      </c>
      <c r="G42" s="835" t="s">
        <v>85</v>
      </c>
      <c r="H42" s="837" t="s">
        <v>197</v>
      </c>
      <c r="I42" s="837" t="s">
        <v>198</v>
      </c>
      <c r="J42" s="831" t="s">
        <v>199</v>
      </c>
      <c r="K42" s="832">
        <v>17.75</v>
      </c>
      <c r="L42" s="838">
        <f>K42+K43+K44</f>
        <v>29.75</v>
      </c>
      <c r="M42" s="831" t="str">
        <f>IF(L42&gt;=20,"Memenuhi","Tidak Memenuhi")</f>
        <v>Memenuhi</v>
      </c>
      <c r="N42" s="831" t="s">
        <v>122</v>
      </c>
    </row>
    <row r="43" spans="1:14" ht="54.75">
      <c r="A43" s="650"/>
      <c r="B43" s="826"/>
      <c r="C43" s="834"/>
      <c r="D43" s="835"/>
      <c r="E43" s="832"/>
      <c r="F43" s="836"/>
      <c r="G43" s="835"/>
      <c r="H43" s="837" t="s">
        <v>107</v>
      </c>
      <c r="I43" s="837" t="s">
        <v>200</v>
      </c>
      <c r="J43" s="831" t="s">
        <v>109</v>
      </c>
      <c r="K43" s="832">
        <v>6</v>
      </c>
      <c r="L43" s="831"/>
      <c r="M43" s="831"/>
      <c r="N43" s="831"/>
    </row>
    <row r="44" spans="1:14" ht="68.25">
      <c r="A44" s="650"/>
      <c r="B44" s="826"/>
      <c r="C44" s="834"/>
      <c r="D44" s="835"/>
      <c r="E44" s="832"/>
      <c r="F44" s="836"/>
      <c r="G44" s="835"/>
      <c r="H44" s="837" t="s">
        <v>119</v>
      </c>
      <c r="I44" s="837" t="s">
        <v>186</v>
      </c>
      <c r="J44" s="831" t="s">
        <v>121</v>
      </c>
      <c r="K44" s="832">
        <v>6</v>
      </c>
      <c r="L44" s="831"/>
      <c r="M44" s="831"/>
      <c r="N44" s="831" t="s">
        <v>122</v>
      </c>
    </row>
    <row r="45" spans="1:14" ht="83.25">
      <c r="A45" s="650">
        <v>19</v>
      </c>
      <c r="B45" s="826" t="s">
        <v>31</v>
      </c>
      <c r="C45" s="834" t="s">
        <v>201</v>
      </c>
      <c r="D45" s="835" t="s">
        <v>13</v>
      </c>
      <c r="E45" s="832" t="s">
        <v>91</v>
      </c>
      <c r="F45" s="836" t="s">
        <v>77</v>
      </c>
      <c r="G45" s="835" t="s">
        <v>37</v>
      </c>
      <c r="H45" s="837" t="s">
        <v>202</v>
      </c>
      <c r="I45" s="837" t="s">
        <v>203</v>
      </c>
      <c r="J45" s="831" t="s">
        <v>204</v>
      </c>
      <c r="K45" s="832">
        <v>74</v>
      </c>
      <c r="L45" s="838">
        <f>K45+K46</f>
        <v>80</v>
      </c>
      <c r="M45" s="831" t="str">
        <f>IF(L45&gt;=20,"Memenuhi","Tidak Memenuhi")</f>
        <v>Memenuhi</v>
      </c>
      <c r="N45" s="831"/>
    </row>
    <row r="46" spans="1:14" ht="54.75">
      <c r="A46" s="650"/>
      <c r="B46" s="826"/>
      <c r="C46" s="834"/>
      <c r="D46" s="835"/>
      <c r="E46" s="832"/>
      <c r="F46" s="836"/>
      <c r="G46" s="835"/>
      <c r="H46" s="837" t="s">
        <v>107</v>
      </c>
      <c r="I46" s="837" t="s">
        <v>205</v>
      </c>
      <c r="J46" s="831" t="s">
        <v>109</v>
      </c>
      <c r="K46" s="832">
        <v>6</v>
      </c>
      <c r="L46" s="831"/>
      <c r="M46" s="831"/>
      <c r="N46" s="831"/>
    </row>
    <row r="47" spans="1:14" ht="83.25">
      <c r="A47" s="650"/>
      <c r="B47" s="826"/>
      <c r="C47" s="834"/>
      <c r="D47" s="835"/>
      <c r="E47" s="832"/>
      <c r="F47" s="836"/>
      <c r="G47" s="835"/>
      <c r="H47" s="837" t="s">
        <v>206</v>
      </c>
      <c r="I47" s="837" t="s">
        <v>207</v>
      </c>
      <c r="J47" s="841">
        <v>45547</v>
      </c>
      <c r="K47" s="832" t="s">
        <v>77</v>
      </c>
      <c r="L47" s="832"/>
      <c r="M47" s="831"/>
      <c r="N47" s="831" t="s">
        <v>208</v>
      </c>
    </row>
    <row r="48" spans="1:14" ht="54.75">
      <c r="A48" s="650">
        <v>20</v>
      </c>
      <c r="B48" s="826" t="s">
        <v>33</v>
      </c>
      <c r="C48" s="834" t="s">
        <v>209</v>
      </c>
      <c r="D48" s="835" t="s">
        <v>13</v>
      </c>
      <c r="E48" s="832" t="s">
        <v>101</v>
      </c>
      <c r="F48" s="836" t="s">
        <v>77</v>
      </c>
      <c r="G48" s="835" t="s">
        <v>102</v>
      </c>
      <c r="H48" s="837" t="s">
        <v>210</v>
      </c>
      <c r="I48" s="837" t="s">
        <v>211</v>
      </c>
      <c r="J48" s="831" t="s">
        <v>212</v>
      </c>
      <c r="K48" s="832">
        <v>15</v>
      </c>
      <c r="L48" s="838">
        <f>K48+K49+K50</f>
        <v>37</v>
      </c>
      <c r="M48" s="831" t="str">
        <f>IF(L48&gt;=20,"Memenuhi","Tidak Memenuhi")</f>
        <v>Memenuhi</v>
      </c>
      <c r="N48" s="831"/>
    </row>
    <row r="49" spans="1:14" ht="68.25">
      <c r="A49" s="650"/>
      <c r="B49" s="826"/>
      <c r="C49" s="834"/>
      <c r="D49" s="835"/>
      <c r="E49" s="832"/>
      <c r="F49" s="836"/>
      <c r="G49" s="835"/>
      <c r="H49" s="837" t="s">
        <v>192</v>
      </c>
      <c r="I49" s="837" t="s">
        <v>213</v>
      </c>
      <c r="J49" s="831" t="s">
        <v>214</v>
      </c>
      <c r="K49" s="832">
        <v>16</v>
      </c>
      <c r="L49" s="832"/>
      <c r="M49" s="831"/>
      <c r="N49" s="831"/>
    </row>
    <row r="50" spans="1:14" ht="54.75">
      <c r="A50" s="650"/>
      <c r="B50" s="826"/>
      <c r="C50" s="834"/>
      <c r="D50" s="835"/>
      <c r="E50" s="832"/>
      <c r="F50" s="836"/>
      <c r="G50" s="835"/>
      <c r="H50" s="837" t="s">
        <v>107</v>
      </c>
      <c r="I50" s="837" t="s">
        <v>215</v>
      </c>
      <c r="J50" s="831" t="s">
        <v>109</v>
      </c>
      <c r="K50" s="832">
        <v>6</v>
      </c>
      <c r="L50" s="832"/>
      <c r="M50" s="831"/>
      <c r="N50" s="831"/>
    </row>
    <row r="51" spans="1:14" ht="54.75">
      <c r="A51" s="650">
        <v>21</v>
      </c>
      <c r="B51" s="826" t="s">
        <v>35</v>
      </c>
      <c r="C51" s="834" t="s">
        <v>216</v>
      </c>
      <c r="D51" s="835" t="s">
        <v>13</v>
      </c>
      <c r="E51" s="832" t="s">
        <v>101</v>
      </c>
      <c r="F51" s="836" t="s">
        <v>77</v>
      </c>
      <c r="G51" s="835" t="s">
        <v>102</v>
      </c>
      <c r="H51" s="837" t="s">
        <v>107</v>
      </c>
      <c r="I51" s="837" t="s">
        <v>217</v>
      </c>
      <c r="J51" s="831" t="s">
        <v>109</v>
      </c>
      <c r="K51" s="832">
        <v>6</v>
      </c>
      <c r="L51" s="838">
        <f>K51</f>
        <v>6</v>
      </c>
      <c r="M51" s="831" t="str">
        <f>IF(L51&gt;=20,"Memenuhi","Tidak Memenuhi")</f>
        <v>Tidak Memenuhi</v>
      </c>
      <c r="N51" s="831"/>
    </row>
    <row r="52" spans="1:14" ht="68.25">
      <c r="A52" s="650">
        <v>22</v>
      </c>
      <c r="B52" s="826" t="s">
        <v>38</v>
      </c>
      <c r="C52" s="834" t="s">
        <v>218</v>
      </c>
      <c r="D52" s="835" t="s">
        <v>13</v>
      </c>
      <c r="E52" s="832" t="s">
        <v>101</v>
      </c>
      <c r="F52" s="836" t="s">
        <v>77</v>
      </c>
      <c r="G52" s="835" t="s">
        <v>102</v>
      </c>
      <c r="H52" s="837" t="s">
        <v>192</v>
      </c>
      <c r="I52" s="837" t="s">
        <v>219</v>
      </c>
      <c r="J52" s="831" t="s">
        <v>214</v>
      </c>
      <c r="K52" s="832">
        <v>16</v>
      </c>
      <c r="L52" s="838">
        <f>K52+K53+K54</f>
        <v>86</v>
      </c>
      <c r="M52" s="831" t="str">
        <f>IF(L52&gt;=20,"Memenuhi","Tidak Memenuhi")</f>
        <v>Memenuhi</v>
      </c>
      <c r="N52" s="831"/>
    </row>
    <row r="53" spans="1:14" ht="41.25">
      <c r="A53" s="650"/>
      <c r="B53" s="826"/>
      <c r="C53" s="834"/>
      <c r="D53" s="835"/>
      <c r="E53" s="832"/>
      <c r="F53" s="836"/>
      <c r="G53" s="835"/>
      <c r="H53" s="837" t="s">
        <v>189</v>
      </c>
      <c r="I53" s="837" t="s">
        <v>220</v>
      </c>
      <c r="J53" s="831" t="s">
        <v>191</v>
      </c>
      <c r="K53" s="832">
        <v>64</v>
      </c>
      <c r="L53" s="832"/>
      <c r="M53" s="831"/>
      <c r="N53" s="831"/>
    </row>
    <row r="54" spans="1:14" ht="54.75">
      <c r="A54" s="650"/>
      <c r="B54" s="826"/>
      <c r="C54" s="834"/>
      <c r="D54" s="835"/>
      <c r="E54" s="832"/>
      <c r="F54" s="836"/>
      <c r="G54" s="835"/>
      <c r="H54" s="837" t="s">
        <v>107</v>
      </c>
      <c r="I54" s="837" t="s">
        <v>221</v>
      </c>
      <c r="J54" s="831" t="s">
        <v>109</v>
      </c>
      <c r="K54" s="832">
        <v>6</v>
      </c>
      <c r="L54" s="832"/>
      <c r="M54" s="831"/>
      <c r="N54" s="831"/>
    </row>
    <row r="55" spans="1:14" ht="54.75">
      <c r="A55" s="650">
        <v>23</v>
      </c>
      <c r="B55" s="826" t="s">
        <v>222</v>
      </c>
      <c r="C55" s="834" t="s">
        <v>223</v>
      </c>
      <c r="D55" s="835" t="s">
        <v>138</v>
      </c>
      <c r="E55" s="832" t="s">
        <v>84</v>
      </c>
      <c r="F55" s="836" t="s">
        <v>77</v>
      </c>
      <c r="G55" s="835" t="s">
        <v>85</v>
      </c>
      <c r="H55" s="837" t="s">
        <v>107</v>
      </c>
      <c r="I55" s="837" t="s">
        <v>224</v>
      </c>
      <c r="J55" s="831" t="s">
        <v>109</v>
      </c>
      <c r="K55" s="832">
        <v>6</v>
      </c>
      <c r="L55" s="838">
        <f>K55+K56</f>
        <v>12</v>
      </c>
      <c r="M55" s="831" t="str">
        <f>IF(L55&gt;=20,"Memenuhi","Tidak Memenuhi")</f>
        <v>Tidak Memenuhi</v>
      </c>
      <c r="N55" s="831"/>
    </row>
    <row r="56" spans="1:14" ht="68.25">
      <c r="A56" s="650"/>
      <c r="B56" s="826"/>
      <c r="C56" s="834"/>
      <c r="D56" s="835"/>
      <c r="E56" s="832"/>
      <c r="F56" s="836"/>
      <c r="G56" s="835"/>
      <c r="H56" s="837" t="s">
        <v>119</v>
      </c>
      <c r="I56" s="837" t="s">
        <v>225</v>
      </c>
      <c r="J56" s="831" t="s">
        <v>121</v>
      </c>
      <c r="K56" s="832">
        <v>6</v>
      </c>
      <c r="L56" s="831"/>
      <c r="M56" s="831"/>
      <c r="N56" s="831" t="s">
        <v>122</v>
      </c>
    </row>
    <row r="57" spans="1:14" ht="54.75">
      <c r="A57" s="650">
        <v>24</v>
      </c>
      <c r="B57" s="826" t="s">
        <v>226</v>
      </c>
      <c r="C57" s="834" t="s">
        <v>227</v>
      </c>
      <c r="D57" s="835" t="s">
        <v>13</v>
      </c>
      <c r="E57" s="832" t="s">
        <v>101</v>
      </c>
      <c r="F57" s="836" t="s">
        <v>77</v>
      </c>
      <c r="G57" s="835" t="s">
        <v>102</v>
      </c>
      <c r="H57" s="837" t="s">
        <v>107</v>
      </c>
      <c r="I57" s="837" t="s">
        <v>228</v>
      </c>
      <c r="J57" s="831" t="s">
        <v>109</v>
      </c>
      <c r="K57" s="832">
        <v>6</v>
      </c>
      <c r="L57" s="838">
        <f>K57+K58</f>
        <v>12</v>
      </c>
      <c r="M57" s="831" t="str">
        <f>IF(L57&gt;=20,"Memenuhi","Tidak Memenuhi")</f>
        <v>Tidak Memenuhi</v>
      </c>
      <c r="N57" s="831"/>
    </row>
    <row r="58" spans="1:14" ht="68.25">
      <c r="A58" s="650"/>
      <c r="B58" s="826"/>
      <c r="C58" s="834"/>
      <c r="D58" s="835"/>
      <c r="E58" s="832"/>
      <c r="F58" s="836"/>
      <c r="G58" s="835"/>
      <c r="H58" s="837" t="s">
        <v>119</v>
      </c>
      <c r="I58" s="837" t="s">
        <v>229</v>
      </c>
      <c r="J58" s="831" t="s">
        <v>121</v>
      </c>
      <c r="K58" s="832">
        <v>6</v>
      </c>
      <c r="L58" s="831"/>
      <c r="M58" s="831"/>
      <c r="N58" s="831" t="s">
        <v>122</v>
      </c>
    </row>
    <row r="59" spans="1:14" ht="54.75">
      <c r="A59" s="650">
        <v>25</v>
      </c>
      <c r="B59" s="826" t="s">
        <v>40</v>
      </c>
      <c r="C59" s="834" t="s">
        <v>230</v>
      </c>
      <c r="D59" s="835" t="s">
        <v>13</v>
      </c>
      <c r="E59" s="832" t="s">
        <v>101</v>
      </c>
      <c r="F59" s="836" t="s">
        <v>77</v>
      </c>
      <c r="G59" s="835" t="s">
        <v>102</v>
      </c>
      <c r="H59" s="837" t="s">
        <v>107</v>
      </c>
      <c r="I59" s="837" t="s">
        <v>231</v>
      </c>
      <c r="J59" s="831" t="s">
        <v>109</v>
      </c>
      <c r="K59" s="832">
        <v>6</v>
      </c>
      <c r="L59" s="838">
        <f>K59</f>
        <v>6</v>
      </c>
      <c r="M59" s="831" t="str">
        <f>IF(L59&gt;=20,"Memenuhi","Tidak Memenuhi")</f>
        <v>Tidak Memenuhi</v>
      </c>
      <c r="N59" s="831"/>
    </row>
    <row r="60" spans="1:14" ht="54.75">
      <c r="A60" s="650">
        <v>26</v>
      </c>
      <c r="B60" s="826" t="s">
        <v>42</v>
      </c>
      <c r="C60" s="834" t="s">
        <v>232</v>
      </c>
      <c r="D60" s="835" t="s">
        <v>13</v>
      </c>
      <c r="E60" s="832" t="s">
        <v>91</v>
      </c>
      <c r="F60" s="836" t="s">
        <v>77</v>
      </c>
      <c r="G60" s="835" t="s">
        <v>37</v>
      </c>
      <c r="H60" s="837" t="s">
        <v>107</v>
      </c>
      <c r="I60" s="837" t="s">
        <v>233</v>
      </c>
      <c r="J60" s="831" t="s">
        <v>109</v>
      </c>
      <c r="K60" s="832">
        <v>6</v>
      </c>
      <c r="L60" s="838">
        <f>K60+K61</f>
        <v>12</v>
      </c>
      <c r="M60" s="831" t="str">
        <f>IF(L60&gt;=20,"Memenuhi","Tidak Memenuhi")</f>
        <v>Tidak Memenuhi</v>
      </c>
      <c r="N60" s="831"/>
    </row>
    <row r="61" spans="1:14" ht="68.25">
      <c r="A61" s="650"/>
      <c r="B61" s="826"/>
      <c r="C61" s="834"/>
      <c r="D61" s="835"/>
      <c r="E61" s="832"/>
      <c r="F61" s="836"/>
      <c r="G61" s="835"/>
      <c r="H61" s="837" t="s">
        <v>119</v>
      </c>
      <c r="I61" s="837" t="s">
        <v>234</v>
      </c>
      <c r="J61" s="831" t="s">
        <v>121</v>
      </c>
      <c r="K61" s="832">
        <v>6</v>
      </c>
      <c r="L61" s="831"/>
      <c r="M61" s="831"/>
      <c r="N61" s="831" t="s">
        <v>122</v>
      </c>
    </row>
    <row r="62" spans="1:14" ht="54.75">
      <c r="A62" s="650">
        <v>27</v>
      </c>
      <c r="B62" s="826" t="s">
        <v>44</v>
      </c>
      <c r="C62" s="834" t="s">
        <v>235</v>
      </c>
      <c r="D62" s="835" t="s">
        <v>13</v>
      </c>
      <c r="E62" s="832" t="s">
        <v>91</v>
      </c>
      <c r="F62" s="836" t="s">
        <v>77</v>
      </c>
      <c r="G62" s="835" t="s">
        <v>37</v>
      </c>
      <c r="H62" s="837" t="s">
        <v>107</v>
      </c>
      <c r="I62" s="837" t="s">
        <v>236</v>
      </c>
      <c r="J62" s="831" t="s">
        <v>109</v>
      </c>
      <c r="K62" s="832">
        <v>6</v>
      </c>
      <c r="L62" s="838">
        <f>K62</f>
        <v>6</v>
      </c>
      <c r="M62" s="831" t="str">
        <f>IF(L62&gt;=20,"Memenuhi","Tidak Memenuhi")</f>
        <v>Tidak Memenuhi</v>
      </c>
      <c r="N62" s="831"/>
    </row>
    <row r="63" spans="1:14" ht="83.25">
      <c r="A63" s="650">
        <v>28</v>
      </c>
      <c r="B63" s="826" t="s">
        <v>237</v>
      </c>
      <c r="C63" s="834" t="s">
        <v>238</v>
      </c>
      <c r="D63" s="835" t="s">
        <v>22</v>
      </c>
      <c r="E63" s="832" t="s">
        <v>91</v>
      </c>
      <c r="F63" s="836" t="s">
        <v>77</v>
      </c>
      <c r="G63" s="835" t="s">
        <v>37</v>
      </c>
      <c r="H63" s="837" t="s">
        <v>202</v>
      </c>
      <c r="I63" s="837" t="s">
        <v>239</v>
      </c>
      <c r="J63" s="831" t="s">
        <v>204</v>
      </c>
      <c r="K63" s="832">
        <v>74</v>
      </c>
      <c r="L63" s="838">
        <f>K63+K64+K65</f>
        <v>84</v>
      </c>
      <c r="M63" s="831" t="str">
        <f>IF(L63&gt;=20,"Memenuhi","Tidak Memenuhi")</f>
        <v>Memenuhi</v>
      </c>
      <c r="N63" s="831"/>
    </row>
    <row r="64" spans="1:14" ht="96.75">
      <c r="A64" s="650"/>
      <c r="B64" s="826"/>
      <c r="C64" s="834"/>
      <c r="D64" s="835"/>
      <c r="E64" s="832"/>
      <c r="F64" s="836"/>
      <c r="G64" s="835"/>
      <c r="H64" s="837" t="s">
        <v>240</v>
      </c>
      <c r="I64" s="837" t="s">
        <v>241</v>
      </c>
      <c r="J64" s="831" t="s">
        <v>242</v>
      </c>
      <c r="K64" s="832">
        <v>4</v>
      </c>
      <c r="L64" s="832"/>
      <c r="M64" s="831"/>
      <c r="N64" s="831"/>
    </row>
    <row r="65" spans="1:14" ht="54.75">
      <c r="A65" s="650"/>
      <c r="B65" s="826"/>
      <c r="C65" s="834"/>
      <c r="D65" s="835"/>
      <c r="E65" s="832"/>
      <c r="F65" s="836"/>
      <c r="G65" s="835"/>
      <c r="H65" s="837" t="s">
        <v>107</v>
      </c>
      <c r="I65" s="837" t="s">
        <v>243</v>
      </c>
      <c r="J65" s="831" t="s">
        <v>109</v>
      </c>
      <c r="K65" s="832">
        <v>6</v>
      </c>
      <c r="L65" s="832"/>
      <c r="M65" s="831"/>
      <c r="N65" s="831"/>
    </row>
    <row r="66" spans="1:14" ht="54.75">
      <c r="A66" s="650">
        <v>29</v>
      </c>
      <c r="B66" s="826" t="s">
        <v>48</v>
      </c>
      <c r="C66" s="834" t="s">
        <v>244</v>
      </c>
      <c r="D66" s="835" t="s">
        <v>13</v>
      </c>
      <c r="E66" s="832" t="s">
        <v>91</v>
      </c>
      <c r="F66" s="836" t="s">
        <v>77</v>
      </c>
      <c r="G66" s="835" t="s">
        <v>37</v>
      </c>
      <c r="H66" s="837" t="s">
        <v>107</v>
      </c>
      <c r="I66" s="837" t="s">
        <v>245</v>
      </c>
      <c r="J66" s="831" t="s">
        <v>109</v>
      </c>
      <c r="K66" s="832">
        <v>6</v>
      </c>
      <c r="L66" s="838">
        <f>K66</f>
        <v>6</v>
      </c>
      <c r="M66" s="831" t="str">
        <f>IF(L66&gt;=20,"Memenuhi","Tidak Memenuhi")</f>
        <v>Tidak Memenuhi</v>
      </c>
      <c r="N66" s="831"/>
    </row>
    <row r="67" spans="1:14" ht="54.75">
      <c r="A67" s="650">
        <v>30</v>
      </c>
      <c r="B67" s="826" t="s">
        <v>246</v>
      </c>
      <c r="C67" s="834" t="s">
        <v>247</v>
      </c>
      <c r="D67" s="835" t="s">
        <v>13</v>
      </c>
      <c r="E67" s="832" t="s">
        <v>91</v>
      </c>
      <c r="F67" s="836" t="s">
        <v>77</v>
      </c>
      <c r="G67" s="835" t="s">
        <v>37</v>
      </c>
      <c r="H67" s="837" t="s">
        <v>107</v>
      </c>
      <c r="I67" s="837" t="s">
        <v>248</v>
      </c>
      <c r="J67" s="831" t="s">
        <v>109</v>
      </c>
      <c r="K67" s="832">
        <v>6</v>
      </c>
      <c r="L67" s="838">
        <f>K67</f>
        <v>6</v>
      </c>
      <c r="M67" s="831" t="str">
        <f>IF(L67&gt;=20,"Memenuhi","Tidak Memenuhi")</f>
        <v>Tidak Memenuhi</v>
      </c>
      <c r="N67" s="831"/>
    </row>
    <row r="68" spans="1:14" ht="54.75">
      <c r="A68" s="650">
        <v>31</v>
      </c>
      <c r="B68" s="826" t="s">
        <v>50</v>
      </c>
      <c r="C68" s="834" t="s">
        <v>249</v>
      </c>
      <c r="D68" s="835" t="s">
        <v>13</v>
      </c>
      <c r="E68" s="832" t="s">
        <v>101</v>
      </c>
      <c r="F68" s="836" t="s">
        <v>77</v>
      </c>
      <c r="G68" s="835" t="s">
        <v>102</v>
      </c>
      <c r="H68" s="837" t="s">
        <v>107</v>
      </c>
      <c r="I68" s="837" t="s">
        <v>250</v>
      </c>
      <c r="J68" s="831" t="s">
        <v>109</v>
      </c>
      <c r="K68" s="832">
        <v>6</v>
      </c>
      <c r="L68" s="838">
        <f>K68</f>
        <v>6</v>
      </c>
      <c r="M68" s="831" t="str">
        <f>IF(L68&gt;=20,"Memenuhi","Tidak Memenuhi")</f>
        <v>Tidak Memenuhi</v>
      </c>
      <c r="N68" s="831"/>
    </row>
    <row r="69" spans="1:14" ht="54.75">
      <c r="A69" s="650">
        <v>32</v>
      </c>
      <c r="B69" s="842" t="s">
        <v>251</v>
      </c>
      <c r="C69" s="843" t="s">
        <v>252</v>
      </c>
      <c r="D69" s="844" t="s">
        <v>138</v>
      </c>
      <c r="E69" s="845" t="s">
        <v>84</v>
      </c>
      <c r="F69" s="843" t="s">
        <v>77</v>
      </c>
      <c r="G69" s="844" t="s">
        <v>85</v>
      </c>
      <c r="H69" s="837" t="s">
        <v>107</v>
      </c>
      <c r="I69" s="837" t="s">
        <v>253</v>
      </c>
      <c r="J69" s="831" t="s">
        <v>109</v>
      </c>
      <c r="K69" s="832">
        <v>6</v>
      </c>
      <c r="L69" s="838">
        <f>K69+K70</f>
        <v>12</v>
      </c>
      <c r="M69" s="831" t="str">
        <f>IF(L69&gt;=20,"Memenuhi","Tidak Memenuhi")</f>
        <v>Tidak Memenuhi</v>
      </c>
      <c r="N69" s="831"/>
    </row>
    <row r="70" spans="1:14" ht="68.25">
      <c r="A70" s="650"/>
      <c r="B70" s="846"/>
      <c r="C70" s="847"/>
      <c r="D70" s="848"/>
      <c r="E70" s="849"/>
      <c r="F70" s="847"/>
      <c r="G70" s="848"/>
      <c r="H70" s="837" t="s">
        <v>119</v>
      </c>
      <c r="I70" s="837" t="s">
        <v>254</v>
      </c>
      <c r="J70" s="831" t="s">
        <v>121</v>
      </c>
      <c r="K70" s="832">
        <v>6</v>
      </c>
      <c r="L70" s="831"/>
      <c r="M70" s="831"/>
      <c r="N70" s="831" t="s">
        <v>122</v>
      </c>
    </row>
    <row r="71" spans="1:14" ht="54.75">
      <c r="A71" s="650">
        <v>33</v>
      </c>
      <c r="B71" s="850" t="s">
        <v>255</v>
      </c>
      <c r="C71" s="851" t="s">
        <v>256</v>
      </c>
      <c r="D71" s="852" t="s">
        <v>13</v>
      </c>
      <c r="E71" s="853" t="s">
        <v>91</v>
      </c>
      <c r="F71" s="851" t="s">
        <v>77</v>
      </c>
      <c r="G71" s="852" t="s">
        <v>37</v>
      </c>
      <c r="H71" s="837" t="s">
        <v>107</v>
      </c>
      <c r="I71" s="837" t="s">
        <v>257</v>
      </c>
      <c r="J71" s="831" t="s">
        <v>109</v>
      </c>
      <c r="K71" s="832">
        <v>6</v>
      </c>
      <c r="L71" s="838">
        <f>K71+K72</f>
        <v>12</v>
      </c>
      <c r="M71" s="831" t="str">
        <f>IF(L71&gt;=20,"Memenuhi","Tidak Memenuhi")</f>
        <v>Tidak Memenuhi</v>
      </c>
      <c r="N71" s="831"/>
    </row>
    <row r="72" spans="1:14" ht="68.25">
      <c r="A72" s="650"/>
      <c r="B72" s="854"/>
      <c r="C72" s="855"/>
      <c r="D72" s="856"/>
      <c r="E72" s="857"/>
      <c r="F72" s="855"/>
      <c r="G72" s="856"/>
      <c r="H72" s="837" t="s">
        <v>119</v>
      </c>
      <c r="I72" s="837" t="s">
        <v>258</v>
      </c>
      <c r="J72" s="831" t="s">
        <v>121</v>
      </c>
      <c r="K72" s="832">
        <v>6</v>
      </c>
      <c r="L72" s="831"/>
      <c r="M72" s="831"/>
      <c r="N72" s="831" t="s">
        <v>122</v>
      </c>
    </row>
    <row r="73" spans="1:14" ht="41.25">
      <c r="A73" s="650">
        <v>34</v>
      </c>
      <c r="B73" s="826" t="s">
        <v>259</v>
      </c>
      <c r="C73" s="834" t="s">
        <v>260</v>
      </c>
      <c r="D73" s="835" t="s">
        <v>13</v>
      </c>
      <c r="E73" s="832" t="s">
        <v>77</v>
      </c>
      <c r="F73" s="836" t="s">
        <v>77</v>
      </c>
      <c r="G73" s="835" t="s">
        <v>77</v>
      </c>
      <c r="H73" s="837" t="s">
        <v>261</v>
      </c>
      <c r="I73" s="837" t="s">
        <v>262</v>
      </c>
      <c r="J73" s="831" t="s">
        <v>263</v>
      </c>
      <c r="K73" s="832">
        <v>20</v>
      </c>
      <c r="L73" s="838">
        <f>K73+K74+K75</f>
        <v>84</v>
      </c>
      <c r="M73" s="831" t="str">
        <f>IF(L73&gt;=20,"Memenuhi","Tidak Memenuhi")</f>
        <v>Memenuhi</v>
      </c>
      <c r="N73" s="831"/>
    </row>
    <row r="74" spans="1:14" ht="83.25">
      <c r="A74" s="650"/>
      <c r="B74" s="826"/>
      <c r="C74" s="834"/>
      <c r="D74" s="835"/>
      <c r="E74" s="832"/>
      <c r="F74" s="836"/>
      <c r="G74" s="835"/>
      <c r="H74" s="837" t="s">
        <v>264</v>
      </c>
      <c r="I74" s="837" t="s">
        <v>265</v>
      </c>
      <c r="J74" s="831" t="s">
        <v>266</v>
      </c>
      <c r="K74" s="832">
        <v>58</v>
      </c>
      <c r="L74" s="832"/>
      <c r="M74" s="831"/>
      <c r="N74" s="831"/>
    </row>
    <row r="75" spans="1:14" ht="68.25">
      <c r="A75" s="650"/>
      <c r="B75" s="826"/>
      <c r="C75" s="834"/>
      <c r="D75" s="835"/>
      <c r="E75" s="832"/>
      <c r="F75" s="836"/>
      <c r="G75" s="835"/>
      <c r="H75" s="837" t="s">
        <v>119</v>
      </c>
      <c r="I75" s="837" t="s">
        <v>267</v>
      </c>
      <c r="J75" s="831" t="s">
        <v>121</v>
      </c>
      <c r="K75" s="832">
        <v>6</v>
      </c>
      <c r="L75" s="831"/>
      <c r="M75" s="831"/>
      <c r="N75" s="831" t="s">
        <v>122</v>
      </c>
    </row>
    <row r="76" spans="1:14" ht="41.25">
      <c r="A76" s="650">
        <v>35</v>
      </c>
      <c r="B76" s="826" t="s">
        <v>268</v>
      </c>
      <c r="C76" s="858" t="s">
        <v>269</v>
      </c>
      <c r="D76" s="835" t="s">
        <v>13</v>
      </c>
      <c r="E76" s="832" t="s">
        <v>77</v>
      </c>
      <c r="F76" s="836" t="s">
        <v>77</v>
      </c>
      <c r="G76" s="835" t="s">
        <v>77</v>
      </c>
      <c r="H76" s="837" t="s">
        <v>261</v>
      </c>
      <c r="I76" s="837" t="s">
        <v>270</v>
      </c>
      <c r="J76" s="831" t="s">
        <v>271</v>
      </c>
      <c r="K76" s="832">
        <v>20</v>
      </c>
      <c r="L76" s="838">
        <f>K76+K77+K78</f>
        <v>123</v>
      </c>
      <c r="M76" s="831" t="str">
        <f>IF(L76&gt;=20,"Memenuhi","Tidak Memenuhi")</f>
        <v>Memenuhi</v>
      </c>
      <c r="N76" s="831"/>
    </row>
    <row r="77" spans="1:14" ht="83.25">
      <c r="A77" s="650"/>
      <c r="B77" s="826"/>
      <c r="C77" s="858"/>
      <c r="D77" s="835"/>
      <c r="E77" s="832"/>
      <c r="F77" s="836"/>
      <c r="G77" s="835"/>
      <c r="H77" s="837" t="s">
        <v>272</v>
      </c>
      <c r="I77" s="837" t="s">
        <v>273</v>
      </c>
      <c r="J77" s="831" t="s">
        <v>274</v>
      </c>
      <c r="K77" s="832">
        <v>58</v>
      </c>
      <c r="L77" s="832"/>
      <c r="M77" s="831"/>
      <c r="N77" s="831"/>
    </row>
    <row r="78" spans="1:14" ht="96.75">
      <c r="A78" s="650"/>
      <c r="B78" s="826"/>
      <c r="C78" s="858"/>
      <c r="D78" s="835"/>
      <c r="E78" s="832"/>
      <c r="F78" s="836"/>
      <c r="G78" s="835"/>
      <c r="H78" s="837" t="s">
        <v>275</v>
      </c>
      <c r="I78" s="837" t="s">
        <v>276</v>
      </c>
      <c r="J78" s="831" t="s">
        <v>277</v>
      </c>
      <c r="K78" s="832">
        <v>45</v>
      </c>
      <c r="L78" s="832"/>
      <c r="M78" s="831"/>
      <c r="N78" s="831"/>
    </row>
    <row r="79" spans="1:14" ht="68.25">
      <c r="A79" s="650"/>
      <c r="B79" s="826"/>
      <c r="C79" s="858"/>
      <c r="D79" s="835"/>
      <c r="E79" s="832"/>
      <c r="F79" s="836"/>
      <c r="G79" s="835"/>
      <c r="H79" s="837" t="s">
        <v>119</v>
      </c>
      <c r="I79" s="837" t="s">
        <v>278</v>
      </c>
      <c r="J79" s="831" t="s">
        <v>121</v>
      </c>
      <c r="K79" s="832">
        <v>6</v>
      </c>
      <c r="L79" s="831"/>
      <c r="M79" s="831"/>
      <c r="N79" s="831" t="s">
        <v>122</v>
      </c>
    </row>
    <row r="80" spans="1:14" ht="41.25">
      <c r="A80" s="650">
        <v>36</v>
      </c>
      <c r="B80" s="826" t="s">
        <v>279</v>
      </c>
      <c r="C80" s="834" t="s">
        <v>280</v>
      </c>
      <c r="D80" s="835" t="s">
        <v>13</v>
      </c>
      <c r="E80" s="832" t="s">
        <v>77</v>
      </c>
      <c r="F80" s="836" t="s">
        <v>77</v>
      </c>
      <c r="G80" s="835" t="s">
        <v>77</v>
      </c>
      <c r="H80" s="837" t="s">
        <v>261</v>
      </c>
      <c r="I80" s="837" t="s">
        <v>281</v>
      </c>
      <c r="J80" s="831" t="s">
        <v>271</v>
      </c>
      <c r="K80" s="832">
        <v>20</v>
      </c>
      <c r="L80" s="838">
        <f>K80+K81+K82+K83+K84</f>
        <v>135</v>
      </c>
      <c r="M80" s="831" t="str">
        <f>IF(L80&gt;=20,"Memenuhi","Tidak Memenuhi")</f>
        <v>Memenuhi</v>
      </c>
      <c r="N80" s="831"/>
    </row>
    <row r="81" spans="1:14" ht="83.25">
      <c r="A81" s="650"/>
      <c r="B81" s="826"/>
      <c r="C81" s="834"/>
      <c r="D81" s="835"/>
      <c r="E81" s="832"/>
      <c r="F81" s="836"/>
      <c r="G81" s="835"/>
      <c r="H81" s="837" t="s">
        <v>272</v>
      </c>
      <c r="I81" s="837" t="s">
        <v>282</v>
      </c>
      <c r="J81" s="831" t="s">
        <v>274</v>
      </c>
      <c r="K81" s="832">
        <v>58</v>
      </c>
      <c r="L81" s="832"/>
      <c r="M81" s="831"/>
      <c r="N81" s="831"/>
    </row>
    <row r="82" spans="1:14" ht="96.75">
      <c r="A82" s="650"/>
      <c r="B82" s="826"/>
      <c r="C82" s="834"/>
      <c r="D82" s="835"/>
      <c r="E82" s="832"/>
      <c r="F82" s="836"/>
      <c r="G82" s="835"/>
      <c r="H82" s="837" t="s">
        <v>275</v>
      </c>
      <c r="I82" s="837" t="s">
        <v>283</v>
      </c>
      <c r="J82" s="831" t="s">
        <v>277</v>
      </c>
      <c r="K82" s="832">
        <v>45</v>
      </c>
      <c r="L82" s="832"/>
      <c r="M82" s="831"/>
      <c r="N82" s="831"/>
    </row>
    <row r="83" spans="1:14" ht="54.75">
      <c r="A83" s="650"/>
      <c r="B83" s="826"/>
      <c r="C83" s="834"/>
      <c r="D83" s="835"/>
      <c r="E83" s="832"/>
      <c r="F83" s="836"/>
      <c r="G83" s="835"/>
      <c r="H83" s="837" t="s">
        <v>107</v>
      </c>
      <c r="I83" s="837" t="s">
        <v>284</v>
      </c>
      <c r="J83" s="831" t="s">
        <v>109</v>
      </c>
      <c r="K83" s="832">
        <v>6</v>
      </c>
      <c r="L83" s="832"/>
      <c r="M83" s="831"/>
      <c r="N83" s="831"/>
    </row>
    <row r="84" spans="1:14" ht="68.25">
      <c r="A84" s="650"/>
      <c r="B84" s="826"/>
      <c r="C84" s="834"/>
      <c r="D84" s="835"/>
      <c r="E84" s="832"/>
      <c r="F84" s="836"/>
      <c r="G84" s="835"/>
      <c r="H84" s="837" t="s">
        <v>119</v>
      </c>
      <c r="I84" s="837" t="s">
        <v>285</v>
      </c>
      <c r="J84" s="831" t="s">
        <v>121</v>
      </c>
      <c r="K84" s="832">
        <v>6</v>
      </c>
      <c r="L84" s="831"/>
      <c r="M84" s="831"/>
      <c r="N84" s="831" t="s">
        <v>122</v>
      </c>
    </row>
    <row r="85" spans="1:14" ht="41.25">
      <c r="A85" s="650">
        <v>37</v>
      </c>
      <c r="B85" s="826" t="s">
        <v>286</v>
      </c>
      <c r="C85" s="834" t="s">
        <v>287</v>
      </c>
      <c r="D85" s="835" t="s">
        <v>288</v>
      </c>
      <c r="E85" s="832" t="s">
        <v>77</v>
      </c>
      <c r="F85" s="836" t="s">
        <v>77</v>
      </c>
      <c r="G85" s="835" t="s">
        <v>77</v>
      </c>
      <c r="H85" s="837" t="s">
        <v>261</v>
      </c>
      <c r="I85" s="837" t="s">
        <v>289</v>
      </c>
      <c r="J85" s="831" t="s">
        <v>290</v>
      </c>
      <c r="K85" s="832">
        <v>20</v>
      </c>
      <c r="L85" s="838">
        <f>K85+K86+K87</f>
        <v>32</v>
      </c>
      <c r="M85" s="831" t="str">
        <f>IF(L85&gt;=20,"Memenuhi","Tidak Memenuhi")</f>
        <v>Memenuhi</v>
      </c>
      <c r="N85" s="831"/>
    </row>
    <row r="86" spans="1:14" ht="54.75">
      <c r="A86" s="650"/>
      <c r="B86" s="826"/>
      <c r="C86" s="834"/>
      <c r="D86" s="835"/>
      <c r="E86" s="832"/>
      <c r="F86" s="836"/>
      <c r="G86" s="835"/>
      <c r="H86" s="837" t="s">
        <v>107</v>
      </c>
      <c r="I86" s="837" t="s">
        <v>291</v>
      </c>
      <c r="J86" s="831" t="s">
        <v>109</v>
      </c>
      <c r="K86" s="832">
        <v>6</v>
      </c>
      <c r="L86" s="831"/>
      <c r="M86" s="831"/>
      <c r="N86" s="831"/>
    </row>
    <row r="87" spans="1:14" ht="68.25">
      <c r="A87" s="650"/>
      <c r="B87" s="826"/>
      <c r="C87" s="834"/>
      <c r="D87" s="835"/>
      <c r="E87" s="832"/>
      <c r="F87" s="836"/>
      <c r="G87" s="835"/>
      <c r="H87" s="837" t="s">
        <v>119</v>
      </c>
      <c r="I87" s="837" t="s">
        <v>292</v>
      </c>
      <c r="J87" s="831" t="s">
        <v>121</v>
      </c>
      <c r="K87" s="832">
        <v>6</v>
      </c>
      <c r="L87" s="831"/>
      <c r="M87" s="831"/>
      <c r="N87" s="831" t="s">
        <v>122</v>
      </c>
    </row>
    <row r="88" spans="1:14" ht="54.75">
      <c r="A88" s="650"/>
      <c r="B88" s="826"/>
      <c r="C88" s="834"/>
      <c r="D88" s="835"/>
      <c r="E88" s="832"/>
      <c r="F88" s="836"/>
      <c r="G88" s="835"/>
      <c r="H88" s="837" t="s">
        <v>293</v>
      </c>
      <c r="I88" s="837" t="s">
        <v>294</v>
      </c>
      <c r="J88" s="831" t="s">
        <v>295</v>
      </c>
      <c r="K88" s="832" t="s">
        <v>77</v>
      </c>
      <c r="L88" s="831"/>
      <c r="M88" s="831"/>
      <c r="N88" s="831" t="s">
        <v>208</v>
      </c>
    </row>
    <row r="89" spans="1:14" ht="41.25">
      <c r="A89" s="650"/>
      <c r="B89" s="826"/>
      <c r="C89" s="834"/>
      <c r="D89" s="835"/>
      <c r="E89" s="832"/>
      <c r="F89" s="836"/>
      <c r="G89" s="835"/>
      <c r="H89" s="837" t="s">
        <v>296</v>
      </c>
      <c r="I89" s="837" t="s">
        <v>297</v>
      </c>
      <c r="J89" s="831" t="s">
        <v>295</v>
      </c>
      <c r="K89" s="832" t="s">
        <v>77</v>
      </c>
      <c r="L89" s="831"/>
      <c r="M89" s="831"/>
      <c r="N89" s="831" t="s">
        <v>298</v>
      </c>
    </row>
    <row r="90" spans="1:14" ht="83.25">
      <c r="A90" s="650">
        <v>38</v>
      </c>
      <c r="B90" s="826" t="s">
        <v>299</v>
      </c>
      <c r="C90" s="834" t="s">
        <v>300</v>
      </c>
      <c r="D90" s="835" t="s">
        <v>301</v>
      </c>
      <c r="E90" s="832" t="s">
        <v>77</v>
      </c>
      <c r="F90" s="836" t="s">
        <v>77</v>
      </c>
      <c r="G90" s="835" t="s">
        <v>77</v>
      </c>
      <c r="H90" s="837" t="s">
        <v>302</v>
      </c>
      <c r="I90" s="837" t="s">
        <v>303</v>
      </c>
      <c r="J90" s="831" t="s">
        <v>304</v>
      </c>
      <c r="K90" s="832">
        <v>36</v>
      </c>
      <c r="L90" s="838">
        <f>SUM(K90:K100)</f>
        <v>116</v>
      </c>
      <c r="M90" s="831" t="str">
        <f>IF(L90&gt;=20,"Memenuhi","Tidak Memenuhi")</f>
        <v>Memenuhi</v>
      </c>
      <c r="N90" s="831"/>
    </row>
    <row r="91" spans="1:14" ht="96.75">
      <c r="A91" s="650"/>
      <c r="B91" s="826"/>
      <c r="C91" s="834"/>
      <c r="D91" s="835"/>
      <c r="E91" s="832"/>
      <c r="F91" s="836"/>
      <c r="G91" s="835"/>
      <c r="H91" s="837" t="s">
        <v>264</v>
      </c>
      <c r="I91" s="837" t="s">
        <v>305</v>
      </c>
      <c r="J91" s="831" t="s">
        <v>306</v>
      </c>
      <c r="K91" s="832">
        <v>43</v>
      </c>
      <c r="L91" s="831"/>
      <c r="M91" s="831"/>
      <c r="N91" s="831"/>
    </row>
    <row r="92" spans="1:14" ht="83.25">
      <c r="A92" s="650"/>
      <c r="B92" s="826"/>
      <c r="C92" s="834"/>
      <c r="D92" s="835"/>
      <c r="E92" s="832"/>
      <c r="F92" s="836"/>
      <c r="G92" s="835"/>
      <c r="H92" s="837" t="s">
        <v>307</v>
      </c>
      <c r="I92" s="837" t="s">
        <v>308</v>
      </c>
      <c r="J92" s="841">
        <v>45617</v>
      </c>
      <c r="K92" s="832">
        <v>4</v>
      </c>
      <c r="L92" s="831"/>
      <c r="M92" s="831"/>
      <c r="N92" s="831"/>
    </row>
    <row r="93" spans="1:14" ht="110.25">
      <c r="A93" s="650"/>
      <c r="B93" s="826"/>
      <c r="C93" s="834"/>
      <c r="D93" s="835"/>
      <c r="E93" s="832"/>
      <c r="F93" s="836"/>
      <c r="G93" s="835"/>
      <c r="H93" s="837" t="s">
        <v>309</v>
      </c>
      <c r="I93" s="837" t="s">
        <v>310</v>
      </c>
      <c r="J93" s="831" t="s">
        <v>242</v>
      </c>
      <c r="K93" s="832">
        <v>4</v>
      </c>
      <c r="L93" s="831"/>
      <c r="M93" s="831"/>
      <c r="N93" s="831"/>
    </row>
    <row r="94" spans="1:14" ht="68.25">
      <c r="A94" s="650"/>
      <c r="B94" s="826"/>
      <c r="C94" s="834"/>
      <c r="D94" s="835"/>
      <c r="E94" s="832"/>
      <c r="F94" s="836"/>
      <c r="G94" s="835"/>
      <c r="H94" s="837" t="s">
        <v>311</v>
      </c>
      <c r="I94" s="837" t="s">
        <v>312</v>
      </c>
      <c r="J94" s="841">
        <v>45554</v>
      </c>
      <c r="K94" s="832">
        <v>3</v>
      </c>
      <c r="L94" s="831"/>
      <c r="M94" s="831"/>
      <c r="N94" s="831"/>
    </row>
    <row r="95" spans="1:14" ht="54.75">
      <c r="A95" s="650"/>
      <c r="B95" s="826"/>
      <c r="C95" s="834"/>
      <c r="D95" s="835"/>
      <c r="E95" s="832"/>
      <c r="F95" s="836"/>
      <c r="G95" s="835"/>
      <c r="H95" s="837" t="s">
        <v>313</v>
      </c>
      <c r="I95" s="837" t="s">
        <v>314</v>
      </c>
      <c r="J95" s="841">
        <v>45547</v>
      </c>
      <c r="K95" s="832">
        <v>3</v>
      </c>
      <c r="L95" s="831"/>
      <c r="M95" s="831"/>
      <c r="N95" s="831"/>
    </row>
    <row r="96" spans="1:14" ht="68.25">
      <c r="A96" s="650"/>
      <c r="B96" s="826"/>
      <c r="C96" s="834"/>
      <c r="D96" s="835"/>
      <c r="E96" s="832"/>
      <c r="F96" s="836"/>
      <c r="G96" s="835"/>
      <c r="H96" s="837" t="s">
        <v>315</v>
      </c>
      <c r="I96" s="837" t="s">
        <v>316</v>
      </c>
      <c r="J96" s="841">
        <v>45547</v>
      </c>
      <c r="K96" s="832">
        <v>3</v>
      </c>
      <c r="L96" s="831"/>
      <c r="M96" s="831"/>
      <c r="N96" s="831"/>
    </row>
    <row r="97" spans="1:14" ht="68.25">
      <c r="A97" s="650"/>
      <c r="B97" s="826"/>
      <c r="C97" s="834"/>
      <c r="D97" s="835"/>
      <c r="E97" s="832"/>
      <c r="F97" s="836"/>
      <c r="G97" s="835"/>
      <c r="H97" s="837" t="s">
        <v>317</v>
      </c>
      <c r="I97" s="837" t="s">
        <v>318</v>
      </c>
      <c r="J97" s="841">
        <v>45547</v>
      </c>
      <c r="K97" s="832">
        <v>8</v>
      </c>
      <c r="L97" s="831"/>
      <c r="M97" s="831"/>
      <c r="N97" s="831"/>
    </row>
    <row r="98" spans="1:14" ht="83.25">
      <c r="A98" s="650"/>
      <c r="B98" s="826"/>
      <c r="C98" s="834"/>
      <c r="D98" s="835"/>
      <c r="E98" s="832"/>
      <c r="F98" s="836"/>
      <c r="G98" s="835"/>
      <c r="H98" s="837" t="s">
        <v>319</v>
      </c>
      <c r="I98" s="837" t="s">
        <v>320</v>
      </c>
      <c r="J98" s="841" t="s">
        <v>321</v>
      </c>
      <c r="K98" s="832">
        <v>4</v>
      </c>
      <c r="L98" s="831"/>
      <c r="M98" s="831"/>
      <c r="N98" s="831"/>
    </row>
    <row r="99" spans="1:14" ht="54.75">
      <c r="A99" s="650"/>
      <c r="B99" s="826"/>
      <c r="C99" s="834"/>
      <c r="D99" s="835"/>
      <c r="E99" s="832"/>
      <c r="F99" s="836"/>
      <c r="G99" s="835"/>
      <c r="H99" s="837" t="s">
        <v>107</v>
      </c>
      <c r="I99" s="837" t="s">
        <v>322</v>
      </c>
      <c r="J99" s="831" t="s">
        <v>109</v>
      </c>
      <c r="K99" s="832">
        <v>6</v>
      </c>
      <c r="L99" s="831"/>
      <c r="M99" s="831"/>
      <c r="N99" s="831"/>
    </row>
    <row r="100" spans="1:14" ht="54.75">
      <c r="A100" s="650"/>
      <c r="B100" s="826"/>
      <c r="C100" s="834"/>
      <c r="D100" s="835"/>
      <c r="E100" s="832"/>
      <c r="F100" s="836"/>
      <c r="G100" s="835"/>
      <c r="H100" s="837" t="s">
        <v>323</v>
      </c>
      <c r="I100" s="837" t="s">
        <v>324</v>
      </c>
      <c r="J100" s="841">
        <v>45540</v>
      </c>
      <c r="K100" s="832">
        <v>2</v>
      </c>
      <c r="L100" s="831"/>
      <c r="M100" s="831"/>
      <c r="N100" s="831"/>
    </row>
    <row r="101" spans="1:14" ht="54.75">
      <c r="A101" s="650"/>
      <c r="B101" s="826"/>
      <c r="C101" s="834"/>
      <c r="D101" s="835"/>
      <c r="E101" s="832"/>
      <c r="F101" s="836"/>
      <c r="G101" s="835"/>
      <c r="H101" s="837" t="s">
        <v>325</v>
      </c>
      <c r="I101" s="837" t="s">
        <v>326</v>
      </c>
      <c r="J101" s="831" t="s">
        <v>327</v>
      </c>
      <c r="K101" s="832" t="s">
        <v>77</v>
      </c>
      <c r="L101" s="831"/>
      <c r="M101" s="831"/>
      <c r="N101" s="831" t="s">
        <v>208</v>
      </c>
    </row>
    <row r="102" spans="1:14" ht="96.75">
      <c r="A102" s="650">
        <v>39</v>
      </c>
      <c r="B102" s="826" t="s">
        <v>328</v>
      </c>
      <c r="C102" s="834" t="s">
        <v>329</v>
      </c>
      <c r="D102" s="835" t="s">
        <v>13</v>
      </c>
      <c r="E102" s="832" t="s">
        <v>77</v>
      </c>
      <c r="F102" s="836" t="s">
        <v>77</v>
      </c>
      <c r="G102" s="835" t="s">
        <v>77</v>
      </c>
      <c r="H102" s="837" t="s">
        <v>275</v>
      </c>
      <c r="I102" s="837" t="s">
        <v>330</v>
      </c>
      <c r="J102" s="831" t="s">
        <v>331</v>
      </c>
      <c r="K102" s="832">
        <v>45</v>
      </c>
      <c r="L102" s="838">
        <f>K102+K103+K104</f>
        <v>57</v>
      </c>
      <c r="M102" s="831" t="str">
        <f>IF(L102&gt;=20,"Memenuhi","Tidak Memenuhi")</f>
        <v>Memenuhi</v>
      </c>
      <c r="N102" s="831"/>
    </row>
    <row r="103" spans="1:14" ht="54.75">
      <c r="A103" s="650"/>
      <c r="B103" s="826"/>
      <c r="C103" s="834"/>
      <c r="D103" s="835"/>
      <c r="E103" s="832"/>
      <c r="F103" s="836"/>
      <c r="G103" s="835"/>
      <c r="H103" s="837" t="s">
        <v>107</v>
      </c>
      <c r="I103" s="837" t="s">
        <v>332</v>
      </c>
      <c r="J103" s="831" t="s">
        <v>109</v>
      </c>
      <c r="K103" s="832">
        <v>6</v>
      </c>
      <c r="L103" s="832"/>
      <c r="M103" s="831"/>
      <c r="N103" s="831"/>
    </row>
    <row r="104" spans="1:14" ht="68.25">
      <c r="A104" s="650"/>
      <c r="B104" s="826"/>
      <c r="C104" s="834"/>
      <c r="D104" s="835"/>
      <c r="E104" s="832"/>
      <c r="F104" s="836"/>
      <c r="G104" s="835"/>
      <c r="H104" s="837" t="s">
        <v>119</v>
      </c>
      <c r="I104" s="837" t="s">
        <v>333</v>
      </c>
      <c r="J104" s="831" t="s">
        <v>121</v>
      </c>
      <c r="K104" s="832">
        <v>6</v>
      </c>
      <c r="L104" s="831"/>
      <c r="M104" s="831"/>
      <c r="N104" s="831" t="s">
        <v>122</v>
      </c>
    </row>
    <row r="105" spans="1:14" ht="54.75">
      <c r="A105" s="650"/>
      <c r="B105" s="826"/>
      <c r="C105" s="834"/>
      <c r="D105" s="835"/>
      <c r="E105" s="832"/>
      <c r="F105" s="836"/>
      <c r="G105" s="835"/>
      <c r="H105" s="837" t="s">
        <v>334</v>
      </c>
      <c r="I105" s="837" t="s">
        <v>335</v>
      </c>
      <c r="J105" s="831" t="s">
        <v>336</v>
      </c>
      <c r="K105" s="832" t="s">
        <v>77</v>
      </c>
      <c r="L105" s="832"/>
      <c r="M105" s="831"/>
      <c r="N105" s="831" t="s">
        <v>208</v>
      </c>
    </row>
    <row r="106" spans="1:14" ht="83.25">
      <c r="A106" s="650"/>
      <c r="B106" s="826"/>
      <c r="C106" s="834"/>
      <c r="D106" s="835"/>
      <c r="E106" s="832"/>
      <c r="F106" s="836"/>
      <c r="G106" s="835"/>
      <c r="H106" s="837" t="s">
        <v>206</v>
      </c>
      <c r="I106" s="837" t="s">
        <v>207</v>
      </c>
      <c r="J106" s="841">
        <v>45547</v>
      </c>
      <c r="K106" s="832" t="s">
        <v>77</v>
      </c>
      <c r="L106" s="832"/>
      <c r="M106" s="831"/>
      <c r="N106" s="831" t="s">
        <v>208</v>
      </c>
    </row>
    <row r="107" spans="1:14" ht="15" customHeight="1">
      <c r="A107" s="650">
        <v>40</v>
      </c>
      <c r="B107" s="826" t="s">
        <v>337</v>
      </c>
      <c r="C107" s="834" t="s">
        <v>338</v>
      </c>
      <c r="D107" s="835" t="s">
        <v>130</v>
      </c>
      <c r="E107" s="832" t="s">
        <v>77</v>
      </c>
      <c r="F107" s="836" t="s">
        <v>77</v>
      </c>
      <c r="G107" s="835" t="s">
        <v>77</v>
      </c>
      <c r="H107" s="859"/>
      <c r="I107" s="859"/>
      <c r="J107" s="860"/>
      <c r="K107" s="861"/>
      <c r="L107" s="861"/>
      <c r="M107" s="831"/>
      <c r="N107" s="831"/>
    </row>
    <row r="108" spans="1:14" ht="15" customHeight="1">
      <c r="A108" s="650">
        <v>41</v>
      </c>
      <c r="B108" s="826" t="s">
        <v>339</v>
      </c>
      <c r="C108" s="834" t="s">
        <v>340</v>
      </c>
      <c r="D108" s="835" t="s">
        <v>341</v>
      </c>
      <c r="E108" s="832" t="s">
        <v>77</v>
      </c>
      <c r="F108" s="836" t="s">
        <v>77</v>
      </c>
      <c r="G108" s="835" t="s">
        <v>77</v>
      </c>
      <c r="H108" s="859"/>
      <c r="I108" s="859"/>
      <c r="J108" s="860"/>
      <c r="K108" s="861"/>
      <c r="L108" s="861"/>
      <c r="M108" s="831"/>
      <c r="N108" s="831"/>
    </row>
    <row r="109" spans="1:14" ht="15" customHeight="1">
      <c r="A109" s="650">
        <v>42</v>
      </c>
      <c r="B109" s="826" t="s">
        <v>342</v>
      </c>
      <c r="C109" s="834" t="s">
        <v>343</v>
      </c>
      <c r="D109" s="835" t="s">
        <v>341</v>
      </c>
      <c r="E109" s="832" t="s">
        <v>77</v>
      </c>
      <c r="F109" s="836" t="s">
        <v>77</v>
      </c>
      <c r="G109" s="835" t="s">
        <v>77</v>
      </c>
      <c r="H109" s="859"/>
      <c r="I109" s="859"/>
      <c r="J109" s="860"/>
      <c r="K109" s="861"/>
      <c r="L109" s="861"/>
      <c r="M109" s="831"/>
      <c r="N109" s="831"/>
    </row>
    <row r="110" spans="1:14" ht="15" customHeight="1">
      <c r="A110" s="650">
        <v>43</v>
      </c>
      <c r="B110" s="826" t="s">
        <v>344</v>
      </c>
      <c r="C110" s="834" t="s">
        <v>345</v>
      </c>
      <c r="D110" s="835" t="s">
        <v>346</v>
      </c>
      <c r="E110" s="832" t="s">
        <v>77</v>
      </c>
      <c r="F110" s="836" t="s">
        <v>77</v>
      </c>
      <c r="G110" s="835" t="s">
        <v>77</v>
      </c>
      <c r="H110" s="859"/>
      <c r="I110" s="859"/>
      <c r="J110" s="860"/>
      <c r="K110" s="861"/>
      <c r="L110" s="861"/>
      <c r="M110" s="831"/>
      <c r="N110" s="831"/>
    </row>
    <row r="111" spans="1:14" ht="15" customHeight="1">
      <c r="A111" s="650">
        <v>44</v>
      </c>
      <c r="B111" s="826" t="s">
        <v>347</v>
      </c>
      <c r="C111" s="834" t="s">
        <v>348</v>
      </c>
      <c r="D111" s="835" t="s">
        <v>349</v>
      </c>
      <c r="E111" s="832" t="s">
        <v>77</v>
      </c>
      <c r="F111" s="836" t="s">
        <v>77</v>
      </c>
      <c r="G111" s="835" t="s">
        <v>77</v>
      </c>
      <c r="H111" s="859"/>
      <c r="I111" s="859"/>
      <c r="J111" s="860"/>
      <c r="K111" s="861"/>
      <c r="L111" s="861"/>
      <c r="M111" s="831"/>
      <c r="N111" s="831"/>
    </row>
    <row r="112" spans="1:14" ht="15" customHeight="1">
      <c r="A112" s="650">
        <v>45</v>
      </c>
      <c r="B112" s="826" t="s">
        <v>350</v>
      </c>
      <c r="C112" s="834" t="s">
        <v>351</v>
      </c>
      <c r="D112" s="835" t="s">
        <v>349</v>
      </c>
      <c r="E112" s="832" t="s">
        <v>77</v>
      </c>
      <c r="F112" s="836" t="s">
        <v>77</v>
      </c>
      <c r="G112" s="835" t="s">
        <v>77</v>
      </c>
      <c r="H112" s="859"/>
      <c r="I112" s="859"/>
      <c r="J112" s="860"/>
      <c r="K112" s="861"/>
      <c r="L112" s="861"/>
      <c r="M112" s="831"/>
      <c r="N112" s="831"/>
    </row>
    <row r="113" spans="1:14" ht="15" customHeight="1">
      <c r="A113" s="650">
        <v>46</v>
      </c>
      <c r="B113" s="826" t="s">
        <v>352</v>
      </c>
      <c r="C113" s="834" t="s">
        <v>353</v>
      </c>
      <c r="D113" s="835" t="s">
        <v>346</v>
      </c>
      <c r="E113" s="832" t="s">
        <v>77</v>
      </c>
      <c r="F113" s="836" t="s">
        <v>77</v>
      </c>
      <c r="G113" s="835" t="s">
        <v>77</v>
      </c>
      <c r="H113" s="859"/>
      <c r="I113" s="859"/>
      <c r="J113" s="860"/>
      <c r="K113" s="861"/>
      <c r="L113" s="861"/>
      <c r="M113" s="831"/>
      <c r="N113" s="831"/>
    </row>
    <row r="114" spans="1:14" ht="15" customHeight="1">
      <c r="A114" s="650">
        <v>47</v>
      </c>
      <c r="B114" s="826" t="s">
        <v>354</v>
      </c>
      <c r="C114" s="834" t="s">
        <v>353</v>
      </c>
      <c r="D114" s="835" t="s">
        <v>346</v>
      </c>
      <c r="E114" s="832" t="s">
        <v>77</v>
      </c>
      <c r="F114" s="836" t="s">
        <v>77</v>
      </c>
      <c r="G114" s="835" t="s">
        <v>77</v>
      </c>
      <c r="H114" s="859"/>
      <c r="I114" s="859"/>
      <c r="J114" s="860"/>
      <c r="K114" s="861"/>
      <c r="L114" s="861"/>
      <c r="M114" s="831"/>
      <c r="N114" s="831"/>
    </row>
    <row r="115" spans="1:14" ht="15" customHeight="1">
      <c r="A115" s="650">
        <v>48</v>
      </c>
      <c r="B115" s="862" t="s">
        <v>355</v>
      </c>
      <c r="C115" s="863" t="s">
        <v>353</v>
      </c>
      <c r="D115" s="850" t="s">
        <v>349</v>
      </c>
      <c r="E115" s="853" t="s">
        <v>77</v>
      </c>
      <c r="F115" s="863" t="s">
        <v>77</v>
      </c>
      <c r="G115" s="850" t="s">
        <v>77</v>
      </c>
      <c r="H115" s="859"/>
      <c r="I115" s="859"/>
      <c r="J115" s="860"/>
      <c r="K115" s="861"/>
      <c r="L115" s="861"/>
      <c r="M115" s="831"/>
      <c r="N115" s="831"/>
    </row>
    <row r="117" spans="1:14" ht="16.5" customHeight="1">
      <c r="D117" s="1528" t="s">
        <v>356</v>
      </c>
      <c r="E117" s="1528"/>
      <c r="F117" s="1528"/>
      <c r="G117" s="1528"/>
    </row>
    <row r="118" spans="1:14" ht="39" customHeight="1">
      <c r="B118" s="865"/>
      <c r="D118" s="1529" t="s">
        <v>357</v>
      </c>
      <c r="E118" s="1528"/>
      <c r="F118" s="1528"/>
      <c r="G118" s="1528"/>
    </row>
    <row r="119" spans="1:14" ht="15" customHeight="1">
      <c r="G119" s="866"/>
    </row>
    <row r="120" spans="1:14" ht="15" customHeight="1">
      <c r="G120" s="866"/>
    </row>
    <row r="121" spans="1:14" ht="15" customHeight="1">
      <c r="G121" s="866"/>
    </row>
    <row r="122" spans="1:14" ht="15" customHeight="1">
      <c r="D122" s="1530" t="s">
        <v>103</v>
      </c>
      <c r="E122" s="1530"/>
      <c r="F122" s="1530"/>
      <c r="G122" s="1530"/>
    </row>
    <row r="123" spans="1:14" ht="15" customHeight="1">
      <c r="D123" s="1528" t="s">
        <v>358</v>
      </c>
      <c r="E123" s="1528"/>
      <c r="F123" s="1528"/>
      <c r="G123" s="1528"/>
    </row>
    <row r="124" spans="1:14" ht="15" customHeight="1">
      <c r="G124" s="866"/>
    </row>
    <row r="125" spans="1:14" ht="15" customHeight="1">
      <c r="G125" s="866"/>
    </row>
    <row r="126" spans="1:14" ht="15" customHeight="1">
      <c r="G126" s="866"/>
    </row>
    <row r="127" spans="1:14" ht="15" customHeight="1">
      <c r="G127" s="866"/>
    </row>
    <row r="128" spans="1:14" ht="15" customHeight="1">
      <c r="G128" s="866"/>
    </row>
    <row r="129" spans="7:7" ht="15" customHeight="1">
      <c r="G129" s="866"/>
    </row>
    <row r="130" spans="7:7" ht="15" customHeight="1">
      <c r="G130" s="866"/>
    </row>
    <row r="131" spans="7:7" ht="15" customHeight="1">
      <c r="G131" s="866"/>
    </row>
    <row r="132" spans="7:7" ht="15" customHeight="1">
      <c r="G132" s="866"/>
    </row>
    <row r="133" spans="7:7" ht="15" customHeight="1">
      <c r="G133" s="866"/>
    </row>
    <row r="134" spans="7:7" ht="15" customHeight="1">
      <c r="G134" s="866"/>
    </row>
    <row r="135" spans="7:7" ht="15" customHeight="1">
      <c r="G135" s="866"/>
    </row>
    <row r="136" spans="7:7" ht="15" customHeight="1">
      <c r="G136" s="866"/>
    </row>
    <row r="137" spans="7:7" ht="15" customHeight="1">
      <c r="G137" s="866"/>
    </row>
    <row r="138" spans="7:7" ht="15" customHeight="1">
      <c r="G138" s="866"/>
    </row>
    <row r="139" spans="7:7" ht="15" customHeight="1">
      <c r="G139" s="866"/>
    </row>
    <row r="140" spans="7:7" ht="15" customHeight="1">
      <c r="G140" s="866"/>
    </row>
    <row r="141" spans="7:7" ht="15" customHeight="1">
      <c r="G141" s="866"/>
    </row>
    <row r="142" spans="7:7" ht="15" customHeight="1">
      <c r="G142" s="866"/>
    </row>
    <row r="143" spans="7:7" ht="15" customHeight="1">
      <c r="G143" s="866"/>
    </row>
    <row r="144" spans="7:7" ht="15" customHeight="1">
      <c r="G144" s="866"/>
    </row>
    <row r="145" spans="7:7" ht="15" customHeight="1">
      <c r="G145" s="866"/>
    </row>
    <row r="146" spans="7:7" ht="15" customHeight="1">
      <c r="G146" s="866"/>
    </row>
    <row r="147" spans="7:7" ht="15" customHeight="1">
      <c r="G147" s="866"/>
    </row>
    <row r="148" spans="7:7" ht="15" customHeight="1">
      <c r="G148" s="866"/>
    </row>
    <row r="149" spans="7:7" ht="15" customHeight="1">
      <c r="G149" s="866"/>
    </row>
    <row r="150" spans="7:7" ht="15" customHeight="1">
      <c r="G150" s="866"/>
    </row>
    <row r="151" spans="7:7" ht="15" customHeight="1">
      <c r="G151" s="866"/>
    </row>
    <row r="152" spans="7:7" ht="15" customHeight="1">
      <c r="G152" s="866"/>
    </row>
    <row r="153" spans="7:7" ht="15" customHeight="1">
      <c r="G153" s="866"/>
    </row>
    <row r="154" spans="7:7" ht="15" customHeight="1">
      <c r="G154" s="866"/>
    </row>
    <row r="155" spans="7:7" ht="15" customHeight="1">
      <c r="G155" s="866"/>
    </row>
    <row r="156" spans="7:7" ht="15" customHeight="1">
      <c r="G156" s="866"/>
    </row>
    <row r="157" spans="7:7" ht="15" customHeight="1">
      <c r="G157" s="866"/>
    </row>
    <row r="158" spans="7:7" ht="15" customHeight="1">
      <c r="G158" s="866"/>
    </row>
    <row r="159" spans="7:7" ht="15" customHeight="1">
      <c r="G159" s="866"/>
    </row>
    <row r="160" spans="7:7" ht="15" customHeight="1">
      <c r="G160" s="866"/>
    </row>
    <row r="161" spans="7:7" ht="15" customHeight="1">
      <c r="G161" s="866"/>
    </row>
    <row r="162" spans="7:7" ht="15" customHeight="1">
      <c r="G162" s="866"/>
    </row>
    <row r="163" spans="7:7" ht="15" customHeight="1">
      <c r="G163" s="866"/>
    </row>
    <row r="164" spans="7:7" ht="15" customHeight="1">
      <c r="G164" s="866"/>
    </row>
    <row r="165" spans="7:7" ht="15" customHeight="1">
      <c r="G165" s="866"/>
    </row>
    <row r="166" spans="7:7" ht="15" customHeight="1">
      <c r="G166" s="866"/>
    </row>
    <row r="167" spans="7:7" ht="15" customHeight="1">
      <c r="G167" s="866"/>
    </row>
    <row r="168" spans="7:7" ht="15" customHeight="1">
      <c r="G168" s="866"/>
    </row>
    <row r="169" spans="7:7" ht="15" customHeight="1">
      <c r="G169" s="866"/>
    </row>
    <row r="170" spans="7:7" ht="15" customHeight="1">
      <c r="G170" s="866"/>
    </row>
    <row r="171" spans="7:7" ht="15" customHeight="1">
      <c r="G171" s="866"/>
    </row>
    <row r="172" spans="7:7" ht="15" customHeight="1">
      <c r="G172" s="866"/>
    </row>
    <row r="173" spans="7:7" ht="15" customHeight="1">
      <c r="G173" s="866"/>
    </row>
    <row r="174" spans="7:7" ht="15" customHeight="1">
      <c r="G174" s="866"/>
    </row>
    <row r="175" spans="7:7" ht="15" customHeight="1">
      <c r="G175" s="866"/>
    </row>
    <row r="176" spans="7:7" ht="15" customHeight="1">
      <c r="G176" s="866"/>
    </row>
    <row r="177" spans="7:7" ht="15" customHeight="1">
      <c r="G177" s="866"/>
    </row>
    <row r="178" spans="7:7" ht="15" customHeight="1">
      <c r="G178" s="866"/>
    </row>
    <row r="179" spans="7:7" ht="15" customHeight="1">
      <c r="G179" s="866"/>
    </row>
    <row r="180" spans="7:7" ht="15" customHeight="1">
      <c r="G180" s="866"/>
    </row>
    <row r="181" spans="7:7" ht="15" customHeight="1">
      <c r="G181" s="866"/>
    </row>
    <row r="182" spans="7:7" ht="15" customHeight="1">
      <c r="G182" s="866"/>
    </row>
    <row r="183" spans="7:7" ht="15" customHeight="1">
      <c r="G183" s="866"/>
    </row>
    <row r="184" spans="7:7" ht="15" customHeight="1">
      <c r="G184" s="866"/>
    </row>
    <row r="185" spans="7:7" ht="15" customHeight="1">
      <c r="G185" s="866"/>
    </row>
    <row r="186" spans="7:7" ht="15" customHeight="1">
      <c r="G186" s="866"/>
    </row>
    <row r="187" spans="7:7" ht="15" customHeight="1">
      <c r="G187" s="866"/>
    </row>
    <row r="188" spans="7:7" ht="15" customHeight="1">
      <c r="G188" s="866"/>
    </row>
    <row r="189" spans="7:7" ht="15" customHeight="1">
      <c r="G189" s="866"/>
    </row>
    <row r="190" spans="7:7" ht="15" customHeight="1">
      <c r="G190" s="866"/>
    </row>
    <row r="191" spans="7:7" ht="15" customHeight="1">
      <c r="G191" s="866"/>
    </row>
    <row r="192" spans="7:7" ht="15" customHeight="1">
      <c r="G192" s="866"/>
    </row>
    <row r="193" spans="7:7" ht="15" customHeight="1">
      <c r="G193" s="866"/>
    </row>
    <row r="194" spans="7:7" ht="15" customHeight="1">
      <c r="G194" s="866"/>
    </row>
    <row r="195" spans="7:7" ht="15" customHeight="1">
      <c r="G195" s="866"/>
    </row>
    <row r="196" spans="7:7" ht="15" customHeight="1">
      <c r="G196" s="866"/>
    </row>
    <row r="197" spans="7:7" ht="15" customHeight="1">
      <c r="G197" s="866"/>
    </row>
    <row r="198" spans="7:7" ht="15" customHeight="1">
      <c r="G198" s="866"/>
    </row>
    <row r="199" spans="7:7" ht="15" customHeight="1">
      <c r="G199" s="866"/>
    </row>
    <row r="200" spans="7:7" ht="15" customHeight="1">
      <c r="G200" s="866"/>
    </row>
    <row r="201" spans="7:7" ht="15" customHeight="1">
      <c r="G201" s="866"/>
    </row>
    <row r="202" spans="7:7" ht="15" customHeight="1">
      <c r="G202" s="866"/>
    </row>
    <row r="203" spans="7:7" ht="15" customHeight="1">
      <c r="G203" s="866"/>
    </row>
    <row r="204" spans="7:7" ht="15" customHeight="1">
      <c r="G204" s="866"/>
    </row>
    <row r="205" spans="7:7" ht="15" customHeight="1">
      <c r="G205" s="866"/>
    </row>
    <row r="206" spans="7:7" ht="15" customHeight="1">
      <c r="G206" s="866"/>
    </row>
    <row r="207" spans="7:7" ht="15" customHeight="1">
      <c r="G207" s="866"/>
    </row>
    <row r="208" spans="7:7" ht="15" customHeight="1">
      <c r="G208" s="866"/>
    </row>
    <row r="209" spans="7:7" ht="15" customHeight="1">
      <c r="G209" s="866"/>
    </row>
    <row r="210" spans="7:7" ht="15" customHeight="1">
      <c r="G210" s="866"/>
    </row>
    <row r="211" spans="7:7" ht="15" customHeight="1">
      <c r="G211" s="866"/>
    </row>
    <row r="212" spans="7:7" ht="15" customHeight="1">
      <c r="G212" s="866"/>
    </row>
    <row r="213" spans="7:7" ht="15" customHeight="1">
      <c r="G213" s="866"/>
    </row>
    <row r="214" spans="7:7" ht="15" customHeight="1">
      <c r="G214" s="866"/>
    </row>
    <row r="215" spans="7:7" ht="15" customHeight="1">
      <c r="G215" s="866"/>
    </row>
    <row r="216" spans="7:7" ht="15" customHeight="1">
      <c r="G216" s="866"/>
    </row>
    <row r="217" spans="7:7" ht="15" customHeight="1">
      <c r="G217" s="866"/>
    </row>
    <row r="218" spans="7:7" ht="15" customHeight="1">
      <c r="G218" s="866"/>
    </row>
    <row r="219" spans="7:7" ht="15" customHeight="1">
      <c r="G219" s="866"/>
    </row>
    <row r="220" spans="7:7" ht="15" customHeight="1">
      <c r="G220" s="866"/>
    </row>
    <row r="221" spans="7:7" ht="15" customHeight="1">
      <c r="G221" s="866"/>
    </row>
    <row r="222" spans="7:7" ht="15" customHeight="1">
      <c r="G222" s="866"/>
    </row>
    <row r="223" spans="7:7" ht="15" customHeight="1">
      <c r="G223" s="866"/>
    </row>
    <row r="224" spans="7:7" ht="15" customHeight="1">
      <c r="G224" s="866"/>
    </row>
    <row r="225" spans="7:7" ht="15" customHeight="1">
      <c r="G225" s="866"/>
    </row>
    <row r="226" spans="7:7" ht="15" customHeight="1">
      <c r="G226" s="866"/>
    </row>
    <row r="227" spans="7:7" ht="15" customHeight="1">
      <c r="G227" s="866"/>
    </row>
    <row r="228" spans="7:7" ht="15" customHeight="1">
      <c r="G228" s="866"/>
    </row>
    <row r="229" spans="7:7" ht="15" customHeight="1">
      <c r="G229" s="866"/>
    </row>
    <row r="230" spans="7:7" ht="15" customHeight="1">
      <c r="G230" s="866"/>
    </row>
    <row r="231" spans="7:7" ht="15" customHeight="1">
      <c r="G231" s="866"/>
    </row>
    <row r="232" spans="7:7" ht="15" customHeight="1">
      <c r="G232" s="866"/>
    </row>
    <row r="233" spans="7:7" ht="15" customHeight="1">
      <c r="G233" s="866"/>
    </row>
    <row r="234" spans="7:7" ht="15" customHeight="1">
      <c r="G234" s="866"/>
    </row>
    <row r="235" spans="7:7" ht="15" customHeight="1">
      <c r="G235" s="866"/>
    </row>
    <row r="236" spans="7:7" ht="15" customHeight="1">
      <c r="G236" s="866"/>
    </row>
    <row r="237" spans="7:7" ht="15" customHeight="1">
      <c r="G237" s="866"/>
    </row>
    <row r="238" spans="7:7" ht="15" customHeight="1">
      <c r="G238" s="866"/>
    </row>
    <row r="239" spans="7:7" ht="15" customHeight="1">
      <c r="G239" s="866"/>
    </row>
    <row r="240" spans="7:7" ht="15" customHeight="1">
      <c r="G240" s="866"/>
    </row>
    <row r="241" spans="7:7" ht="15" customHeight="1">
      <c r="G241" s="866"/>
    </row>
    <row r="242" spans="7:7" ht="15" customHeight="1">
      <c r="G242" s="866"/>
    </row>
    <row r="243" spans="7:7" ht="15" customHeight="1">
      <c r="G243" s="866"/>
    </row>
    <row r="244" spans="7:7" ht="15" customHeight="1">
      <c r="G244" s="866"/>
    </row>
    <row r="245" spans="7:7" ht="15" customHeight="1">
      <c r="G245" s="866"/>
    </row>
    <row r="246" spans="7:7" ht="15" customHeight="1">
      <c r="G246" s="866"/>
    </row>
    <row r="247" spans="7:7" ht="15" customHeight="1">
      <c r="G247" s="866"/>
    </row>
    <row r="248" spans="7:7" ht="15" customHeight="1">
      <c r="G248" s="866"/>
    </row>
    <row r="249" spans="7:7" ht="15" customHeight="1">
      <c r="G249" s="866"/>
    </row>
    <row r="250" spans="7:7" ht="15" customHeight="1">
      <c r="G250" s="866"/>
    </row>
    <row r="251" spans="7:7" ht="15" customHeight="1">
      <c r="G251" s="866"/>
    </row>
    <row r="252" spans="7:7" ht="15" customHeight="1">
      <c r="G252" s="866"/>
    </row>
    <row r="253" spans="7:7" ht="15" customHeight="1">
      <c r="G253" s="866"/>
    </row>
    <row r="254" spans="7:7" ht="15" customHeight="1">
      <c r="G254" s="866"/>
    </row>
    <row r="255" spans="7:7" ht="15" customHeight="1">
      <c r="G255" s="866"/>
    </row>
    <row r="256" spans="7:7" ht="15" customHeight="1">
      <c r="G256" s="866"/>
    </row>
    <row r="257" spans="7:7" ht="15" customHeight="1">
      <c r="G257" s="866"/>
    </row>
    <row r="258" spans="7:7" ht="15" customHeight="1">
      <c r="G258" s="866"/>
    </row>
    <row r="259" spans="7:7" ht="15" customHeight="1">
      <c r="G259" s="866"/>
    </row>
    <row r="260" spans="7:7" ht="15" customHeight="1">
      <c r="G260" s="866"/>
    </row>
    <row r="261" spans="7:7" ht="15" customHeight="1">
      <c r="G261" s="866"/>
    </row>
    <row r="262" spans="7:7" ht="15" customHeight="1">
      <c r="G262" s="866"/>
    </row>
    <row r="263" spans="7:7" ht="15" customHeight="1">
      <c r="G263" s="866"/>
    </row>
    <row r="264" spans="7:7" ht="15" customHeight="1">
      <c r="G264" s="866"/>
    </row>
    <row r="265" spans="7:7" ht="15" customHeight="1">
      <c r="G265" s="866"/>
    </row>
    <row r="266" spans="7:7" ht="15" customHeight="1">
      <c r="G266" s="866"/>
    </row>
    <row r="267" spans="7:7" ht="15" customHeight="1">
      <c r="G267" s="866"/>
    </row>
    <row r="268" spans="7:7" ht="15" customHeight="1">
      <c r="G268" s="866"/>
    </row>
    <row r="269" spans="7:7" ht="15" customHeight="1">
      <c r="G269" s="866"/>
    </row>
    <row r="270" spans="7:7" ht="15" customHeight="1">
      <c r="G270" s="866"/>
    </row>
    <row r="271" spans="7:7" ht="15" customHeight="1">
      <c r="G271" s="866"/>
    </row>
    <row r="272" spans="7:7" ht="15" customHeight="1">
      <c r="G272" s="866"/>
    </row>
    <row r="273" spans="7:7" ht="15" customHeight="1">
      <c r="G273" s="866"/>
    </row>
    <row r="274" spans="7:7" ht="15" customHeight="1">
      <c r="G274" s="866"/>
    </row>
    <row r="275" spans="7:7" ht="15" customHeight="1">
      <c r="G275" s="866"/>
    </row>
    <row r="276" spans="7:7" ht="15" customHeight="1">
      <c r="G276" s="866"/>
    </row>
    <row r="277" spans="7:7" ht="15" customHeight="1">
      <c r="G277" s="866"/>
    </row>
    <row r="278" spans="7:7" ht="15" customHeight="1">
      <c r="G278" s="866"/>
    </row>
    <row r="279" spans="7:7" ht="15" customHeight="1">
      <c r="G279" s="866"/>
    </row>
    <row r="280" spans="7:7" ht="15" customHeight="1">
      <c r="G280" s="866"/>
    </row>
    <row r="281" spans="7:7" ht="15" customHeight="1">
      <c r="G281" s="866"/>
    </row>
    <row r="282" spans="7:7" ht="15" customHeight="1">
      <c r="G282" s="866"/>
    </row>
    <row r="283" spans="7:7" ht="15" customHeight="1">
      <c r="G283" s="866"/>
    </row>
    <row r="284" spans="7:7" ht="15" customHeight="1">
      <c r="G284" s="866"/>
    </row>
    <row r="285" spans="7:7" ht="15" customHeight="1">
      <c r="G285" s="866"/>
    </row>
    <row r="286" spans="7:7" ht="15" customHeight="1">
      <c r="G286" s="866"/>
    </row>
    <row r="287" spans="7:7" ht="15" customHeight="1">
      <c r="G287" s="866"/>
    </row>
    <row r="288" spans="7:7" ht="15" customHeight="1">
      <c r="G288" s="866"/>
    </row>
    <row r="289" spans="7:7" ht="15" customHeight="1">
      <c r="G289" s="866"/>
    </row>
    <row r="290" spans="7:7" ht="15" customHeight="1">
      <c r="G290" s="866"/>
    </row>
    <row r="291" spans="7:7" ht="15" customHeight="1">
      <c r="G291" s="866"/>
    </row>
    <row r="292" spans="7:7" ht="15" customHeight="1">
      <c r="G292" s="866"/>
    </row>
    <row r="293" spans="7:7" ht="15" customHeight="1">
      <c r="G293" s="866"/>
    </row>
    <row r="294" spans="7:7" ht="15" customHeight="1">
      <c r="G294" s="866"/>
    </row>
    <row r="295" spans="7:7" ht="15" customHeight="1">
      <c r="G295" s="866"/>
    </row>
    <row r="296" spans="7:7" ht="15" customHeight="1">
      <c r="G296" s="866"/>
    </row>
    <row r="297" spans="7:7" ht="15" customHeight="1">
      <c r="G297" s="866"/>
    </row>
    <row r="298" spans="7:7" ht="15" customHeight="1">
      <c r="G298" s="866"/>
    </row>
    <row r="299" spans="7:7" ht="15" customHeight="1">
      <c r="G299" s="866"/>
    </row>
    <row r="300" spans="7:7" ht="15" customHeight="1">
      <c r="G300" s="866"/>
    </row>
    <row r="301" spans="7:7" ht="15" customHeight="1">
      <c r="G301" s="866"/>
    </row>
    <row r="302" spans="7:7" ht="15" customHeight="1">
      <c r="G302" s="866"/>
    </row>
    <row r="303" spans="7:7" ht="15" customHeight="1">
      <c r="G303" s="866"/>
    </row>
    <row r="304" spans="7:7" ht="15" customHeight="1">
      <c r="G304" s="866"/>
    </row>
    <row r="305" spans="2:7" ht="15" customHeight="1">
      <c r="G305" s="866"/>
    </row>
    <row r="306" spans="2:7" ht="15" customHeight="1">
      <c r="G306" s="866"/>
    </row>
    <row r="307" spans="2:7" ht="15" customHeight="1">
      <c r="G307" s="866"/>
    </row>
    <row r="308" spans="2:7" ht="15" customHeight="1">
      <c r="G308" s="866"/>
    </row>
    <row r="309" spans="2:7" ht="15" customHeight="1">
      <c r="G309" s="866"/>
    </row>
    <row r="310" spans="2:7" ht="15" customHeight="1">
      <c r="G310" s="866"/>
    </row>
    <row r="311" spans="2:7" ht="15" customHeight="1">
      <c r="G311" s="866"/>
    </row>
    <row r="312" spans="2:7" ht="15" customHeight="1">
      <c r="G312" s="866"/>
    </row>
    <row r="313" spans="2:7" ht="15" customHeight="1">
      <c r="G313" s="866"/>
    </row>
    <row r="314" spans="2:7" ht="15" customHeight="1">
      <c r="G314" s="866"/>
    </row>
    <row r="315" spans="2:7" ht="15" customHeight="1">
      <c r="E315" s="16"/>
      <c r="G315" s="866"/>
    </row>
    <row r="316" spans="2:7" ht="15" customHeight="1">
      <c r="E316" s="16"/>
      <c r="G316" s="866"/>
    </row>
    <row r="317" spans="2:7" ht="15" customHeight="1">
      <c r="E317" s="16"/>
      <c r="G317" s="866"/>
    </row>
    <row r="318" spans="2:7" ht="15" customHeight="1">
      <c r="B318" s="865"/>
      <c r="E318" s="16"/>
      <c r="G318" s="866"/>
    </row>
    <row r="319" spans="2:7" ht="15" customHeight="1">
      <c r="E319" s="16"/>
      <c r="G319" s="866"/>
    </row>
    <row r="320" spans="2:7" ht="15" customHeight="1">
      <c r="E320" s="16"/>
      <c r="G320" s="866"/>
    </row>
    <row r="321" spans="2:7" ht="15" customHeight="1">
      <c r="E321" s="16"/>
      <c r="G321" s="866"/>
    </row>
    <row r="322" spans="2:7" ht="15" customHeight="1">
      <c r="E322" s="16"/>
      <c r="F322" s="16"/>
      <c r="G322" s="866"/>
    </row>
    <row r="323" spans="2:7" ht="15" customHeight="1">
      <c r="E323" s="16"/>
    </row>
    <row r="324" spans="2:7" ht="15" customHeight="1">
      <c r="E324" s="16"/>
    </row>
    <row r="325" spans="2:7" ht="15" customHeight="1">
      <c r="E325" s="16"/>
    </row>
    <row r="326" spans="2:7" ht="15" customHeight="1">
      <c r="E326" s="16"/>
      <c r="F326" s="16"/>
    </row>
    <row r="327" spans="2:7" ht="15" customHeight="1">
      <c r="E327" s="16"/>
      <c r="G327" s="866"/>
    </row>
    <row r="328" spans="2:7" ht="15" customHeight="1">
      <c r="E328" s="16"/>
    </row>
    <row r="329" spans="2:7" ht="15" customHeight="1">
      <c r="B329" s="865"/>
      <c r="E329" s="16"/>
      <c r="F329" s="16"/>
      <c r="G329" s="866"/>
    </row>
    <row r="330" spans="2:7" ht="15" customHeight="1">
      <c r="E330" s="16"/>
      <c r="G330" s="866"/>
    </row>
    <row r="331" spans="2:7" ht="15" customHeight="1">
      <c r="E331" s="16"/>
    </row>
    <row r="332" spans="2:7" ht="15" customHeight="1">
      <c r="E332" s="16"/>
      <c r="G332" s="866"/>
    </row>
    <row r="333" spans="2:7" ht="15" customHeight="1">
      <c r="E333" s="16"/>
    </row>
    <row r="334" spans="2:7" ht="15" customHeight="1">
      <c r="E334" s="16"/>
      <c r="F334" s="16"/>
    </row>
    <row r="335" spans="2:7" ht="15" customHeight="1">
      <c r="E335" s="16"/>
    </row>
    <row r="336" spans="2:7" ht="15" customHeight="1">
      <c r="E336" s="16"/>
      <c r="F336" s="16"/>
      <c r="G336" s="866"/>
    </row>
    <row r="337" spans="2:7" ht="15" customHeight="1">
      <c r="E337" s="16"/>
      <c r="G337" s="866"/>
    </row>
    <row r="338" spans="2:7" ht="15" customHeight="1">
      <c r="E338" s="16"/>
      <c r="G338" s="866"/>
    </row>
    <row r="339" spans="2:7" ht="15" customHeight="1">
      <c r="B339" s="865"/>
      <c r="E339" s="16"/>
    </row>
    <row r="340" spans="2:7" ht="15" customHeight="1">
      <c r="B340" s="865"/>
      <c r="E340" s="16"/>
      <c r="G340" s="866"/>
    </row>
    <row r="341" spans="2:7" ht="15" customHeight="1">
      <c r="B341" s="865"/>
      <c r="E341" s="16"/>
      <c r="G341" s="866"/>
    </row>
    <row r="342" spans="2:7" ht="15" customHeight="1">
      <c r="B342" s="865"/>
      <c r="E342" s="16"/>
      <c r="G342" s="866"/>
    </row>
    <row r="343" spans="2:7" ht="15" customHeight="1">
      <c r="B343" s="865"/>
      <c r="E343" s="16"/>
      <c r="G343" s="866"/>
    </row>
    <row r="344" spans="2:7" ht="15" customHeight="1">
      <c r="B344" s="865"/>
      <c r="E344" s="16"/>
    </row>
    <row r="345" spans="2:7" ht="15" customHeight="1">
      <c r="B345" s="865"/>
      <c r="E345" s="16"/>
      <c r="F345" s="16"/>
    </row>
    <row r="346" spans="2:7" ht="15" customHeight="1">
      <c r="B346" s="865"/>
      <c r="E346" s="16"/>
      <c r="F346" s="16"/>
    </row>
    <row r="347" spans="2:7" ht="15" customHeight="1">
      <c r="B347" s="865"/>
      <c r="E347" s="16"/>
      <c r="F347" s="16"/>
    </row>
    <row r="348" spans="2:7" ht="15" customHeight="1">
      <c r="B348" s="865"/>
      <c r="E348" s="16"/>
      <c r="F348" s="16"/>
    </row>
    <row r="349" spans="2:7" ht="15" customHeight="1">
      <c r="B349" s="865"/>
      <c r="E349" s="16"/>
      <c r="F349" s="16"/>
    </row>
    <row r="350" spans="2:7" ht="15" customHeight="1">
      <c r="B350" s="865"/>
      <c r="E350" s="16"/>
      <c r="F350" s="16"/>
    </row>
    <row r="351" spans="2:7" ht="15" customHeight="1">
      <c r="B351" s="865"/>
      <c r="E351" s="16"/>
      <c r="F351" s="16"/>
    </row>
    <row r="352" spans="2:7" ht="15" customHeight="1">
      <c r="B352" s="865"/>
      <c r="E352" s="16"/>
      <c r="F352" s="16"/>
    </row>
    <row r="353" spans="2:7" ht="15" customHeight="1">
      <c r="B353" s="865"/>
      <c r="E353" s="16"/>
      <c r="F353" s="16"/>
    </row>
    <row r="354" spans="2:7" ht="15" customHeight="1">
      <c r="B354" s="865"/>
      <c r="E354" s="16"/>
      <c r="F354" s="16"/>
    </row>
    <row r="355" spans="2:7" ht="15" customHeight="1">
      <c r="B355" s="865"/>
      <c r="E355" s="16"/>
      <c r="F355" s="16"/>
    </row>
    <row r="356" spans="2:7" ht="15" customHeight="1">
      <c r="B356" s="865"/>
      <c r="E356" s="16"/>
      <c r="F356" s="16"/>
    </row>
    <row r="357" spans="2:7" ht="15" customHeight="1">
      <c r="B357" s="865"/>
      <c r="E357" s="16"/>
      <c r="F357" s="16"/>
    </row>
    <row r="358" spans="2:7" ht="15" customHeight="1">
      <c r="B358" s="867" t="s">
        <v>359</v>
      </c>
      <c r="C358" s="7" t="s">
        <v>360</v>
      </c>
      <c r="E358" s="16"/>
      <c r="F358" s="16"/>
    </row>
    <row r="359" spans="2:7" ht="15" customHeight="1">
      <c r="B359" s="864" t="s">
        <v>361</v>
      </c>
      <c r="C359" s="868" t="s">
        <v>362</v>
      </c>
      <c r="E359" s="16"/>
      <c r="F359" s="16"/>
    </row>
    <row r="360" spans="2:7" ht="15" customHeight="1">
      <c r="B360" s="865"/>
      <c r="E360" s="16"/>
      <c r="F360" s="16"/>
    </row>
    <row r="361" spans="2:7" ht="15" customHeight="1">
      <c r="B361" s="865"/>
      <c r="E361" s="16"/>
      <c r="F361" s="16"/>
    </row>
    <row r="362" spans="2:7" ht="15" customHeight="1">
      <c r="B362" s="865"/>
      <c r="E362" s="16"/>
      <c r="F362" s="16"/>
    </row>
    <row r="363" spans="2:7" ht="15" customHeight="1">
      <c r="B363" s="865"/>
      <c r="E363" s="16"/>
      <c r="F363" s="16"/>
      <c r="G363" s="866" t="s">
        <v>78</v>
      </c>
    </row>
    <row r="364" spans="2:7" ht="15" customHeight="1">
      <c r="B364" s="865"/>
      <c r="D364" s="16" t="s">
        <v>75</v>
      </c>
      <c r="E364" s="7" t="s">
        <v>76</v>
      </c>
      <c r="G364" s="866" t="s">
        <v>363</v>
      </c>
    </row>
    <row r="365" spans="2:7" ht="15" customHeight="1">
      <c r="B365" s="865"/>
      <c r="D365" s="16" t="s">
        <v>83</v>
      </c>
      <c r="E365" s="7" t="s">
        <v>84</v>
      </c>
    </row>
    <row r="366" spans="2:7" ht="15" customHeight="1">
      <c r="B366" s="865"/>
      <c r="E366" s="16"/>
      <c r="F366" s="16"/>
    </row>
    <row r="367" spans="2:7" ht="15" customHeight="1">
      <c r="B367" s="865"/>
      <c r="E367" s="16"/>
      <c r="F367" s="16"/>
    </row>
    <row r="368" spans="2:7" ht="15" customHeight="1">
      <c r="B368" s="865"/>
      <c r="E368" s="16"/>
      <c r="F368" s="16"/>
    </row>
    <row r="369" spans="2:6" ht="15" customHeight="1">
      <c r="B369" s="865"/>
      <c r="E369" s="16"/>
      <c r="F369" s="16"/>
    </row>
    <row r="370" spans="2:6" ht="15" customHeight="1">
      <c r="B370" s="865"/>
      <c r="E370" s="16"/>
      <c r="F370" s="16"/>
    </row>
    <row r="371" spans="2:6" ht="15" customHeight="1">
      <c r="B371" s="865"/>
      <c r="E371" s="16"/>
      <c r="F371" s="16"/>
    </row>
    <row r="372" spans="2:6" ht="15" customHeight="1">
      <c r="B372" s="865"/>
      <c r="E372" s="16"/>
      <c r="F372" s="16"/>
    </row>
    <row r="373" spans="2:6" ht="15" customHeight="1">
      <c r="B373" s="865"/>
      <c r="E373" s="16"/>
      <c r="F373" s="16"/>
    </row>
    <row r="374" spans="2:6" ht="15" customHeight="1">
      <c r="B374" s="865"/>
      <c r="E374" s="16"/>
      <c r="F374" s="16"/>
    </row>
    <row r="375" spans="2:6" ht="15" customHeight="1">
      <c r="B375" s="865"/>
      <c r="E375" s="16"/>
      <c r="F375" s="16"/>
    </row>
    <row r="376" spans="2:6" ht="15" customHeight="1">
      <c r="B376" s="865"/>
      <c r="E376" s="16"/>
      <c r="F376" s="16"/>
    </row>
    <row r="377" spans="2:6" ht="15" customHeight="1">
      <c r="B377" s="865"/>
      <c r="E377" s="16"/>
      <c r="F377" s="16"/>
    </row>
    <row r="378" spans="2:6" ht="15" customHeight="1">
      <c r="B378" s="865"/>
      <c r="E378" s="16"/>
      <c r="F378" s="16"/>
    </row>
    <row r="379" spans="2:6" ht="15" customHeight="1">
      <c r="B379" s="865"/>
      <c r="E379" s="16"/>
      <c r="F379" s="16"/>
    </row>
    <row r="380" spans="2:6" ht="15" customHeight="1">
      <c r="B380" s="865"/>
      <c r="E380" s="16"/>
      <c r="F380" s="16"/>
    </row>
    <row r="381" spans="2:6" ht="15" customHeight="1">
      <c r="B381" s="865"/>
      <c r="E381" s="16"/>
      <c r="F381" s="16"/>
    </row>
    <row r="382" spans="2:6" ht="15" customHeight="1">
      <c r="B382" s="865"/>
      <c r="E382" s="16"/>
      <c r="F382" s="16"/>
    </row>
    <row r="383" spans="2:6" ht="15" customHeight="1">
      <c r="B383" s="865"/>
      <c r="E383" s="16"/>
      <c r="F383" s="16"/>
    </row>
    <row r="384" spans="2:6" ht="15" customHeight="1">
      <c r="B384" s="865"/>
      <c r="E384" s="16"/>
      <c r="F384" s="16"/>
    </row>
    <row r="385" spans="2:6" ht="15" customHeight="1">
      <c r="B385" s="865"/>
      <c r="E385" s="16"/>
      <c r="F385" s="16"/>
    </row>
    <row r="386" spans="2:6" ht="15" customHeight="1">
      <c r="B386" s="865"/>
      <c r="E386" s="16"/>
      <c r="F386" s="16"/>
    </row>
    <row r="387" spans="2:6" ht="15" customHeight="1">
      <c r="B387" s="865"/>
      <c r="E387" s="16"/>
      <c r="F387" s="16"/>
    </row>
    <row r="388" spans="2:6" ht="15" customHeight="1">
      <c r="B388" s="865"/>
      <c r="E388" s="16"/>
      <c r="F388" s="16"/>
    </row>
    <row r="389" spans="2:6" ht="15" customHeight="1">
      <c r="B389" s="865"/>
      <c r="E389" s="16"/>
      <c r="F389" s="16"/>
    </row>
    <row r="390" spans="2:6" ht="15" customHeight="1">
      <c r="B390" s="865"/>
      <c r="E390" s="16"/>
      <c r="F390" s="16"/>
    </row>
    <row r="391" spans="2:6" ht="15" customHeight="1">
      <c r="B391" s="865"/>
      <c r="E391" s="16"/>
      <c r="F391" s="16"/>
    </row>
    <row r="392" spans="2:6" ht="15" customHeight="1">
      <c r="B392" s="865"/>
      <c r="E392" s="16"/>
      <c r="F392" s="16"/>
    </row>
    <row r="393" spans="2:6" ht="15" customHeight="1">
      <c r="B393" s="865"/>
      <c r="E393" s="16"/>
      <c r="F393" s="16"/>
    </row>
    <row r="394" spans="2:6" ht="15" customHeight="1">
      <c r="B394" s="865"/>
      <c r="E394" s="16"/>
      <c r="F394" s="16"/>
    </row>
    <row r="395" spans="2:6" ht="15" customHeight="1">
      <c r="B395" s="865"/>
      <c r="E395" s="16"/>
      <c r="F395" s="16"/>
    </row>
    <row r="396" spans="2:6" ht="15" customHeight="1">
      <c r="B396" s="865"/>
      <c r="E396" s="16"/>
      <c r="F396" s="16"/>
    </row>
    <row r="397" spans="2:6" ht="15" customHeight="1">
      <c r="B397" s="865"/>
      <c r="E397" s="16"/>
      <c r="F397" s="16"/>
    </row>
    <row r="398" spans="2:6" ht="15" customHeight="1">
      <c r="B398" s="865"/>
      <c r="E398" s="16"/>
      <c r="F398" s="16"/>
    </row>
    <row r="399" spans="2:6" ht="15" customHeight="1">
      <c r="B399" s="865"/>
      <c r="E399" s="16"/>
      <c r="F399" s="16"/>
    </row>
    <row r="400" spans="2:6" ht="15" customHeight="1">
      <c r="B400" s="865"/>
      <c r="E400" s="16"/>
      <c r="F400" s="16"/>
    </row>
    <row r="401" spans="2:6" ht="15" customHeight="1">
      <c r="B401" s="865"/>
      <c r="E401" s="16"/>
      <c r="F401" s="16"/>
    </row>
    <row r="402" spans="2:6" ht="15" customHeight="1">
      <c r="B402" s="865"/>
      <c r="E402" s="16"/>
      <c r="F402" s="16"/>
    </row>
    <row r="403" spans="2:6" ht="15" customHeight="1">
      <c r="B403" s="865"/>
      <c r="E403" s="16"/>
      <c r="F403" s="16"/>
    </row>
    <row r="404" spans="2:6" ht="15" customHeight="1">
      <c r="B404" s="865"/>
      <c r="E404" s="16"/>
      <c r="F404" s="16"/>
    </row>
    <row r="405" spans="2:6" ht="15" customHeight="1">
      <c r="B405" s="865"/>
      <c r="E405" s="16"/>
      <c r="F405" s="16"/>
    </row>
    <row r="406" spans="2:6" ht="15" customHeight="1">
      <c r="B406" s="865"/>
      <c r="E406" s="16"/>
      <c r="F406" s="16"/>
    </row>
    <row r="407" spans="2:6" ht="15" customHeight="1">
      <c r="B407" s="865"/>
      <c r="E407" s="16"/>
      <c r="F407" s="16"/>
    </row>
    <row r="408" spans="2:6" ht="15" customHeight="1">
      <c r="B408" s="865"/>
      <c r="E408" s="16"/>
      <c r="F408" s="16"/>
    </row>
    <row r="409" spans="2:6" ht="15" customHeight="1">
      <c r="B409" s="865"/>
      <c r="E409" s="16"/>
      <c r="F409" s="16"/>
    </row>
    <row r="410" spans="2:6" ht="15" customHeight="1">
      <c r="B410" s="865"/>
      <c r="E410" s="16"/>
      <c r="F410" s="16"/>
    </row>
    <row r="411" spans="2:6" ht="15" customHeight="1">
      <c r="B411" s="865"/>
      <c r="E411" s="16"/>
      <c r="F411" s="16"/>
    </row>
    <row r="412" spans="2:6" ht="15" customHeight="1">
      <c r="B412" s="865"/>
      <c r="E412" s="16"/>
      <c r="F412" s="16"/>
    </row>
    <row r="413" spans="2:6" ht="15" customHeight="1">
      <c r="B413" s="865"/>
      <c r="E413" s="16"/>
      <c r="F413" s="16"/>
    </row>
    <row r="414" spans="2:6" ht="15" customHeight="1">
      <c r="B414" s="865"/>
      <c r="E414" s="16"/>
      <c r="F414" s="16"/>
    </row>
    <row r="415" spans="2:6" ht="15" customHeight="1">
      <c r="B415" s="865"/>
      <c r="E415" s="16"/>
      <c r="F415" s="16"/>
    </row>
    <row r="416" spans="2:6" ht="15" customHeight="1">
      <c r="B416" s="865"/>
      <c r="E416" s="16"/>
      <c r="F416" s="16"/>
    </row>
    <row r="417" spans="2:6" ht="15" customHeight="1">
      <c r="B417" s="865"/>
      <c r="E417" s="16"/>
      <c r="F417" s="16"/>
    </row>
    <row r="418" spans="2:6" ht="15" customHeight="1">
      <c r="B418" s="865"/>
      <c r="E418" s="16"/>
      <c r="F418" s="16"/>
    </row>
    <row r="419" spans="2:6" ht="15" customHeight="1">
      <c r="B419" s="865"/>
      <c r="E419" s="16"/>
      <c r="F419" s="16"/>
    </row>
    <row r="420" spans="2:6" ht="15" customHeight="1">
      <c r="B420" s="865"/>
      <c r="E420" s="16"/>
      <c r="F420" s="16"/>
    </row>
    <row r="421" spans="2:6" ht="15" customHeight="1">
      <c r="B421" s="865"/>
      <c r="E421" s="16"/>
      <c r="F421" s="16"/>
    </row>
    <row r="422" spans="2:6" ht="15" customHeight="1">
      <c r="B422" s="865"/>
      <c r="E422" s="16"/>
      <c r="F422" s="16"/>
    </row>
    <row r="423" spans="2:6" ht="15" customHeight="1">
      <c r="B423" s="865"/>
      <c r="E423" s="16"/>
      <c r="F423" s="16"/>
    </row>
    <row r="424" spans="2:6" ht="15" customHeight="1">
      <c r="B424" s="865"/>
      <c r="E424" s="16"/>
      <c r="F424" s="16"/>
    </row>
    <row r="425" spans="2:6" ht="15" customHeight="1">
      <c r="B425" s="865"/>
      <c r="E425" s="16"/>
      <c r="F425" s="16"/>
    </row>
    <row r="426" spans="2:6" ht="15" customHeight="1">
      <c r="B426" s="865"/>
      <c r="E426" s="16"/>
      <c r="F426" s="16"/>
    </row>
    <row r="427" spans="2:6" ht="15" customHeight="1">
      <c r="B427" s="865"/>
      <c r="E427" s="16"/>
      <c r="F427" s="16"/>
    </row>
    <row r="428" spans="2:6" ht="15" customHeight="1">
      <c r="B428" s="865"/>
      <c r="E428" s="16"/>
      <c r="F428" s="16"/>
    </row>
    <row r="429" spans="2:6" ht="15" customHeight="1">
      <c r="B429" s="865"/>
      <c r="E429" s="16"/>
      <c r="F429" s="16"/>
    </row>
    <row r="430" spans="2:6" ht="15" customHeight="1">
      <c r="B430" s="865"/>
      <c r="E430" s="16"/>
      <c r="F430" s="16"/>
    </row>
    <row r="431" spans="2:6" ht="15" customHeight="1">
      <c r="B431" s="865"/>
      <c r="E431" s="16"/>
      <c r="F431" s="16"/>
    </row>
    <row r="432" spans="2:6" ht="15" customHeight="1">
      <c r="B432" s="865"/>
      <c r="E432" s="16"/>
      <c r="F432" s="16"/>
    </row>
    <row r="433" spans="2:6" ht="15" customHeight="1">
      <c r="B433" s="865"/>
      <c r="E433" s="16"/>
      <c r="F433" s="16"/>
    </row>
    <row r="434" spans="2:6" ht="15" customHeight="1">
      <c r="B434" s="865"/>
      <c r="E434" s="16"/>
      <c r="F434" s="16"/>
    </row>
    <row r="435" spans="2:6" ht="15" customHeight="1">
      <c r="B435" s="865"/>
      <c r="E435" s="16"/>
      <c r="F435" s="16"/>
    </row>
    <row r="436" spans="2:6" ht="15" customHeight="1">
      <c r="B436" s="865"/>
      <c r="E436" s="16"/>
      <c r="F436" s="16"/>
    </row>
    <row r="437" spans="2:6" ht="15" customHeight="1">
      <c r="B437" s="865"/>
      <c r="E437" s="16"/>
      <c r="F437" s="16"/>
    </row>
    <row r="438" spans="2:6" ht="15" customHeight="1">
      <c r="B438" s="865"/>
      <c r="E438" s="16"/>
      <c r="F438" s="16"/>
    </row>
    <row r="439" spans="2:6" ht="15" customHeight="1">
      <c r="B439" s="865"/>
      <c r="E439" s="16"/>
      <c r="F439" s="16"/>
    </row>
    <row r="440" spans="2:6" ht="15" customHeight="1">
      <c r="B440" s="865"/>
      <c r="E440" s="16"/>
      <c r="F440" s="16"/>
    </row>
    <row r="441" spans="2:6" ht="15" customHeight="1">
      <c r="B441" s="865"/>
      <c r="E441" s="16"/>
      <c r="F441" s="16"/>
    </row>
    <row r="442" spans="2:6" ht="15" customHeight="1">
      <c r="B442" s="865"/>
      <c r="E442" s="16"/>
      <c r="F442" s="16"/>
    </row>
    <row r="443" spans="2:6" ht="15" customHeight="1">
      <c r="B443" s="865"/>
      <c r="E443" s="16"/>
      <c r="F443" s="16"/>
    </row>
    <row r="444" spans="2:6" ht="15" customHeight="1">
      <c r="B444" s="865"/>
      <c r="E444" s="16"/>
      <c r="F444" s="16"/>
    </row>
    <row r="445" spans="2:6" ht="15" customHeight="1">
      <c r="B445" s="865"/>
      <c r="E445" s="16"/>
      <c r="F445" s="16"/>
    </row>
    <row r="446" spans="2:6" ht="15" customHeight="1">
      <c r="B446" s="865"/>
      <c r="E446" s="16"/>
      <c r="F446" s="16"/>
    </row>
    <row r="447" spans="2:6" ht="15" customHeight="1">
      <c r="B447" s="865"/>
      <c r="E447" s="16"/>
      <c r="F447" s="16"/>
    </row>
    <row r="448" spans="2:6" ht="15" customHeight="1">
      <c r="B448" s="865"/>
      <c r="E448" s="16"/>
      <c r="F448" s="16"/>
    </row>
    <row r="449" spans="2:6" ht="15" customHeight="1">
      <c r="B449" s="865"/>
      <c r="E449" s="16"/>
      <c r="F449" s="16"/>
    </row>
    <row r="450" spans="2:6" ht="15" customHeight="1">
      <c r="B450" s="865"/>
      <c r="E450" s="16"/>
      <c r="F450" s="16"/>
    </row>
    <row r="451" spans="2:6" ht="15" customHeight="1">
      <c r="B451" s="865"/>
      <c r="E451" s="16"/>
      <c r="F451" s="16"/>
    </row>
    <row r="452" spans="2:6" ht="15" customHeight="1">
      <c r="B452" s="865"/>
      <c r="E452" s="16"/>
      <c r="F452" s="16"/>
    </row>
    <row r="453" spans="2:6" ht="15" customHeight="1">
      <c r="B453" s="865"/>
      <c r="E453" s="16"/>
      <c r="F453" s="16"/>
    </row>
    <row r="454" spans="2:6" ht="15" customHeight="1">
      <c r="B454" s="865"/>
      <c r="E454" s="16"/>
      <c r="F454" s="16"/>
    </row>
    <row r="455" spans="2:6" ht="15" customHeight="1">
      <c r="B455" s="865"/>
      <c r="E455" s="16"/>
      <c r="F455" s="16"/>
    </row>
    <row r="456" spans="2:6" ht="15" customHeight="1">
      <c r="B456" s="865"/>
      <c r="E456" s="16"/>
      <c r="F456" s="16"/>
    </row>
    <row r="457" spans="2:6" ht="15" customHeight="1">
      <c r="B457" s="865"/>
      <c r="E457" s="16"/>
      <c r="F457" s="16"/>
    </row>
    <row r="458" spans="2:6" ht="15" customHeight="1">
      <c r="B458" s="865"/>
      <c r="E458" s="16"/>
      <c r="F458" s="16"/>
    </row>
    <row r="459" spans="2:6" ht="15" customHeight="1">
      <c r="B459" s="865"/>
      <c r="E459" s="16"/>
      <c r="F459" s="16"/>
    </row>
    <row r="460" spans="2:6" ht="15" customHeight="1">
      <c r="B460" s="865"/>
      <c r="E460" s="16"/>
      <c r="F460" s="16"/>
    </row>
    <row r="461" spans="2:6" ht="15" customHeight="1">
      <c r="B461" s="865"/>
      <c r="E461" s="16"/>
      <c r="F461" s="16"/>
    </row>
    <row r="462" spans="2:6" ht="15" customHeight="1">
      <c r="E462" s="16"/>
      <c r="F462" s="16"/>
    </row>
    <row r="463" spans="2:6" ht="15" customHeight="1">
      <c r="E463" s="16"/>
      <c r="F463" s="16"/>
    </row>
    <row r="464" spans="2:6" ht="15" customHeight="1">
      <c r="E464" s="16"/>
      <c r="F464" s="16"/>
    </row>
    <row r="465" spans="5:6" ht="15" customHeight="1">
      <c r="E465" s="16"/>
      <c r="F465" s="16"/>
    </row>
    <row r="466" spans="5:6" ht="15" customHeight="1">
      <c r="E466" s="16"/>
      <c r="F466" s="16"/>
    </row>
    <row r="467" spans="5:6" ht="15" customHeight="1">
      <c r="E467" s="16"/>
      <c r="F467" s="16"/>
    </row>
    <row r="468" spans="5:6" ht="15" customHeight="1"/>
    <row r="469" spans="5:6" ht="15" customHeight="1"/>
    <row r="470" spans="5:6" ht="15" customHeight="1"/>
    <row r="471" spans="5:6" ht="15" customHeight="1"/>
    <row r="472" spans="5:6" ht="15" customHeight="1"/>
    <row r="473" spans="5:6" ht="15" customHeight="1"/>
    <row r="474" spans="5:6" ht="15" customHeight="1"/>
    <row r="475" spans="5:6" ht="15" customHeight="1"/>
    <row r="476" spans="5:6" ht="15" customHeight="1"/>
    <row r="477" spans="5:6" ht="15" customHeight="1"/>
    <row r="478" spans="5:6" ht="15" customHeight="1"/>
    <row r="479" spans="5:6" ht="15" customHeight="1"/>
    <row r="480" spans="5:6"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sheetData>
  <mergeCells count="5">
    <mergeCell ref="A1:G1"/>
    <mergeCell ref="D117:G117"/>
    <mergeCell ref="D118:G118"/>
    <mergeCell ref="D122:G122"/>
    <mergeCell ref="D123:G123"/>
  </mergeCells>
  <pageMargins left="0.7" right="0.7" top="0.75" bottom="0.75" header="0.3" footer="0.3"/>
  <pageSetup paperSize="9" scale="75"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025B2-9898-4763-9E54-949CC566ADB6}">
  <sheetPr>
    <pageSetUpPr fitToPage="1"/>
  </sheetPr>
  <dimension ref="A1:AD1227"/>
  <sheetViews>
    <sheetView workbookViewId="0">
      <selection activeCell="H348" sqref="H348"/>
    </sheetView>
  </sheetViews>
  <sheetFormatPr defaultRowHeight="15.75" customHeight="1"/>
  <cols>
    <col min="1" max="1" width="4.42578125" style="203" customWidth="1"/>
    <col min="2" max="2" width="28.85546875" style="203" customWidth="1"/>
    <col min="3" max="3" width="26.28515625" style="225" customWidth="1"/>
    <col min="4" max="4" width="28.42578125" style="203" customWidth="1"/>
    <col min="5" max="5" width="20.7109375" style="203" customWidth="1"/>
    <col min="6" max="6" width="25.42578125" style="203" customWidth="1"/>
    <col min="7" max="7" width="22.85546875" style="203" customWidth="1"/>
    <col min="8" max="8" width="8.42578125" style="203" customWidth="1"/>
    <col min="9" max="9" width="7.5703125" style="203" customWidth="1"/>
    <col min="10" max="10" width="13.28515625" style="203" customWidth="1"/>
    <col min="11" max="11" width="16.7109375" style="203" customWidth="1"/>
    <col min="12" max="12" width="20.28515625" style="361" customWidth="1"/>
    <col min="13" max="14" width="27.140625" style="203" customWidth="1"/>
    <col min="15" max="15" width="11.5703125" style="203" customWidth="1"/>
    <col min="16" max="16" width="19.7109375" customWidth="1"/>
    <col min="17" max="17" width="13.5703125" customWidth="1"/>
    <col min="18" max="30" width="8.5703125" customWidth="1"/>
  </cols>
  <sheetData>
    <row r="1" spans="1:30" ht="15">
      <c r="A1" s="1553" t="s">
        <v>364</v>
      </c>
      <c r="B1" s="1738"/>
      <c r="C1" s="1738"/>
      <c r="D1" s="1738"/>
      <c r="E1" s="1738"/>
      <c r="F1" s="1738"/>
      <c r="G1" s="1738"/>
      <c r="H1" s="1738"/>
      <c r="I1" s="1738"/>
      <c r="J1" s="1738"/>
    </row>
    <row r="2" spans="1:30" ht="15.75" customHeight="1">
      <c r="A2" s="592" t="s">
        <v>365</v>
      </c>
    </row>
    <row r="3" spans="1:30" ht="30.75" customHeight="1">
      <c r="A3" s="1562" t="s">
        <v>0</v>
      </c>
      <c r="B3" s="1562" t="s">
        <v>366</v>
      </c>
      <c r="C3" s="1562" t="s">
        <v>367</v>
      </c>
      <c r="D3" s="1562" t="s">
        <v>368</v>
      </c>
      <c r="E3" s="1562"/>
      <c r="F3" s="1562"/>
      <c r="G3" s="1562"/>
      <c r="H3" s="1562"/>
      <c r="I3" s="1562"/>
      <c r="J3" s="1562"/>
      <c r="K3" s="1563" t="s">
        <v>369</v>
      </c>
      <c r="L3" s="1564"/>
      <c r="M3" s="1560" t="s">
        <v>370</v>
      </c>
      <c r="N3" s="1562" t="s">
        <v>371</v>
      </c>
    </row>
    <row r="4" spans="1:30" ht="47.25" customHeight="1">
      <c r="A4" s="1560"/>
      <c r="B4" s="1560"/>
      <c r="C4" s="1560"/>
      <c r="D4" s="130" t="s">
        <v>67</v>
      </c>
      <c r="E4" s="130" t="s">
        <v>69</v>
      </c>
      <c r="F4" s="130" t="s">
        <v>372</v>
      </c>
      <c r="G4" s="130" t="s">
        <v>373</v>
      </c>
      <c r="H4" s="130" t="s">
        <v>70</v>
      </c>
      <c r="I4" s="130" t="s">
        <v>71</v>
      </c>
      <c r="J4" s="131" t="s">
        <v>374</v>
      </c>
      <c r="K4" s="130" t="s">
        <v>375</v>
      </c>
      <c r="L4" s="130" t="s">
        <v>9</v>
      </c>
      <c r="M4" s="1561"/>
      <c r="N4" s="1562"/>
      <c r="O4" s="204"/>
      <c r="P4" s="132"/>
      <c r="Q4" s="132"/>
      <c r="R4" s="132"/>
      <c r="S4" s="132"/>
      <c r="T4" s="132"/>
      <c r="U4" s="132"/>
      <c r="V4" s="132"/>
      <c r="W4" s="132"/>
      <c r="X4" s="132"/>
      <c r="Y4" s="132"/>
      <c r="Z4" s="132"/>
      <c r="AA4" s="132"/>
      <c r="AB4" s="132"/>
      <c r="AC4" s="132"/>
      <c r="AD4" s="132"/>
    </row>
    <row r="5" spans="1:30" ht="63" customHeight="1">
      <c r="A5" s="396">
        <v>1</v>
      </c>
      <c r="B5" s="393" t="s">
        <v>376</v>
      </c>
      <c r="C5" s="387" t="s">
        <v>377</v>
      </c>
      <c r="D5" s="383" t="s">
        <v>378</v>
      </c>
      <c r="E5" s="226">
        <v>45775</v>
      </c>
      <c r="F5" s="156" t="s">
        <v>379</v>
      </c>
      <c r="G5" s="156" t="s">
        <v>380</v>
      </c>
      <c r="H5" s="227">
        <v>2</v>
      </c>
      <c r="I5" s="248">
        <f>SUM(H5:H14)</f>
        <v>95</v>
      </c>
      <c r="J5" s="417" t="str">
        <f>IF(I5&gt;=20,"Memenuhi","Tidak Memenuhi")</f>
        <v>Memenuhi</v>
      </c>
      <c r="K5" s="435" t="s">
        <v>381</v>
      </c>
      <c r="L5" s="1536" t="s">
        <v>382</v>
      </c>
      <c r="M5" s="1554" t="s">
        <v>383</v>
      </c>
      <c r="N5" s="151"/>
    </row>
    <row r="6" spans="1:30" ht="46.5">
      <c r="A6" s="397"/>
      <c r="B6" s="394"/>
      <c r="C6" s="388"/>
      <c r="D6" s="384" t="s">
        <v>384</v>
      </c>
      <c r="E6" s="137">
        <v>45728</v>
      </c>
      <c r="F6" s="138" t="s">
        <v>385</v>
      </c>
      <c r="G6" s="138" t="s">
        <v>386</v>
      </c>
      <c r="H6" s="139">
        <v>4</v>
      </c>
      <c r="I6" s="202"/>
      <c r="J6" s="418"/>
      <c r="K6" s="444"/>
      <c r="L6" s="1544"/>
      <c r="M6" s="1555"/>
      <c r="N6" s="206"/>
      <c r="O6" s="207"/>
      <c r="P6" s="143"/>
      <c r="Q6" s="142"/>
      <c r="R6" s="142"/>
      <c r="S6" s="142"/>
      <c r="T6" s="142"/>
      <c r="U6" s="142"/>
      <c r="V6" s="142"/>
      <c r="W6" s="142"/>
      <c r="X6" s="142"/>
      <c r="Y6" s="142"/>
      <c r="Z6" s="142"/>
      <c r="AA6" s="142"/>
      <c r="AB6" s="142"/>
      <c r="AC6" s="142"/>
      <c r="AD6" s="142"/>
    </row>
    <row r="7" spans="1:30" ht="72">
      <c r="A7" s="397"/>
      <c r="B7" s="394"/>
      <c r="C7" s="388"/>
      <c r="D7" s="384" t="s">
        <v>387</v>
      </c>
      <c r="E7" s="137">
        <v>45796</v>
      </c>
      <c r="F7" s="138" t="s">
        <v>379</v>
      </c>
      <c r="G7" s="138" t="s">
        <v>388</v>
      </c>
      <c r="H7" s="139">
        <v>2</v>
      </c>
      <c r="I7" s="202"/>
      <c r="J7" s="418"/>
      <c r="K7" s="444"/>
      <c r="L7" s="1544"/>
      <c r="M7" s="1555"/>
      <c r="N7" s="206"/>
      <c r="O7" s="207"/>
      <c r="P7" s="143"/>
      <c r="Q7" s="142"/>
      <c r="R7" s="142"/>
      <c r="S7" s="142"/>
      <c r="T7" s="142"/>
      <c r="U7" s="142"/>
      <c r="V7" s="142"/>
      <c r="W7" s="142"/>
      <c r="X7" s="142"/>
      <c r="Y7" s="142"/>
      <c r="Z7" s="142"/>
      <c r="AA7" s="142"/>
      <c r="AB7" s="142"/>
      <c r="AC7" s="142"/>
      <c r="AD7" s="142"/>
    </row>
    <row r="8" spans="1:30" ht="33" customHeight="1">
      <c r="A8" s="397"/>
      <c r="B8" s="394"/>
      <c r="C8" s="388"/>
      <c r="D8" s="384" t="s">
        <v>389</v>
      </c>
      <c r="E8" s="139" t="s">
        <v>390</v>
      </c>
      <c r="F8" s="138" t="s">
        <v>391</v>
      </c>
      <c r="G8" s="138" t="s">
        <v>392</v>
      </c>
      <c r="H8" s="139">
        <v>13</v>
      </c>
      <c r="I8" s="202"/>
      <c r="J8" s="418"/>
      <c r="K8" s="444"/>
      <c r="L8" s="1544"/>
      <c r="M8" s="1555"/>
      <c r="N8" s="206"/>
      <c r="O8" s="207"/>
      <c r="P8" s="143"/>
      <c r="Q8" s="142"/>
      <c r="R8" s="142"/>
      <c r="S8" s="142"/>
      <c r="T8" s="142"/>
      <c r="U8" s="142"/>
      <c r="V8" s="142"/>
      <c r="W8" s="142"/>
      <c r="X8" s="142"/>
      <c r="Y8" s="142"/>
      <c r="Z8" s="142"/>
      <c r="AA8" s="142"/>
      <c r="AB8" s="142"/>
      <c r="AC8" s="142"/>
      <c r="AD8" s="142"/>
    </row>
    <row r="9" spans="1:30" ht="46.5">
      <c r="A9" s="397"/>
      <c r="B9" s="394"/>
      <c r="C9" s="388"/>
      <c r="D9" s="384" t="s">
        <v>393</v>
      </c>
      <c r="E9" s="137">
        <v>45716</v>
      </c>
      <c r="F9" s="138" t="s">
        <v>385</v>
      </c>
      <c r="G9" s="138" t="s">
        <v>394</v>
      </c>
      <c r="H9" s="139">
        <v>4</v>
      </c>
      <c r="I9" s="202"/>
      <c r="J9" s="418"/>
      <c r="K9" s="444"/>
      <c r="L9" s="1544"/>
      <c r="M9" s="1555"/>
      <c r="N9" s="206"/>
      <c r="O9" s="207"/>
      <c r="P9" s="143"/>
      <c r="Q9" s="142"/>
      <c r="R9" s="142"/>
      <c r="S9" s="142"/>
      <c r="T9" s="142"/>
      <c r="U9" s="142"/>
      <c r="V9" s="142"/>
      <c r="W9" s="142"/>
      <c r="X9" s="142"/>
      <c r="Y9" s="142"/>
      <c r="Z9" s="142"/>
      <c r="AA9" s="142"/>
      <c r="AB9" s="142"/>
      <c r="AC9" s="142"/>
      <c r="AD9" s="142"/>
    </row>
    <row r="10" spans="1:30" ht="86.25">
      <c r="A10" s="398"/>
      <c r="B10" s="395"/>
      <c r="C10" s="389"/>
      <c r="D10" s="385" t="s">
        <v>395</v>
      </c>
      <c r="E10" s="144" t="s">
        <v>396</v>
      </c>
      <c r="F10" s="145" t="s">
        <v>379</v>
      </c>
      <c r="G10" s="145" t="s">
        <v>397</v>
      </c>
      <c r="H10" s="144">
        <v>6</v>
      </c>
      <c r="I10" s="201"/>
      <c r="J10" s="419"/>
      <c r="K10" s="445"/>
      <c r="L10" s="1544"/>
      <c r="M10" s="1555"/>
      <c r="N10" s="145"/>
      <c r="O10" s="146"/>
      <c r="P10" s="146"/>
      <c r="Q10" s="146"/>
      <c r="R10" s="146"/>
      <c r="S10" s="146"/>
      <c r="T10" s="146"/>
      <c r="U10" s="146"/>
      <c r="V10" s="146"/>
      <c r="W10" s="146"/>
      <c r="X10" s="146"/>
      <c r="Y10" s="146"/>
      <c r="Z10" s="146"/>
      <c r="AA10" s="146"/>
      <c r="AB10" s="146"/>
      <c r="AC10" s="146"/>
      <c r="AD10" s="146"/>
    </row>
    <row r="11" spans="1:30" ht="60" customHeight="1">
      <c r="A11" s="398"/>
      <c r="B11" s="395"/>
      <c r="C11" s="390"/>
      <c r="D11" s="385" t="s">
        <v>398</v>
      </c>
      <c r="E11" s="144" t="s">
        <v>399</v>
      </c>
      <c r="F11" s="145" t="s">
        <v>400</v>
      </c>
      <c r="G11" s="145" t="s">
        <v>401</v>
      </c>
      <c r="H11" s="144">
        <v>3</v>
      </c>
      <c r="I11" s="201"/>
      <c r="J11" s="419"/>
      <c r="K11" s="445"/>
      <c r="L11" s="1544"/>
      <c r="M11" s="1555"/>
      <c r="N11" s="147"/>
    </row>
    <row r="12" spans="1:30" ht="46.5">
      <c r="A12" s="397"/>
      <c r="B12" s="394"/>
      <c r="C12" s="391" t="s">
        <v>402</v>
      </c>
      <c r="D12" s="198" t="s">
        <v>403</v>
      </c>
      <c r="E12" s="139" t="s">
        <v>404</v>
      </c>
      <c r="F12" s="138" t="s">
        <v>405</v>
      </c>
      <c r="G12" s="138" t="s">
        <v>406</v>
      </c>
      <c r="H12" s="139">
        <v>54</v>
      </c>
      <c r="I12" s="202"/>
      <c r="J12" s="418"/>
      <c r="K12" s="444"/>
      <c r="L12" s="1544"/>
      <c r="M12" s="1555"/>
      <c r="N12" s="206"/>
      <c r="O12" s="207"/>
      <c r="P12" s="143"/>
      <c r="Q12" s="142"/>
      <c r="R12" s="142"/>
      <c r="S12" s="142"/>
      <c r="T12" s="142"/>
      <c r="U12" s="142"/>
      <c r="V12" s="142"/>
      <c r="W12" s="142"/>
      <c r="X12" s="142"/>
      <c r="Y12" s="142"/>
      <c r="Z12" s="142"/>
      <c r="AA12" s="142"/>
      <c r="AB12" s="142"/>
      <c r="AC12" s="142"/>
      <c r="AD12" s="142"/>
    </row>
    <row r="13" spans="1:30" ht="46.5">
      <c r="A13" s="397"/>
      <c r="B13" s="394"/>
      <c r="C13" s="392" t="s">
        <v>407</v>
      </c>
      <c r="D13" s="198" t="s">
        <v>408</v>
      </c>
      <c r="E13" s="137">
        <v>45708</v>
      </c>
      <c r="F13" s="138" t="s">
        <v>409</v>
      </c>
      <c r="G13" s="205" t="s">
        <v>410</v>
      </c>
      <c r="H13" s="139">
        <v>3</v>
      </c>
      <c r="I13" s="202"/>
      <c r="J13" s="418"/>
      <c r="K13" s="444"/>
      <c r="L13" s="1544"/>
      <c r="M13" s="1555"/>
      <c r="N13" s="206"/>
      <c r="P13" s="140" t="s">
        <v>411</v>
      </c>
      <c r="Q13" s="141">
        <v>1</v>
      </c>
      <c r="R13" s="142"/>
      <c r="S13" s="142"/>
      <c r="T13" s="142"/>
      <c r="U13" s="142"/>
      <c r="V13" s="142"/>
      <c r="W13" s="142"/>
      <c r="X13" s="142"/>
      <c r="Y13" s="142"/>
      <c r="Z13" s="142"/>
      <c r="AA13" s="142"/>
      <c r="AB13" s="142"/>
      <c r="AC13" s="142"/>
      <c r="AD13" s="142"/>
    </row>
    <row r="14" spans="1:30" ht="57.75">
      <c r="A14" s="397"/>
      <c r="B14" s="394"/>
      <c r="C14" s="400" t="s">
        <v>407</v>
      </c>
      <c r="D14" s="198" t="s">
        <v>412</v>
      </c>
      <c r="E14" s="137">
        <v>45715</v>
      </c>
      <c r="F14" s="138" t="s">
        <v>413</v>
      </c>
      <c r="G14" s="138" t="s">
        <v>414</v>
      </c>
      <c r="H14" s="139">
        <v>4</v>
      </c>
      <c r="I14" s="202"/>
      <c r="J14" s="418"/>
      <c r="K14" s="444"/>
      <c r="L14" s="1544"/>
      <c r="M14" s="1556"/>
      <c r="N14" s="206"/>
      <c r="O14" s="207"/>
      <c r="P14" s="140" t="s">
        <v>415</v>
      </c>
      <c r="Q14" s="141">
        <v>56</v>
      </c>
      <c r="R14" s="142"/>
      <c r="S14" s="142"/>
      <c r="T14" s="142"/>
      <c r="U14" s="142"/>
      <c r="V14" s="142"/>
      <c r="W14" s="142"/>
      <c r="X14" s="142"/>
      <c r="Y14" s="142"/>
      <c r="Z14" s="142"/>
      <c r="AA14" s="142"/>
      <c r="AB14" s="142"/>
      <c r="AC14" s="142"/>
      <c r="AD14" s="142"/>
    </row>
    <row r="15" spans="1:30" ht="57.75" customHeight="1">
      <c r="A15" s="396">
        <v>2</v>
      </c>
      <c r="B15" s="359" t="s">
        <v>416</v>
      </c>
      <c r="C15" s="387" t="s">
        <v>377</v>
      </c>
      <c r="D15" s="399" t="s">
        <v>417</v>
      </c>
      <c r="E15" s="302">
        <v>45708</v>
      </c>
      <c r="F15" s="301" t="s">
        <v>418</v>
      </c>
      <c r="G15" s="301" t="s">
        <v>419</v>
      </c>
      <c r="H15" s="303">
        <v>20</v>
      </c>
      <c r="I15" s="375">
        <f>SUM(H15:H28)</f>
        <v>170</v>
      </c>
      <c r="J15" s="417" t="str">
        <f>IF(I15&gt;=20,"Memenuhi","Tidak Memenuhi")</f>
        <v>Memenuhi</v>
      </c>
      <c r="K15" s="430" t="s">
        <v>381</v>
      </c>
      <c r="L15" s="1536" t="s">
        <v>382</v>
      </c>
      <c r="M15" s="1554" t="s">
        <v>420</v>
      </c>
      <c r="N15" s="376" t="s">
        <v>421</v>
      </c>
    </row>
    <row r="16" spans="1:30" ht="28.5">
      <c r="A16" s="410"/>
      <c r="B16" s="406"/>
      <c r="C16" s="360"/>
      <c r="D16" s="384" t="s">
        <v>422</v>
      </c>
      <c r="E16" s="232">
        <v>45908</v>
      </c>
      <c r="F16" s="198" t="s">
        <v>418</v>
      </c>
      <c r="G16" s="198" t="s">
        <v>423</v>
      </c>
      <c r="H16" s="231">
        <v>13</v>
      </c>
      <c r="I16" s="254"/>
      <c r="J16" s="448"/>
      <c r="K16" s="446"/>
      <c r="L16" s="1544"/>
      <c r="M16" s="1555"/>
      <c r="N16" s="148"/>
    </row>
    <row r="17" spans="1:16" ht="54.75" customHeight="1">
      <c r="A17" s="397"/>
      <c r="B17" s="407"/>
      <c r="C17" s="402"/>
      <c r="D17" s="384" t="s">
        <v>424</v>
      </c>
      <c r="E17" s="231" t="s">
        <v>425</v>
      </c>
      <c r="F17" s="198" t="s">
        <v>426</v>
      </c>
      <c r="G17" s="198" t="s">
        <v>427</v>
      </c>
      <c r="H17" s="231">
        <v>4</v>
      </c>
      <c r="I17" s="202"/>
      <c r="J17" s="418"/>
      <c r="K17" s="442"/>
      <c r="L17" s="1544"/>
      <c r="M17" s="1555"/>
      <c r="N17" s="138"/>
    </row>
    <row r="18" spans="1:16" ht="43.5">
      <c r="A18" s="410"/>
      <c r="B18" s="408"/>
      <c r="C18" s="281" t="s">
        <v>428</v>
      </c>
      <c r="D18" s="150" t="s">
        <v>429</v>
      </c>
      <c r="E18" s="228" t="s">
        <v>430</v>
      </c>
      <c r="F18" s="150" t="s">
        <v>431</v>
      </c>
      <c r="G18" s="150" t="s">
        <v>432</v>
      </c>
      <c r="H18" s="229">
        <v>38</v>
      </c>
      <c r="I18" s="152"/>
      <c r="J18" s="449"/>
      <c r="K18" s="447"/>
      <c r="L18" s="346"/>
      <c r="M18" s="1555"/>
      <c r="N18" s="147"/>
      <c r="O18" s="149"/>
      <c r="P18" s="149">
        <f>Q14+Q13</f>
        <v>57</v>
      </c>
    </row>
    <row r="19" spans="1:16" ht="71.25" customHeight="1">
      <c r="A19" s="410"/>
      <c r="B19" s="404"/>
      <c r="C19" s="401" t="s">
        <v>433</v>
      </c>
      <c r="D19" s="150" t="s">
        <v>434</v>
      </c>
      <c r="E19" s="228" t="s">
        <v>435</v>
      </c>
      <c r="F19" s="150" t="s">
        <v>436</v>
      </c>
      <c r="G19" s="150" t="s">
        <v>437</v>
      </c>
      <c r="H19" s="229">
        <v>16</v>
      </c>
      <c r="I19" s="152"/>
      <c r="J19" s="449"/>
      <c r="K19" s="447"/>
      <c r="L19" s="346"/>
      <c r="M19" s="1555"/>
      <c r="N19" s="148" t="s">
        <v>421</v>
      </c>
    </row>
    <row r="20" spans="1:16" ht="43.5" customHeight="1">
      <c r="A20" s="410"/>
      <c r="B20" s="408"/>
      <c r="C20" s="401" t="s">
        <v>407</v>
      </c>
      <c r="D20" s="150" t="s">
        <v>408</v>
      </c>
      <c r="E20" s="228">
        <v>45708</v>
      </c>
      <c r="F20" s="150" t="s">
        <v>409</v>
      </c>
      <c r="G20" s="150" t="s">
        <v>438</v>
      </c>
      <c r="H20" s="229">
        <v>3</v>
      </c>
      <c r="I20" s="152"/>
      <c r="J20" s="449"/>
      <c r="K20" s="447"/>
      <c r="L20" s="346"/>
      <c r="M20" s="1555"/>
      <c r="N20" s="148" t="s">
        <v>421</v>
      </c>
    </row>
    <row r="21" spans="1:16" ht="57.75">
      <c r="A21" s="410"/>
      <c r="B21" s="408"/>
      <c r="C21" s="401" t="s">
        <v>439</v>
      </c>
      <c r="D21" s="150" t="s">
        <v>412</v>
      </c>
      <c r="E21" s="228">
        <v>45715</v>
      </c>
      <c r="F21" s="150" t="s">
        <v>413</v>
      </c>
      <c r="G21" s="150" t="s">
        <v>440</v>
      </c>
      <c r="H21" s="229">
        <v>4</v>
      </c>
      <c r="I21" s="152"/>
      <c r="J21" s="449"/>
      <c r="K21" s="447"/>
      <c r="L21" s="346"/>
      <c r="M21" s="1555"/>
      <c r="N21" s="148" t="s">
        <v>421</v>
      </c>
    </row>
    <row r="22" spans="1:16" ht="44.25" customHeight="1">
      <c r="A22" s="410"/>
      <c r="B22" s="408"/>
      <c r="C22" s="403" t="s">
        <v>441</v>
      </c>
      <c r="D22" s="150" t="s">
        <v>403</v>
      </c>
      <c r="E22" s="228" t="s">
        <v>442</v>
      </c>
      <c r="F22" s="150" t="s">
        <v>443</v>
      </c>
      <c r="G22" s="150" t="s">
        <v>444</v>
      </c>
      <c r="H22" s="229">
        <v>54</v>
      </c>
      <c r="I22" s="152"/>
      <c r="J22" s="449"/>
      <c r="K22" s="447"/>
      <c r="L22" s="346"/>
      <c r="M22" s="1555"/>
      <c r="N22" s="148" t="s">
        <v>421</v>
      </c>
    </row>
    <row r="23" spans="1:16" ht="45.75" customHeight="1">
      <c r="A23" s="410"/>
      <c r="B23" s="408"/>
      <c r="C23" s="403" t="s">
        <v>445</v>
      </c>
      <c r="D23" s="401" t="s">
        <v>446</v>
      </c>
      <c r="E23" s="228" t="s">
        <v>447</v>
      </c>
      <c r="F23" s="150" t="s">
        <v>448</v>
      </c>
      <c r="G23" s="150" t="s">
        <v>449</v>
      </c>
      <c r="H23" s="229">
        <v>2</v>
      </c>
      <c r="I23" s="152"/>
      <c r="J23" s="449"/>
      <c r="K23" s="447"/>
      <c r="L23" s="346"/>
      <c r="M23" s="1555"/>
      <c r="N23" s="148" t="s">
        <v>421</v>
      </c>
    </row>
    <row r="24" spans="1:16" ht="57.75">
      <c r="A24" s="410"/>
      <c r="B24" s="408"/>
      <c r="C24" s="404"/>
      <c r="D24" s="401" t="s">
        <v>450</v>
      </c>
      <c r="E24" s="228">
        <v>45796</v>
      </c>
      <c r="F24" s="150" t="s">
        <v>448</v>
      </c>
      <c r="G24" s="150" t="s">
        <v>451</v>
      </c>
      <c r="H24" s="229">
        <v>2</v>
      </c>
      <c r="I24" s="152"/>
      <c r="J24" s="449"/>
      <c r="K24" s="447"/>
      <c r="L24" s="346"/>
      <c r="M24" s="1555"/>
      <c r="N24" s="148" t="s">
        <v>421</v>
      </c>
    </row>
    <row r="25" spans="1:16" ht="72">
      <c r="A25" s="398"/>
      <c r="B25" s="409"/>
      <c r="C25" s="404"/>
      <c r="D25" s="385" t="s">
        <v>452</v>
      </c>
      <c r="E25" s="230" t="s">
        <v>453</v>
      </c>
      <c r="F25" s="158" t="s">
        <v>448</v>
      </c>
      <c r="G25" s="158" t="s">
        <v>454</v>
      </c>
      <c r="H25" s="230">
        <v>2</v>
      </c>
      <c r="I25" s="201"/>
      <c r="J25" s="419"/>
      <c r="K25" s="443"/>
      <c r="L25" s="358"/>
      <c r="M25" s="1555"/>
      <c r="N25" s="147"/>
    </row>
    <row r="26" spans="1:16" ht="77.25" customHeight="1">
      <c r="A26" s="398"/>
      <c r="B26" s="409"/>
      <c r="C26" s="404"/>
      <c r="D26" s="385" t="s">
        <v>455</v>
      </c>
      <c r="E26" s="230" t="s">
        <v>456</v>
      </c>
      <c r="F26" s="158" t="s">
        <v>457</v>
      </c>
      <c r="G26" s="158" t="s">
        <v>458</v>
      </c>
      <c r="H26" s="230">
        <v>2</v>
      </c>
      <c r="I26" s="201"/>
      <c r="J26" s="419"/>
      <c r="K26" s="443"/>
      <c r="L26" s="358"/>
      <c r="M26" s="1555"/>
      <c r="N26" s="151"/>
    </row>
    <row r="27" spans="1:16" ht="74.25" customHeight="1">
      <c r="A27" s="397"/>
      <c r="B27" s="407"/>
      <c r="C27" s="404"/>
      <c r="D27" s="384" t="s">
        <v>459</v>
      </c>
      <c r="E27" s="231" t="s">
        <v>460</v>
      </c>
      <c r="F27" s="198" t="s">
        <v>461</v>
      </c>
      <c r="G27" s="198" t="s">
        <v>462</v>
      </c>
      <c r="H27" s="231">
        <v>4</v>
      </c>
      <c r="I27" s="202"/>
      <c r="J27" s="418"/>
      <c r="K27" s="442"/>
      <c r="L27" s="386"/>
      <c r="M27" s="1555"/>
      <c r="N27" s="138"/>
    </row>
    <row r="28" spans="1:16" ht="101.25" customHeight="1">
      <c r="A28" s="397"/>
      <c r="B28" s="407"/>
      <c r="C28" s="281"/>
      <c r="D28" s="384" t="s">
        <v>463</v>
      </c>
      <c r="E28" s="231" t="s">
        <v>464</v>
      </c>
      <c r="F28" s="198" t="s">
        <v>379</v>
      </c>
      <c r="G28" s="198" t="s">
        <v>465</v>
      </c>
      <c r="H28" s="231">
        <v>6</v>
      </c>
      <c r="I28" s="202"/>
      <c r="J28" s="418"/>
      <c r="K28" s="442"/>
      <c r="L28" s="386"/>
      <c r="M28" s="1555"/>
      <c r="N28" s="138"/>
    </row>
    <row r="29" spans="1:16" ht="67.5" customHeight="1">
      <c r="A29" s="412">
        <v>3</v>
      </c>
      <c r="B29" s="370" t="s">
        <v>115</v>
      </c>
      <c r="C29" s="399" t="s">
        <v>466</v>
      </c>
      <c r="D29" s="156" t="s">
        <v>417</v>
      </c>
      <c r="E29" s="226">
        <v>45716</v>
      </c>
      <c r="F29" s="156" t="s">
        <v>418</v>
      </c>
      <c r="G29" s="156" t="s">
        <v>419</v>
      </c>
      <c r="H29" s="227">
        <v>20</v>
      </c>
      <c r="I29" s="248">
        <f>SUM(H29:H55)</f>
        <v>170</v>
      </c>
      <c r="J29" s="338" t="str">
        <f>IF(I29&gt;=20,"Memenuhi","Tidak Memenuhi")</f>
        <v>Memenuhi</v>
      </c>
      <c r="K29" s="417" t="s">
        <v>381</v>
      </c>
      <c r="L29" s="1571" t="s">
        <v>467</v>
      </c>
      <c r="M29" s="1536" t="s">
        <v>468</v>
      </c>
      <c r="N29" s="585" t="s">
        <v>469</v>
      </c>
    </row>
    <row r="30" spans="1:16" ht="45" customHeight="1">
      <c r="A30" s="413"/>
      <c r="B30" s="405"/>
      <c r="C30" s="401" t="s">
        <v>407</v>
      </c>
      <c r="D30" s="150" t="s">
        <v>470</v>
      </c>
      <c r="E30" s="230" t="s">
        <v>471</v>
      </c>
      <c r="F30" s="158" t="s">
        <v>413</v>
      </c>
      <c r="G30" s="158" t="s">
        <v>472</v>
      </c>
      <c r="H30" s="230">
        <v>4</v>
      </c>
      <c r="I30" s="201"/>
      <c r="J30" s="423"/>
      <c r="K30" s="419"/>
      <c r="L30" s="1572"/>
      <c r="M30" s="1544"/>
      <c r="N30" s="255"/>
    </row>
    <row r="31" spans="1:16" ht="75" customHeight="1">
      <c r="A31" s="414"/>
      <c r="B31" s="416"/>
      <c r="C31" s="401" t="s">
        <v>466</v>
      </c>
      <c r="D31" s="150" t="s">
        <v>473</v>
      </c>
      <c r="E31" s="230" t="s">
        <v>474</v>
      </c>
      <c r="F31" s="230" t="s">
        <v>475</v>
      </c>
      <c r="G31" s="158" t="s">
        <v>476</v>
      </c>
      <c r="H31" s="230">
        <v>6</v>
      </c>
      <c r="I31" s="209"/>
      <c r="J31" s="422"/>
      <c r="K31" s="449"/>
      <c r="L31" s="1572"/>
      <c r="M31" s="1544"/>
      <c r="N31" s="255"/>
    </row>
    <row r="32" spans="1:16" ht="76.5" customHeight="1">
      <c r="A32" s="414"/>
      <c r="B32" s="381"/>
      <c r="C32" s="401" t="s">
        <v>407</v>
      </c>
      <c r="D32" s="150" t="s">
        <v>477</v>
      </c>
      <c r="E32" s="229" t="s">
        <v>478</v>
      </c>
      <c r="F32" s="150" t="s">
        <v>479</v>
      </c>
      <c r="G32" s="229" t="s">
        <v>77</v>
      </c>
      <c r="H32" s="229">
        <v>4</v>
      </c>
      <c r="I32" s="209"/>
      <c r="J32" s="422"/>
      <c r="K32" s="449"/>
      <c r="L32" s="1572"/>
      <c r="M32" s="1544"/>
      <c r="N32" s="255"/>
    </row>
    <row r="33" spans="1:14" ht="43.5">
      <c r="A33" s="414"/>
      <c r="B33" s="381"/>
      <c r="C33" s="401" t="s">
        <v>407</v>
      </c>
      <c r="D33" s="150" t="s">
        <v>480</v>
      </c>
      <c r="E33" s="229" t="s">
        <v>481</v>
      </c>
      <c r="F33" s="150" t="s">
        <v>482</v>
      </c>
      <c r="G33" s="262" t="s">
        <v>483</v>
      </c>
      <c r="H33" s="229">
        <v>25</v>
      </c>
      <c r="I33" s="209"/>
      <c r="J33" s="422"/>
      <c r="K33" s="449"/>
      <c r="L33" s="1572"/>
      <c r="M33" s="1544"/>
      <c r="N33" s="255"/>
    </row>
    <row r="34" spans="1:14" ht="57.75">
      <c r="A34" s="414"/>
      <c r="B34" s="381"/>
      <c r="C34" s="401" t="s">
        <v>407</v>
      </c>
      <c r="D34" s="150" t="s">
        <v>484</v>
      </c>
      <c r="E34" s="228">
        <v>45848</v>
      </c>
      <c r="F34" s="150" t="s">
        <v>485</v>
      </c>
      <c r="G34" s="229" t="s">
        <v>486</v>
      </c>
      <c r="H34" s="229"/>
      <c r="I34" s="209"/>
      <c r="J34" s="422"/>
      <c r="K34" s="449"/>
      <c r="L34" s="1572"/>
      <c r="M34" s="1544"/>
      <c r="N34" s="255"/>
    </row>
    <row r="35" spans="1:14" ht="57.75">
      <c r="A35" s="414"/>
      <c r="B35" s="381"/>
      <c r="C35" s="401" t="s">
        <v>407</v>
      </c>
      <c r="D35" s="147" t="s">
        <v>487</v>
      </c>
      <c r="E35" s="154">
        <v>45853</v>
      </c>
      <c r="F35" s="147" t="s">
        <v>488</v>
      </c>
      <c r="G35" s="153" t="s">
        <v>489</v>
      </c>
      <c r="H35" s="153">
        <v>2</v>
      </c>
      <c r="I35" s="209"/>
      <c r="J35" s="422"/>
      <c r="K35" s="449"/>
      <c r="L35" s="1572"/>
      <c r="M35" s="1544"/>
      <c r="N35" s="255"/>
    </row>
    <row r="36" spans="1:14" ht="72">
      <c r="A36" s="414"/>
      <c r="B36" s="381"/>
      <c r="C36" s="401" t="s">
        <v>466</v>
      </c>
      <c r="D36" s="147" t="s">
        <v>490</v>
      </c>
      <c r="E36" s="154">
        <v>45868</v>
      </c>
      <c r="F36" s="147" t="s">
        <v>491</v>
      </c>
      <c r="G36" s="153" t="s">
        <v>492</v>
      </c>
      <c r="H36" s="153">
        <v>3</v>
      </c>
      <c r="I36" s="209"/>
      <c r="J36" s="422"/>
      <c r="K36" s="449"/>
      <c r="L36" s="1572"/>
      <c r="M36" s="1544"/>
      <c r="N36" s="255"/>
    </row>
    <row r="37" spans="1:14" ht="115.5">
      <c r="A37" s="414"/>
      <c r="B37" s="381"/>
      <c r="C37" s="401" t="s">
        <v>407</v>
      </c>
      <c r="D37" s="147" t="s">
        <v>493</v>
      </c>
      <c r="E37" s="154">
        <v>45869</v>
      </c>
      <c r="F37" s="147" t="s">
        <v>479</v>
      </c>
      <c r="G37" s="153" t="s">
        <v>77</v>
      </c>
      <c r="H37" s="153">
        <v>4</v>
      </c>
      <c r="I37" s="209"/>
      <c r="J37" s="422"/>
      <c r="K37" s="449"/>
      <c r="L37" s="1572"/>
      <c r="M37" s="1544"/>
      <c r="N37" s="255"/>
    </row>
    <row r="38" spans="1:14" ht="72">
      <c r="A38" s="414"/>
      <c r="B38" s="381"/>
      <c r="C38" s="401" t="s">
        <v>466</v>
      </c>
      <c r="D38" s="147" t="s">
        <v>494</v>
      </c>
      <c r="E38" s="154">
        <v>45876</v>
      </c>
      <c r="F38" s="147" t="s">
        <v>495</v>
      </c>
      <c r="G38" s="147" t="s">
        <v>496</v>
      </c>
      <c r="H38" s="153">
        <v>2</v>
      </c>
      <c r="I38" s="209"/>
      <c r="J38" s="422"/>
      <c r="K38" s="449"/>
      <c r="L38" s="1572"/>
      <c r="M38" s="1544"/>
      <c r="N38" s="255"/>
    </row>
    <row r="39" spans="1:14" ht="43.5">
      <c r="A39" s="414"/>
      <c r="B39" s="381"/>
      <c r="C39" s="401" t="s">
        <v>407</v>
      </c>
      <c r="D39" s="147" t="s">
        <v>497</v>
      </c>
      <c r="E39" s="154">
        <v>45889</v>
      </c>
      <c r="F39" s="147" t="s">
        <v>488</v>
      </c>
      <c r="G39" s="147" t="s">
        <v>498</v>
      </c>
      <c r="H39" s="153">
        <v>2</v>
      </c>
      <c r="I39" s="209"/>
      <c r="J39" s="422"/>
      <c r="K39" s="449"/>
      <c r="L39" s="1572"/>
      <c r="M39" s="1544"/>
      <c r="N39" s="255"/>
    </row>
    <row r="40" spans="1:14" ht="57.75">
      <c r="A40" s="414"/>
      <c r="B40" s="381"/>
      <c r="C40" s="401" t="s">
        <v>407</v>
      </c>
      <c r="D40" s="147" t="s">
        <v>499</v>
      </c>
      <c r="E40" s="154">
        <v>45894</v>
      </c>
      <c r="F40" s="147" t="s">
        <v>500</v>
      </c>
      <c r="G40" s="147"/>
      <c r="H40" s="153">
        <v>3</v>
      </c>
      <c r="I40" s="209"/>
      <c r="J40" s="422"/>
      <c r="K40" s="449"/>
      <c r="L40" s="1572"/>
      <c r="M40" s="1544"/>
      <c r="N40" s="255"/>
    </row>
    <row r="41" spans="1:14" ht="72">
      <c r="A41" s="414"/>
      <c r="B41" s="381"/>
      <c r="C41" s="401" t="s">
        <v>407</v>
      </c>
      <c r="D41" s="147" t="s">
        <v>501</v>
      </c>
      <c r="E41" s="154">
        <v>45894</v>
      </c>
      <c r="F41" s="147" t="s">
        <v>502</v>
      </c>
      <c r="G41" s="147" t="s">
        <v>503</v>
      </c>
      <c r="H41" s="153">
        <v>4</v>
      </c>
      <c r="I41" s="209"/>
      <c r="J41" s="422"/>
      <c r="K41" s="449"/>
      <c r="L41" s="1572"/>
      <c r="M41" s="1544"/>
      <c r="N41" s="255"/>
    </row>
    <row r="42" spans="1:14" ht="57.75">
      <c r="A42" s="414"/>
      <c r="B42" s="381"/>
      <c r="C42" s="401" t="s">
        <v>407</v>
      </c>
      <c r="D42" s="147" t="s">
        <v>504</v>
      </c>
      <c r="E42" s="153" t="s">
        <v>505</v>
      </c>
      <c r="F42" s="147" t="s">
        <v>297</v>
      </c>
      <c r="G42" s="147" t="s">
        <v>506</v>
      </c>
      <c r="H42" s="153">
        <v>2</v>
      </c>
      <c r="I42" s="209"/>
      <c r="J42" s="422"/>
      <c r="K42" s="449"/>
      <c r="L42" s="1572"/>
      <c r="M42" s="1544"/>
      <c r="N42" s="255"/>
    </row>
    <row r="43" spans="1:14" ht="57.75">
      <c r="A43" s="414"/>
      <c r="B43" s="381"/>
      <c r="C43" s="401" t="s">
        <v>466</v>
      </c>
      <c r="D43" s="147" t="s">
        <v>422</v>
      </c>
      <c r="E43" s="153" t="s">
        <v>507</v>
      </c>
      <c r="F43" s="147" t="s">
        <v>418</v>
      </c>
      <c r="G43" s="147" t="s">
        <v>508</v>
      </c>
      <c r="H43" s="153">
        <v>13</v>
      </c>
      <c r="I43" s="209"/>
      <c r="J43" s="422"/>
      <c r="K43" s="449"/>
      <c r="L43" s="1572"/>
      <c r="M43" s="1544"/>
      <c r="N43" s="255"/>
    </row>
    <row r="44" spans="1:14" ht="86.25">
      <c r="A44" s="414"/>
      <c r="B44" s="381"/>
      <c r="C44" s="401" t="s">
        <v>466</v>
      </c>
      <c r="D44" s="147" t="s">
        <v>509</v>
      </c>
      <c r="E44" s="154">
        <v>45926</v>
      </c>
      <c r="F44" s="147" t="s">
        <v>379</v>
      </c>
      <c r="G44" s="147" t="s">
        <v>510</v>
      </c>
      <c r="H44" s="153">
        <v>2</v>
      </c>
      <c r="I44" s="209"/>
      <c r="J44" s="422"/>
      <c r="K44" s="449"/>
      <c r="L44" s="1572"/>
      <c r="M44" s="1544"/>
      <c r="N44" s="255"/>
    </row>
    <row r="45" spans="1:14" ht="43.5">
      <c r="A45" s="414"/>
      <c r="B45" s="381"/>
      <c r="C45" s="401" t="s">
        <v>407</v>
      </c>
      <c r="D45" s="147" t="s">
        <v>511</v>
      </c>
      <c r="E45" s="154">
        <v>45953</v>
      </c>
      <c r="F45" s="147" t="s">
        <v>512</v>
      </c>
      <c r="G45" s="147" t="s">
        <v>513</v>
      </c>
      <c r="H45" s="153">
        <v>2</v>
      </c>
      <c r="I45" s="209"/>
      <c r="J45" s="422"/>
      <c r="K45" s="449"/>
      <c r="L45" s="1572"/>
      <c r="M45" s="1544"/>
      <c r="N45" s="255"/>
    </row>
    <row r="46" spans="1:14" ht="86.25">
      <c r="A46" s="414"/>
      <c r="B46" s="381"/>
      <c r="C46" s="401" t="s">
        <v>407</v>
      </c>
      <c r="D46" s="147" t="s">
        <v>514</v>
      </c>
      <c r="E46" s="153" t="s">
        <v>515</v>
      </c>
      <c r="F46" s="147" t="s">
        <v>516</v>
      </c>
      <c r="G46" s="147" t="s">
        <v>517</v>
      </c>
      <c r="H46" s="153">
        <v>2</v>
      </c>
      <c r="I46" s="209"/>
      <c r="J46" s="422"/>
      <c r="K46" s="449"/>
      <c r="L46" s="1572"/>
      <c r="M46" s="1544"/>
      <c r="N46" s="255"/>
    </row>
    <row r="47" spans="1:14" ht="57.75">
      <c r="A47" s="414"/>
      <c r="B47" s="381"/>
      <c r="C47" s="401" t="s">
        <v>466</v>
      </c>
      <c r="D47" s="147" t="s">
        <v>518</v>
      </c>
      <c r="E47" s="153" t="s">
        <v>519</v>
      </c>
      <c r="F47" s="147" t="s">
        <v>520</v>
      </c>
      <c r="G47" s="147" t="s">
        <v>521</v>
      </c>
      <c r="H47" s="153">
        <v>12</v>
      </c>
      <c r="I47" s="209"/>
      <c r="J47" s="422"/>
      <c r="K47" s="449"/>
      <c r="L47" s="1572"/>
      <c r="M47" s="1544"/>
      <c r="N47" s="255"/>
    </row>
    <row r="48" spans="1:14" ht="57.75">
      <c r="A48" s="414"/>
      <c r="B48" s="381"/>
      <c r="C48" s="401" t="s">
        <v>466</v>
      </c>
      <c r="D48" s="147" t="s">
        <v>522</v>
      </c>
      <c r="E48" s="153" t="s">
        <v>523</v>
      </c>
      <c r="F48" s="147" t="s">
        <v>520</v>
      </c>
      <c r="G48" s="147" t="s">
        <v>524</v>
      </c>
      <c r="H48" s="153">
        <v>11</v>
      </c>
      <c r="I48" s="209"/>
      <c r="J48" s="422"/>
      <c r="K48" s="449"/>
      <c r="L48" s="1572"/>
      <c r="M48" s="1544"/>
      <c r="N48" s="255"/>
    </row>
    <row r="49" spans="1:14" ht="28.5">
      <c r="A49" s="414"/>
      <c r="B49" s="381"/>
      <c r="C49" s="401" t="s">
        <v>407</v>
      </c>
      <c r="D49" s="147" t="s">
        <v>525</v>
      </c>
      <c r="E49" s="154">
        <v>45981</v>
      </c>
      <c r="F49" s="147" t="s">
        <v>488</v>
      </c>
      <c r="G49" s="147" t="s">
        <v>526</v>
      </c>
      <c r="H49" s="153">
        <v>2</v>
      </c>
      <c r="I49" s="209"/>
      <c r="J49" s="422"/>
      <c r="K49" s="449"/>
      <c r="L49" s="1572"/>
      <c r="M49" s="1544"/>
      <c r="N49" s="255"/>
    </row>
    <row r="50" spans="1:14" ht="72">
      <c r="A50" s="414"/>
      <c r="B50" s="381"/>
      <c r="C50" s="401" t="s">
        <v>466</v>
      </c>
      <c r="D50" s="147" t="s">
        <v>527</v>
      </c>
      <c r="E50" s="154">
        <v>45982</v>
      </c>
      <c r="F50" s="147" t="s">
        <v>379</v>
      </c>
      <c r="G50" s="147" t="s">
        <v>528</v>
      </c>
      <c r="H50" s="153">
        <v>2</v>
      </c>
      <c r="I50" s="209"/>
      <c r="J50" s="422"/>
      <c r="K50" s="449"/>
      <c r="L50" s="1572"/>
      <c r="M50" s="1544"/>
      <c r="N50" s="255"/>
    </row>
    <row r="51" spans="1:14" ht="132" customHeight="1">
      <c r="A51" s="414"/>
      <c r="B51" s="381"/>
      <c r="C51" s="401" t="s">
        <v>407</v>
      </c>
      <c r="D51" s="150" t="s">
        <v>529</v>
      </c>
      <c r="E51" s="154">
        <v>45978</v>
      </c>
      <c r="F51" s="147" t="s">
        <v>530</v>
      </c>
      <c r="G51" s="147" t="s">
        <v>531</v>
      </c>
      <c r="H51" s="153">
        <v>3</v>
      </c>
      <c r="I51" s="209"/>
      <c r="J51" s="422"/>
      <c r="K51" s="449"/>
      <c r="L51" s="1572"/>
      <c r="M51" s="1544"/>
      <c r="N51" s="255"/>
    </row>
    <row r="52" spans="1:14" ht="57.75">
      <c r="A52" s="414"/>
      <c r="B52" s="381"/>
      <c r="C52" s="401" t="s">
        <v>407</v>
      </c>
      <c r="D52" s="147" t="s">
        <v>532</v>
      </c>
      <c r="E52" s="153" t="s">
        <v>533</v>
      </c>
      <c r="F52" s="147" t="s">
        <v>534</v>
      </c>
      <c r="G52" s="147" t="s">
        <v>535</v>
      </c>
      <c r="H52" s="153">
        <v>10</v>
      </c>
      <c r="I52" s="209"/>
      <c r="J52" s="422"/>
      <c r="K52" s="449"/>
      <c r="L52" s="1572"/>
      <c r="M52" s="1544"/>
      <c r="N52" s="255"/>
    </row>
    <row r="53" spans="1:14" ht="57.75">
      <c r="A53" s="414"/>
      <c r="B53" s="381"/>
      <c r="C53" s="401" t="s">
        <v>466</v>
      </c>
      <c r="D53" s="147" t="s">
        <v>536</v>
      </c>
      <c r="E53" s="153" t="s">
        <v>537</v>
      </c>
      <c r="F53" s="147" t="s">
        <v>534</v>
      </c>
      <c r="G53" s="147" t="s">
        <v>538</v>
      </c>
      <c r="H53" s="153">
        <v>10</v>
      </c>
      <c r="I53" s="209"/>
      <c r="J53" s="422"/>
      <c r="K53" s="449"/>
      <c r="L53" s="1572"/>
      <c r="M53" s="1544"/>
      <c r="N53" s="255"/>
    </row>
    <row r="54" spans="1:14" ht="72">
      <c r="A54" s="414"/>
      <c r="B54" s="381"/>
      <c r="C54" s="401" t="s">
        <v>466</v>
      </c>
      <c r="D54" s="147" t="s">
        <v>539</v>
      </c>
      <c r="E54" s="153" t="s">
        <v>540</v>
      </c>
      <c r="F54" s="147" t="s">
        <v>534</v>
      </c>
      <c r="G54" s="147" t="s">
        <v>541</v>
      </c>
      <c r="H54" s="153">
        <v>10</v>
      </c>
      <c r="I54" s="209"/>
      <c r="J54" s="422"/>
      <c r="K54" s="449"/>
      <c r="L54" s="1572"/>
      <c r="M54" s="1544"/>
      <c r="N54" s="255"/>
    </row>
    <row r="55" spans="1:14" ht="57.75">
      <c r="A55" s="415"/>
      <c r="B55" s="382"/>
      <c r="C55" s="401" t="s">
        <v>466</v>
      </c>
      <c r="D55" s="147" t="s">
        <v>542</v>
      </c>
      <c r="E55" s="153" t="s">
        <v>543</v>
      </c>
      <c r="F55" s="147" t="s">
        <v>534</v>
      </c>
      <c r="G55" s="147" t="s">
        <v>544</v>
      </c>
      <c r="H55" s="153">
        <v>10</v>
      </c>
      <c r="I55" s="209"/>
      <c r="J55" s="422"/>
      <c r="K55" s="449"/>
      <c r="L55" s="1572"/>
      <c r="M55" s="1544"/>
      <c r="N55" s="255"/>
    </row>
    <row r="56" spans="1:14" ht="43.5" customHeight="1">
      <c r="A56" s="414"/>
      <c r="B56" s="382"/>
      <c r="C56" s="403" t="s">
        <v>545</v>
      </c>
      <c r="D56" s="153" t="s">
        <v>546</v>
      </c>
      <c r="E56" s="584" t="s">
        <v>547</v>
      </c>
      <c r="F56" s="153" t="s">
        <v>548</v>
      </c>
      <c r="G56" s="153" t="s">
        <v>549</v>
      </c>
      <c r="H56" s="153" t="s">
        <v>77</v>
      </c>
      <c r="I56" s="209"/>
      <c r="J56" s="422"/>
      <c r="K56" s="449"/>
      <c r="L56" s="1565"/>
      <c r="M56" s="1537"/>
      <c r="N56" s="255"/>
    </row>
    <row r="57" spans="1:14" ht="63" customHeight="1">
      <c r="A57" s="396">
        <v>4</v>
      </c>
      <c r="B57" s="554" t="s">
        <v>123</v>
      </c>
      <c r="C57" s="586" t="s">
        <v>466</v>
      </c>
      <c r="D57" s="383" t="s">
        <v>550</v>
      </c>
      <c r="E57" s="227" t="s">
        <v>551</v>
      </c>
      <c r="F57" s="156" t="s">
        <v>418</v>
      </c>
      <c r="G57" s="156" t="s">
        <v>552</v>
      </c>
      <c r="H57" s="227">
        <v>20</v>
      </c>
      <c r="I57" s="441">
        <v>20</v>
      </c>
      <c r="J57" s="417" t="str">
        <f>IF(I57&gt;=20,"Memenuhi","Tidak Memenuhi")</f>
        <v>Memenuhi</v>
      </c>
      <c r="K57" s="417" t="s">
        <v>381</v>
      </c>
      <c r="L57" s="1568" t="s">
        <v>553</v>
      </c>
      <c r="M57" s="1536" t="s">
        <v>554</v>
      </c>
      <c r="N57" s="208"/>
    </row>
    <row r="58" spans="1:14" ht="57.75" customHeight="1">
      <c r="A58" s="397"/>
      <c r="B58" s="587"/>
      <c r="C58" s="346"/>
      <c r="D58" s="391" t="s">
        <v>424</v>
      </c>
      <c r="E58" s="231" t="s">
        <v>425</v>
      </c>
      <c r="F58" s="198" t="s">
        <v>426</v>
      </c>
      <c r="G58" s="198" t="s">
        <v>555</v>
      </c>
      <c r="H58" s="231">
        <v>4</v>
      </c>
      <c r="I58" s="202"/>
      <c r="J58" s="418"/>
      <c r="K58" s="418"/>
      <c r="L58" s="1569"/>
      <c r="M58" s="1544"/>
      <c r="N58" s="138"/>
    </row>
    <row r="59" spans="1:14" ht="73.5" customHeight="1">
      <c r="A59" s="410"/>
      <c r="B59" s="414"/>
      <c r="C59" s="168" t="s">
        <v>545</v>
      </c>
      <c r="D59" s="501" t="s">
        <v>556</v>
      </c>
      <c r="E59" s="193" t="s">
        <v>557</v>
      </c>
      <c r="F59" s="153" t="s">
        <v>558</v>
      </c>
      <c r="G59" s="153" t="s">
        <v>549</v>
      </c>
      <c r="H59" s="153" t="s">
        <v>77</v>
      </c>
      <c r="I59" s="209"/>
      <c r="J59" s="449"/>
      <c r="K59" s="449"/>
      <c r="L59" s="1569"/>
      <c r="M59" s="1544"/>
      <c r="N59" s="208"/>
    </row>
    <row r="60" spans="1:14" ht="42" customHeight="1">
      <c r="A60" s="410"/>
      <c r="B60" s="415"/>
      <c r="C60" s="286"/>
      <c r="D60" s="501" t="s">
        <v>546</v>
      </c>
      <c r="E60" s="584" t="s">
        <v>547</v>
      </c>
      <c r="F60" s="153" t="s">
        <v>548</v>
      </c>
      <c r="G60" s="153" t="s">
        <v>549</v>
      </c>
      <c r="H60" s="153" t="s">
        <v>77</v>
      </c>
      <c r="I60" s="209"/>
      <c r="J60" s="437"/>
      <c r="K60" s="437"/>
      <c r="L60" s="360"/>
      <c r="M60" s="1537"/>
      <c r="N60" s="208"/>
    </row>
    <row r="61" spans="1:14" ht="72">
      <c r="A61" s="396">
        <v>5</v>
      </c>
      <c r="B61" s="553" t="s">
        <v>128</v>
      </c>
      <c r="C61" s="301" t="s">
        <v>407</v>
      </c>
      <c r="D61" s="156" t="s">
        <v>480</v>
      </c>
      <c r="E61" s="226" t="s">
        <v>559</v>
      </c>
      <c r="F61" s="156" t="s">
        <v>436</v>
      </c>
      <c r="G61" s="156" t="s">
        <v>560</v>
      </c>
      <c r="H61" s="227">
        <v>25</v>
      </c>
      <c r="I61" s="247">
        <f>H61</f>
        <v>25</v>
      </c>
      <c r="J61" s="417" t="str">
        <f>IF(I61&gt;=20,"Memenuhi","Tidak Memenuhi")</f>
        <v>Memenuhi</v>
      </c>
      <c r="K61" s="417" t="s">
        <v>561</v>
      </c>
      <c r="L61" s="1536" t="s">
        <v>562</v>
      </c>
      <c r="M61" s="249" t="s">
        <v>563</v>
      </c>
      <c r="N61" s="208"/>
    </row>
    <row r="62" spans="1:14" ht="57.75">
      <c r="A62" s="410"/>
      <c r="B62" s="410"/>
      <c r="C62" s="150" t="s">
        <v>466</v>
      </c>
      <c r="D62" s="153" t="s">
        <v>77</v>
      </c>
      <c r="E62" s="153" t="s">
        <v>77</v>
      </c>
      <c r="F62" s="153" t="s">
        <v>77</v>
      </c>
      <c r="G62" s="153" t="s">
        <v>77</v>
      </c>
      <c r="H62" s="229"/>
      <c r="I62" s="252"/>
      <c r="J62" s="448"/>
      <c r="K62" s="448"/>
      <c r="L62" s="1544"/>
      <c r="M62" s="249"/>
      <c r="N62" s="208"/>
    </row>
    <row r="63" spans="1:14" ht="72">
      <c r="A63" s="411"/>
      <c r="B63" s="411"/>
      <c r="C63" s="150" t="s">
        <v>564</v>
      </c>
      <c r="D63" s="240" t="s">
        <v>556</v>
      </c>
      <c r="E63" s="193" t="s">
        <v>557</v>
      </c>
      <c r="F63" s="153" t="s">
        <v>558</v>
      </c>
      <c r="G63" s="153" t="s">
        <v>549</v>
      </c>
      <c r="H63" s="153" t="s">
        <v>77</v>
      </c>
      <c r="I63" s="252"/>
      <c r="J63" s="591"/>
      <c r="K63" s="591"/>
      <c r="L63" s="1537"/>
      <c r="M63" s="249"/>
      <c r="N63" s="208"/>
    </row>
    <row r="64" spans="1:14" ht="57.75" hidden="1" customHeight="1">
      <c r="A64" s="374">
        <v>6</v>
      </c>
      <c r="B64" s="265" t="s">
        <v>132</v>
      </c>
      <c r="C64" s="265"/>
      <c r="D64" s="156" t="s">
        <v>565</v>
      </c>
      <c r="E64" s="134">
        <v>45775</v>
      </c>
      <c r="F64" s="135" t="s">
        <v>448</v>
      </c>
      <c r="G64" s="135" t="s">
        <v>566</v>
      </c>
      <c r="H64" s="136">
        <v>2</v>
      </c>
      <c r="I64" s="166">
        <f>SUM(H64:H71)</f>
        <v>20.5</v>
      </c>
      <c r="J64" s="199" t="str">
        <f>IF(I64&gt;=20,"Memenuhi","Tidak Memenuhi")</f>
        <v>Memenuhi</v>
      </c>
      <c r="K64" s="199"/>
      <c r="L64" s="356"/>
      <c r="M64" s="377"/>
      <c r="N64" s="208"/>
    </row>
    <row r="65" spans="1:14" ht="72" hidden="1" customHeight="1">
      <c r="A65" s="189"/>
      <c r="B65" s="266"/>
      <c r="C65" s="266"/>
      <c r="D65" s="150" t="s">
        <v>567</v>
      </c>
      <c r="E65" s="154">
        <v>45740</v>
      </c>
      <c r="F65" s="147" t="s">
        <v>568</v>
      </c>
      <c r="G65" s="147" t="s">
        <v>569</v>
      </c>
      <c r="H65" s="153">
        <v>3</v>
      </c>
      <c r="I65" s="165"/>
      <c r="J65" s="209"/>
      <c r="K65" s="209"/>
      <c r="L65" s="362"/>
      <c r="M65" s="377"/>
      <c r="N65" s="208"/>
    </row>
    <row r="66" spans="1:14" ht="86.25" hidden="1" customHeight="1">
      <c r="A66" s="189"/>
      <c r="B66" s="266"/>
      <c r="C66" s="266"/>
      <c r="D66" s="150" t="s">
        <v>570</v>
      </c>
      <c r="E66" s="154">
        <v>45799</v>
      </c>
      <c r="F66" s="147" t="s">
        <v>571</v>
      </c>
      <c r="G66" s="147" t="s">
        <v>572</v>
      </c>
      <c r="H66" s="153">
        <v>3</v>
      </c>
      <c r="I66" s="165"/>
      <c r="J66" s="209"/>
      <c r="K66" s="209"/>
      <c r="L66" s="362"/>
      <c r="M66" s="377"/>
      <c r="N66" s="208"/>
    </row>
    <row r="67" spans="1:14" ht="72" hidden="1" customHeight="1">
      <c r="A67" s="189"/>
      <c r="B67" s="266"/>
      <c r="C67" s="266"/>
      <c r="D67" s="150" t="s">
        <v>573</v>
      </c>
      <c r="E67" s="154">
        <v>45741</v>
      </c>
      <c r="F67" s="147" t="s">
        <v>461</v>
      </c>
      <c r="G67" s="147" t="s">
        <v>574</v>
      </c>
      <c r="H67" s="153">
        <v>4</v>
      </c>
      <c r="I67" s="165"/>
      <c r="J67" s="209"/>
      <c r="K67" s="209"/>
      <c r="L67" s="362"/>
      <c r="M67" s="377"/>
      <c r="N67" s="208"/>
    </row>
    <row r="68" spans="1:14" ht="86.25" hidden="1" customHeight="1">
      <c r="A68" s="189"/>
      <c r="B68" s="266"/>
      <c r="C68" s="266"/>
      <c r="D68" s="150" t="s">
        <v>575</v>
      </c>
      <c r="E68" s="154">
        <v>45825</v>
      </c>
      <c r="F68" s="147" t="s">
        <v>576</v>
      </c>
      <c r="G68" s="147" t="s">
        <v>77</v>
      </c>
      <c r="H68" s="153">
        <v>1.5</v>
      </c>
      <c r="I68" s="165"/>
      <c r="J68" s="209"/>
      <c r="K68" s="209"/>
      <c r="L68" s="362"/>
      <c r="M68" s="377"/>
      <c r="N68" s="208"/>
    </row>
    <row r="69" spans="1:14" ht="72" hidden="1" customHeight="1">
      <c r="A69" s="189"/>
      <c r="B69" s="266"/>
      <c r="C69" s="266"/>
      <c r="D69" s="150" t="s">
        <v>577</v>
      </c>
      <c r="E69" s="154">
        <v>45687</v>
      </c>
      <c r="F69" s="147" t="s">
        <v>571</v>
      </c>
      <c r="G69" s="147" t="s">
        <v>578</v>
      </c>
      <c r="H69" s="153">
        <v>3</v>
      </c>
      <c r="I69" s="165"/>
      <c r="J69" s="209"/>
      <c r="K69" s="209"/>
      <c r="L69" s="362"/>
      <c r="M69" s="377"/>
      <c r="N69" s="208"/>
    </row>
    <row r="70" spans="1:14" ht="57.75" hidden="1" customHeight="1">
      <c r="A70" s="189"/>
      <c r="B70" s="266"/>
      <c r="C70" s="266"/>
      <c r="D70" s="150" t="s">
        <v>579</v>
      </c>
      <c r="E70" s="154">
        <v>45729</v>
      </c>
      <c r="F70" s="147" t="s">
        <v>580</v>
      </c>
      <c r="G70" s="147" t="s">
        <v>77</v>
      </c>
      <c r="H70" s="153">
        <v>2</v>
      </c>
      <c r="I70" s="165"/>
      <c r="J70" s="209"/>
      <c r="K70" s="209"/>
      <c r="L70" s="362"/>
      <c r="M70" s="377"/>
      <c r="N70" s="208"/>
    </row>
    <row r="71" spans="1:14" ht="57.75" hidden="1" customHeight="1">
      <c r="A71" s="189"/>
      <c r="B71" s="266"/>
      <c r="C71" s="266"/>
      <c r="D71" s="150" t="s">
        <v>581</v>
      </c>
      <c r="E71" s="154">
        <v>45800</v>
      </c>
      <c r="F71" s="147" t="s">
        <v>582</v>
      </c>
      <c r="G71" s="147" t="s">
        <v>77</v>
      </c>
      <c r="H71" s="153">
        <v>2</v>
      </c>
      <c r="I71" s="165"/>
      <c r="J71" s="209"/>
      <c r="K71" s="209"/>
      <c r="L71" s="362"/>
      <c r="M71" s="377"/>
      <c r="N71" s="208"/>
    </row>
    <row r="72" spans="1:14" ht="61.5" customHeight="1">
      <c r="A72" s="188">
        <v>6</v>
      </c>
      <c r="B72" s="265" t="s">
        <v>136</v>
      </c>
      <c r="C72" s="451" t="s">
        <v>583</v>
      </c>
      <c r="D72" s="250" t="s">
        <v>480</v>
      </c>
      <c r="E72" s="251" t="s">
        <v>584</v>
      </c>
      <c r="F72" s="250" t="s">
        <v>436</v>
      </c>
      <c r="G72" s="250" t="s">
        <v>585</v>
      </c>
      <c r="H72" s="227">
        <v>25</v>
      </c>
      <c r="I72" s="247">
        <f>H72</f>
        <v>25</v>
      </c>
      <c r="J72" s="338" t="str">
        <f>IF(I72&gt;=20,"Memenuhi","Tidak Memenuhi")</f>
        <v>Memenuhi</v>
      </c>
      <c r="K72" s="420" t="s">
        <v>381</v>
      </c>
      <c r="L72" s="1536" t="s">
        <v>586</v>
      </c>
      <c r="M72" s="1536" t="s">
        <v>587</v>
      </c>
      <c r="N72" s="208"/>
    </row>
    <row r="73" spans="1:14" ht="107.25" customHeight="1">
      <c r="A73" s="223"/>
      <c r="B73" s="266"/>
      <c r="C73" s="450" t="s">
        <v>588</v>
      </c>
      <c r="D73" s="240" t="s">
        <v>589</v>
      </c>
      <c r="E73" s="452" t="s">
        <v>590</v>
      </c>
      <c r="F73" s="240" t="s">
        <v>591</v>
      </c>
      <c r="G73" s="240" t="s">
        <v>549</v>
      </c>
      <c r="H73" s="229"/>
      <c r="I73" s="252"/>
      <c r="J73" s="425"/>
      <c r="K73" s="425"/>
      <c r="L73" s="1537"/>
      <c r="M73" s="1537"/>
      <c r="N73" s="208"/>
    </row>
    <row r="74" spans="1:14" ht="58.5" customHeight="1">
      <c r="A74" s="396">
        <v>7</v>
      </c>
      <c r="B74" s="560" t="s">
        <v>143</v>
      </c>
      <c r="C74" s="586" t="s">
        <v>466</v>
      </c>
      <c r="D74" s="156" t="s">
        <v>550</v>
      </c>
      <c r="E74" s="227" t="s">
        <v>592</v>
      </c>
      <c r="F74" s="156" t="s">
        <v>418</v>
      </c>
      <c r="G74" s="156" t="s">
        <v>552</v>
      </c>
      <c r="H74" s="227">
        <v>20</v>
      </c>
      <c r="I74" s="227">
        <v>20</v>
      </c>
      <c r="J74" s="417" t="str">
        <f>IF(I74&gt;=20,"Memenuhi","Tidak Memenuhi")</f>
        <v>Memenuhi</v>
      </c>
      <c r="K74" s="417" t="s">
        <v>381</v>
      </c>
      <c r="L74" s="1568" t="s">
        <v>586</v>
      </c>
      <c r="M74" s="1536" t="s">
        <v>554</v>
      </c>
      <c r="N74" s="155" t="s">
        <v>593</v>
      </c>
    </row>
    <row r="75" spans="1:14" ht="72">
      <c r="A75" s="410"/>
      <c r="B75" s="414"/>
      <c r="C75" s="168" t="s">
        <v>594</v>
      </c>
      <c r="D75" s="501" t="s">
        <v>556</v>
      </c>
      <c r="E75" s="193" t="s">
        <v>557</v>
      </c>
      <c r="F75" s="153" t="s">
        <v>558</v>
      </c>
      <c r="G75" s="153" t="s">
        <v>549</v>
      </c>
      <c r="H75" s="153" t="s">
        <v>77</v>
      </c>
      <c r="I75" s="252"/>
      <c r="J75" s="448"/>
      <c r="K75" s="448"/>
      <c r="L75" s="1569"/>
      <c r="M75" s="1544"/>
      <c r="N75" s="208"/>
    </row>
    <row r="76" spans="1:14" ht="86.25">
      <c r="A76" s="410"/>
      <c r="B76" s="414"/>
      <c r="C76" s="286"/>
      <c r="D76" s="501" t="s">
        <v>595</v>
      </c>
      <c r="E76" s="193" t="s">
        <v>596</v>
      </c>
      <c r="F76" s="153" t="s">
        <v>558</v>
      </c>
      <c r="G76" s="153" t="s">
        <v>549</v>
      </c>
      <c r="H76" s="153" t="s">
        <v>77</v>
      </c>
      <c r="I76" s="252"/>
      <c r="J76" s="591"/>
      <c r="K76" s="591"/>
      <c r="L76" s="1570"/>
      <c r="M76" s="1537"/>
      <c r="N76" s="208"/>
    </row>
    <row r="77" spans="1:14" ht="66.75" customHeight="1">
      <c r="A77" s="396">
        <v>8</v>
      </c>
      <c r="B77" s="498" t="s">
        <v>149</v>
      </c>
      <c r="C77" s="399" t="s">
        <v>466</v>
      </c>
      <c r="D77" s="156" t="s">
        <v>550</v>
      </c>
      <c r="E77" s="226" t="s">
        <v>597</v>
      </c>
      <c r="F77" s="156" t="s">
        <v>418</v>
      </c>
      <c r="G77" s="156" t="s">
        <v>598</v>
      </c>
      <c r="H77" s="227">
        <v>20</v>
      </c>
      <c r="I77" s="247">
        <f>H77</f>
        <v>20</v>
      </c>
      <c r="J77" s="338" t="str">
        <f>IF(I77&gt;=20,"Memenuhi","Tidak Memenuhi")</f>
        <v>Memenuhi</v>
      </c>
      <c r="K77" s="420" t="s">
        <v>381</v>
      </c>
      <c r="L77" s="1536" t="s">
        <v>586</v>
      </c>
      <c r="M77" s="1536" t="s">
        <v>599</v>
      </c>
      <c r="N77" s="208"/>
    </row>
    <row r="78" spans="1:14" ht="100.5" customHeight="1">
      <c r="A78" s="411"/>
      <c r="B78" s="589"/>
      <c r="C78" s="281"/>
      <c r="D78" s="501" t="s">
        <v>546</v>
      </c>
      <c r="E78" s="590" t="s">
        <v>547</v>
      </c>
      <c r="F78" s="229" t="s">
        <v>548</v>
      </c>
      <c r="G78" s="229" t="s">
        <v>549</v>
      </c>
      <c r="H78" s="229" t="s">
        <v>77</v>
      </c>
      <c r="I78" s="209"/>
      <c r="J78" s="425"/>
      <c r="K78" s="425"/>
      <c r="L78" s="1537"/>
      <c r="M78" s="1537"/>
      <c r="N78" s="208"/>
    </row>
    <row r="79" spans="1:14" ht="72" customHeight="1">
      <c r="A79" s="559">
        <v>9</v>
      </c>
      <c r="B79" s="588" t="s">
        <v>255</v>
      </c>
      <c r="C79" s="1534" t="s">
        <v>600</v>
      </c>
      <c r="D79" s="156" t="s">
        <v>434</v>
      </c>
      <c r="E79" s="226" t="s">
        <v>435</v>
      </c>
      <c r="F79" s="156" t="s">
        <v>601</v>
      </c>
      <c r="G79" s="156" t="s">
        <v>602</v>
      </c>
      <c r="H79" s="227">
        <v>16</v>
      </c>
      <c r="I79" s="247">
        <f>H79+H80</f>
        <v>36</v>
      </c>
      <c r="J79" s="338" t="str">
        <f>IF(I79&gt;=20,"Memenuhi","Tidak Memenuhi")</f>
        <v>Memenuhi</v>
      </c>
      <c r="K79" s="338" t="s">
        <v>381</v>
      </c>
      <c r="L79" s="1536" t="s">
        <v>603</v>
      </c>
      <c r="M79" s="1536" t="s">
        <v>604</v>
      </c>
      <c r="N79" s="208"/>
    </row>
    <row r="80" spans="1:14" ht="132.75" customHeight="1">
      <c r="A80" s="411"/>
      <c r="B80" s="411"/>
      <c r="C80" s="1535"/>
      <c r="D80" s="150" t="s">
        <v>417</v>
      </c>
      <c r="E80" s="228">
        <v>45763</v>
      </c>
      <c r="F80" s="150" t="s">
        <v>418</v>
      </c>
      <c r="G80" s="150" t="s">
        <v>605</v>
      </c>
      <c r="H80" s="229">
        <v>20</v>
      </c>
      <c r="I80" s="252"/>
      <c r="J80" s="425"/>
      <c r="K80" s="425"/>
      <c r="L80" s="1537"/>
      <c r="M80" s="1537"/>
      <c r="N80" s="208"/>
    </row>
    <row r="81" spans="1:14" ht="58.5" customHeight="1">
      <c r="A81" s="555">
        <v>10</v>
      </c>
      <c r="B81" s="554" t="s">
        <v>15</v>
      </c>
      <c r="C81" s="508" t="s">
        <v>583</v>
      </c>
      <c r="D81" s="383" t="s">
        <v>606</v>
      </c>
      <c r="E81" s="226">
        <v>45716</v>
      </c>
      <c r="F81" s="156" t="s">
        <v>607</v>
      </c>
      <c r="G81" s="156" t="s">
        <v>608</v>
      </c>
      <c r="H81" s="227">
        <v>4</v>
      </c>
      <c r="I81" s="247">
        <f>H81+H82+H83</f>
        <v>26</v>
      </c>
      <c r="J81" s="248" t="str">
        <f>IF(I81&gt;=20,"Memenuhi","Tidak Memenuhi")</f>
        <v>Memenuhi</v>
      </c>
      <c r="K81" s="338" t="s">
        <v>381</v>
      </c>
      <c r="L81" s="1531" t="s">
        <v>382</v>
      </c>
      <c r="M81" s="1531" t="s">
        <v>609</v>
      </c>
      <c r="N81" s="255"/>
    </row>
    <row r="82" spans="1:14" ht="60.75" customHeight="1">
      <c r="A82" s="410"/>
      <c r="B82" s="414"/>
      <c r="C82" s="286"/>
      <c r="D82" s="401" t="s">
        <v>417</v>
      </c>
      <c r="E82" s="228">
        <v>45729</v>
      </c>
      <c r="F82" s="150" t="s">
        <v>418</v>
      </c>
      <c r="G82" s="150" t="s">
        <v>610</v>
      </c>
      <c r="H82" s="229">
        <v>20</v>
      </c>
      <c r="I82" s="252"/>
      <c r="J82" s="253"/>
      <c r="K82" s="425"/>
      <c r="L82" s="1532"/>
      <c r="M82" s="1532"/>
      <c r="N82" s="255"/>
    </row>
    <row r="83" spans="1:14" ht="45" customHeight="1">
      <c r="A83" s="410"/>
      <c r="B83" s="414"/>
      <c r="C83" s="379" t="s">
        <v>407</v>
      </c>
      <c r="D83" s="401" t="s">
        <v>611</v>
      </c>
      <c r="E83" s="228" t="s">
        <v>447</v>
      </c>
      <c r="F83" s="150" t="s">
        <v>448</v>
      </c>
      <c r="G83" s="150" t="s">
        <v>612</v>
      </c>
      <c r="H83" s="229">
        <v>2</v>
      </c>
      <c r="I83" s="252"/>
      <c r="J83" s="253"/>
      <c r="K83" s="425"/>
      <c r="L83" s="1532"/>
      <c r="M83" s="1532"/>
      <c r="N83" s="255"/>
    </row>
    <row r="84" spans="1:14" ht="105" customHeight="1">
      <c r="A84" s="410"/>
      <c r="B84" s="414"/>
      <c r="C84" s="379"/>
      <c r="D84" s="401" t="s">
        <v>613</v>
      </c>
      <c r="E84" s="228"/>
      <c r="F84" s="150" t="s">
        <v>485</v>
      </c>
      <c r="G84" s="229" t="s">
        <v>77</v>
      </c>
      <c r="H84" s="229" t="s">
        <v>77</v>
      </c>
      <c r="I84" s="252"/>
      <c r="J84" s="253" t="s">
        <v>614</v>
      </c>
      <c r="K84" s="421"/>
      <c r="L84" s="1532"/>
      <c r="M84" s="1532"/>
      <c r="N84" s="255"/>
    </row>
    <row r="85" spans="1:14" ht="23.25" customHeight="1">
      <c r="A85" s="411"/>
      <c r="B85" s="415"/>
      <c r="C85" s="286"/>
      <c r="D85" s="401" t="s">
        <v>615</v>
      </c>
      <c r="E85" s="228">
        <v>45772</v>
      </c>
      <c r="F85" s="150"/>
      <c r="G85" s="229" t="s">
        <v>77</v>
      </c>
      <c r="H85" s="229" t="s">
        <v>77</v>
      </c>
      <c r="I85" s="252"/>
      <c r="J85" s="253" t="s">
        <v>616</v>
      </c>
      <c r="K85" s="421"/>
      <c r="L85" s="1533"/>
      <c r="M85" s="1533"/>
      <c r="N85" s="255"/>
    </row>
    <row r="86" spans="1:14" ht="63" customHeight="1">
      <c r="A86" s="527">
        <v>11</v>
      </c>
      <c r="B86" s="300" t="s">
        <v>160</v>
      </c>
      <c r="C86" s="564" t="s">
        <v>407</v>
      </c>
      <c r="D86" s="135" t="s">
        <v>617</v>
      </c>
      <c r="E86" s="134" t="s">
        <v>618</v>
      </c>
      <c r="F86" s="135" t="s">
        <v>619</v>
      </c>
      <c r="G86" s="135" t="s">
        <v>620</v>
      </c>
      <c r="H86" s="227">
        <v>25</v>
      </c>
      <c r="I86" s="247">
        <f>H86+H87+H88</f>
        <v>31</v>
      </c>
      <c r="J86" s="199" t="str">
        <f>IF(I86&gt;=20,"Memenuhi","Tidak Memenuhi")</f>
        <v>Memenuhi</v>
      </c>
      <c r="K86" s="179" t="s">
        <v>381</v>
      </c>
      <c r="L86" s="1531" t="s">
        <v>382</v>
      </c>
      <c r="M86" s="1531" t="s">
        <v>621</v>
      </c>
      <c r="N86" s="255"/>
    </row>
    <row r="87" spans="1:14" ht="102.75" customHeight="1">
      <c r="A87" s="414"/>
      <c r="B87" s="381"/>
      <c r="C87" s="489" t="s">
        <v>583</v>
      </c>
      <c r="D87" s="150" t="s">
        <v>412</v>
      </c>
      <c r="E87" s="154">
        <v>45715</v>
      </c>
      <c r="F87" s="147" t="s">
        <v>413</v>
      </c>
      <c r="G87" s="147" t="s">
        <v>622</v>
      </c>
      <c r="H87" s="229">
        <v>4</v>
      </c>
      <c r="I87" s="252"/>
      <c r="J87" s="209"/>
      <c r="K87" s="426"/>
      <c r="L87" s="1532"/>
      <c r="M87" s="1532"/>
      <c r="N87" s="255"/>
    </row>
    <row r="88" spans="1:14" ht="108" customHeight="1">
      <c r="A88" s="415"/>
      <c r="B88" s="382"/>
      <c r="C88" s="495"/>
      <c r="D88" s="150" t="s">
        <v>565</v>
      </c>
      <c r="E88" s="154" t="s">
        <v>447</v>
      </c>
      <c r="F88" s="147" t="s">
        <v>448</v>
      </c>
      <c r="G88" s="147" t="s">
        <v>623</v>
      </c>
      <c r="H88" s="229">
        <v>2</v>
      </c>
      <c r="I88" s="252"/>
      <c r="J88" s="209"/>
      <c r="K88" s="426"/>
      <c r="L88" s="1533"/>
      <c r="M88" s="1533"/>
      <c r="N88" s="255"/>
    </row>
    <row r="89" spans="1:14" ht="56.25" customHeight="1">
      <c r="A89" s="533">
        <v>12</v>
      </c>
      <c r="B89" s="583" t="s">
        <v>19</v>
      </c>
      <c r="C89" s="508" t="s">
        <v>583</v>
      </c>
      <c r="D89" s="383" t="s">
        <v>624</v>
      </c>
      <c r="E89" s="226" t="s">
        <v>447</v>
      </c>
      <c r="F89" s="156" t="s">
        <v>448</v>
      </c>
      <c r="G89" s="156" t="s">
        <v>625</v>
      </c>
      <c r="H89" s="227">
        <v>2</v>
      </c>
      <c r="I89" s="247">
        <f>SUM(H89:H99)</f>
        <v>37</v>
      </c>
      <c r="J89" s="248" t="str">
        <f>IF(I89&gt;=20,"Memenuhi","Tidak Memenuhi")</f>
        <v>Memenuhi</v>
      </c>
      <c r="K89" s="338" t="s">
        <v>381</v>
      </c>
      <c r="L89" s="1531" t="s">
        <v>626</v>
      </c>
      <c r="M89" s="1531" t="s">
        <v>609</v>
      </c>
      <c r="N89" s="255"/>
    </row>
    <row r="90" spans="1:14" ht="57.75">
      <c r="A90" s="379"/>
      <c r="B90" s="379"/>
      <c r="C90" s="379"/>
      <c r="D90" s="401" t="s">
        <v>450</v>
      </c>
      <c r="E90" s="228">
        <v>45796</v>
      </c>
      <c r="F90" s="150" t="s">
        <v>448</v>
      </c>
      <c r="G90" s="150" t="s">
        <v>627</v>
      </c>
      <c r="H90" s="229">
        <v>2</v>
      </c>
      <c r="I90" s="229"/>
      <c r="J90" s="253"/>
      <c r="K90" s="425"/>
      <c r="L90" s="1532"/>
      <c r="M90" s="1532"/>
      <c r="N90" s="255"/>
    </row>
    <row r="91" spans="1:14" ht="43.5">
      <c r="A91" s="379"/>
      <c r="B91" s="379"/>
      <c r="C91" s="379"/>
      <c r="D91" s="401" t="s">
        <v>628</v>
      </c>
      <c r="E91" s="228">
        <v>45798</v>
      </c>
      <c r="F91" s="150" t="s">
        <v>629</v>
      </c>
      <c r="G91" s="150" t="s">
        <v>630</v>
      </c>
      <c r="H91" s="229">
        <v>4</v>
      </c>
      <c r="I91" s="229"/>
      <c r="J91" s="253"/>
      <c r="K91" s="425"/>
      <c r="L91" s="1532"/>
      <c r="M91" s="1532"/>
      <c r="N91" s="255"/>
    </row>
    <row r="92" spans="1:14" ht="57.75">
      <c r="A92" s="379"/>
      <c r="B92" s="379"/>
      <c r="C92" s="379"/>
      <c r="D92" s="401" t="s">
        <v>631</v>
      </c>
      <c r="E92" s="228">
        <v>45825</v>
      </c>
      <c r="F92" s="150" t="s">
        <v>632</v>
      </c>
      <c r="G92" s="150" t="s">
        <v>633</v>
      </c>
      <c r="H92" s="229">
        <v>4</v>
      </c>
      <c r="I92" s="229"/>
      <c r="J92" s="253"/>
      <c r="K92" s="425"/>
      <c r="L92" s="1532"/>
      <c r="M92" s="1532"/>
      <c r="N92" s="255"/>
    </row>
    <row r="93" spans="1:14" ht="57.75">
      <c r="A93" s="379"/>
      <c r="B93" s="379"/>
      <c r="C93" s="379"/>
      <c r="D93" s="401" t="s">
        <v>634</v>
      </c>
      <c r="E93" s="228">
        <v>45831</v>
      </c>
      <c r="F93" s="150" t="s">
        <v>448</v>
      </c>
      <c r="G93" s="150" t="s">
        <v>635</v>
      </c>
      <c r="H93" s="229">
        <v>3</v>
      </c>
      <c r="I93" s="229"/>
      <c r="J93" s="253"/>
      <c r="K93" s="425"/>
      <c r="L93" s="1532"/>
      <c r="M93" s="1532"/>
      <c r="N93" s="255"/>
    </row>
    <row r="94" spans="1:14" ht="57.75">
      <c r="A94" s="379"/>
      <c r="B94" s="379"/>
      <c r="C94" s="379"/>
      <c r="D94" s="401" t="s">
        <v>636</v>
      </c>
      <c r="E94" s="228">
        <v>45848</v>
      </c>
      <c r="F94" s="150" t="s">
        <v>632</v>
      </c>
      <c r="G94" s="150" t="s">
        <v>637</v>
      </c>
      <c r="H94" s="229">
        <v>4</v>
      </c>
      <c r="I94" s="229"/>
      <c r="J94" s="253"/>
      <c r="K94" s="425"/>
      <c r="L94" s="1532"/>
      <c r="M94" s="1532"/>
      <c r="N94" s="255"/>
    </row>
    <row r="95" spans="1:14" ht="72">
      <c r="A95" s="379"/>
      <c r="B95" s="379"/>
      <c r="C95" s="379"/>
      <c r="D95" s="401" t="s">
        <v>638</v>
      </c>
      <c r="E95" s="228">
        <v>45848</v>
      </c>
      <c r="F95" s="150" t="s">
        <v>448</v>
      </c>
      <c r="G95" s="150" t="s">
        <v>639</v>
      </c>
      <c r="H95" s="229">
        <v>2</v>
      </c>
      <c r="I95" s="229"/>
      <c r="J95" s="253"/>
      <c r="K95" s="425"/>
      <c r="L95" s="1532"/>
      <c r="M95" s="1532"/>
      <c r="N95" s="255"/>
    </row>
    <row r="96" spans="1:14" ht="60.75" customHeight="1">
      <c r="A96" s="379"/>
      <c r="B96" s="379"/>
      <c r="C96" s="379"/>
      <c r="D96" s="401" t="s">
        <v>640</v>
      </c>
      <c r="E96" s="228">
        <v>45876</v>
      </c>
      <c r="F96" s="150" t="s">
        <v>495</v>
      </c>
      <c r="G96" s="150" t="s">
        <v>641</v>
      </c>
      <c r="H96" s="229">
        <v>2</v>
      </c>
      <c r="I96" s="229"/>
      <c r="J96" s="253"/>
      <c r="K96" s="425"/>
      <c r="L96" s="1532"/>
      <c r="M96" s="1532"/>
      <c r="N96" s="255"/>
    </row>
    <row r="97" spans="1:14" ht="86.25">
      <c r="A97" s="379"/>
      <c r="B97" s="379"/>
      <c r="C97" s="379"/>
      <c r="D97" s="401" t="s">
        <v>395</v>
      </c>
      <c r="E97" s="228">
        <v>45890</v>
      </c>
      <c r="F97" s="150" t="s">
        <v>448</v>
      </c>
      <c r="G97" s="150" t="s">
        <v>642</v>
      </c>
      <c r="H97" s="229">
        <v>6</v>
      </c>
      <c r="I97" s="229"/>
      <c r="J97" s="253"/>
      <c r="K97" s="425"/>
      <c r="L97" s="1532"/>
      <c r="M97" s="1532"/>
      <c r="N97" s="255"/>
    </row>
    <row r="98" spans="1:14" ht="72">
      <c r="A98" s="379"/>
      <c r="B98" s="379"/>
      <c r="C98" s="379"/>
      <c r="D98" s="401" t="s">
        <v>643</v>
      </c>
      <c r="E98" s="228">
        <v>45917</v>
      </c>
      <c r="F98" s="150" t="s">
        <v>448</v>
      </c>
      <c r="G98" s="150" t="s">
        <v>644</v>
      </c>
      <c r="H98" s="229">
        <v>6</v>
      </c>
      <c r="I98" s="229"/>
      <c r="J98" s="253"/>
      <c r="K98" s="425"/>
      <c r="L98" s="1532"/>
      <c r="M98" s="1532"/>
      <c r="N98" s="255"/>
    </row>
    <row r="99" spans="1:14" ht="72">
      <c r="A99" s="286"/>
      <c r="B99" s="286"/>
      <c r="C99" s="286"/>
      <c r="D99" s="401" t="s">
        <v>645</v>
      </c>
      <c r="E99" s="228">
        <v>45926</v>
      </c>
      <c r="F99" s="150" t="s">
        <v>448</v>
      </c>
      <c r="G99" s="150" t="s">
        <v>646</v>
      </c>
      <c r="H99" s="229">
        <v>2</v>
      </c>
      <c r="I99" s="229"/>
      <c r="J99" s="253"/>
      <c r="K99" s="425"/>
      <c r="L99" s="1533"/>
      <c r="M99" s="1533"/>
      <c r="N99" s="255"/>
    </row>
    <row r="100" spans="1:14" ht="57" customHeight="1">
      <c r="A100" s="396">
        <v>13</v>
      </c>
      <c r="B100" s="553" t="s">
        <v>177</v>
      </c>
      <c r="C100" s="533" t="s">
        <v>583</v>
      </c>
      <c r="D100" s="156" t="s">
        <v>417</v>
      </c>
      <c r="E100" s="226">
        <v>45726</v>
      </c>
      <c r="F100" s="156" t="s">
        <v>418</v>
      </c>
      <c r="G100" s="156" t="s">
        <v>610</v>
      </c>
      <c r="H100" s="227">
        <v>20</v>
      </c>
      <c r="I100" s="247">
        <f>H100+H102</f>
        <v>45</v>
      </c>
      <c r="J100" s="248" t="str">
        <f>IF(I100&gt;=20,"Memenuhi","Tidak Memenuhi")</f>
        <v>Memenuhi</v>
      </c>
      <c r="K100" s="338" t="s">
        <v>381</v>
      </c>
      <c r="L100" s="1531" t="s">
        <v>382</v>
      </c>
      <c r="M100" s="1531" t="s">
        <v>609</v>
      </c>
      <c r="N100" s="255"/>
    </row>
    <row r="101" spans="1:14" ht="63" customHeight="1">
      <c r="A101" s="410"/>
      <c r="B101" s="414"/>
      <c r="C101" s="168" t="s">
        <v>407</v>
      </c>
      <c r="D101" s="401" t="s">
        <v>647</v>
      </c>
      <c r="E101" s="228">
        <v>45729</v>
      </c>
      <c r="F101" s="150" t="s">
        <v>648</v>
      </c>
      <c r="G101" s="150"/>
      <c r="H101" s="229"/>
      <c r="I101" s="252"/>
      <c r="J101" s="253" t="s">
        <v>649</v>
      </c>
      <c r="K101" s="421"/>
      <c r="L101" s="1532"/>
      <c r="M101" s="1532"/>
      <c r="N101" s="255"/>
    </row>
    <row r="102" spans="1:14" ht="69" customHeight="1">
      <c r="A102" s="411"/>
      <c r="B102" s="415"/>
      <c r="C102" s="286"/>
      <c r="D102" s="401" t="s">
        <v>480</v>
      </c>
      <c r="E102" s="229" t="s">
        <v>559</v>
      </c>
      <c r="F102" s="150" t="s">
        <v>650</v>
      </c>
      <c r="G102" s="150" t="s">
        <v>651</v>
      </c>
      <c r="H102" s="229">
        <v>25</v>
      </c>
      <c r="I102" s="252"/>
      <c r="J102" s="254"/>
      <c r="K102" s="421"/>
      <c r="L102" s="1533"/>
      <c r="M102" s="1533"/>
      <c r="N102" s="255"/>
    </row>
    <row r="103" spans="1:14" ht="57.75" customHeight="1">
      <c r="A103" s="533">
        <v>14</v>
      </c>
      <c r="B103" s="580" t="s">
        <v>27</v>
      </c>
      <c r="C103" s="533" t="s">
        <v>583</v>
      </c>
      <c r="D103" s="383" t="s">
        <v>470</v>
      </c>
      <c r="E103" s="134">
        <v>45715</v>
      </c>
      <c r="F103" s="135" t="s">
        <v>413</v>
      </c>
      <c r="G103" s="135" t="s">
        <v>652</v>
      </c>
      <c r="H103" s="136">
        <v>4</v>
      </c>
      <c r="I103" s="166">
        <f>SUM(H103:H109)</f>
        <v>23</v>
      </c>
      <c r="J103" s="199" t="str">
        <f>IF(I103&gt;=20,"Memenuhi","Tidak Memenuhi")</f>
        <v>Memenuhi</v>
      </c>
      <c r="K103" s="179" t="s">
        <v>381</v>
      </c>
      <c r="L103" s="1531" t="s">
        <v>626</v>
      </c>
      <c r="M103" s="1531" t="s">
        <v>609</v>
      </c>
      <c r="N103" s="255"/>
    </row>
    <row r="104" spans="1:14" ht="48" customHeight="1">
      <c r="A104" s="379"/>
      <c r="B104" s="379"/>
      <c r="C104" s="379"/>
      <c r="D104" s="401" t="s">
        <v>611</v>
      </c>
      <c r="E104" s="154" t="s">
        <v>447</v>
      </c>
      <c r="F104" s="147" t="s">
        <v>448</v>
      </c>
      <c r="G104" s="147" t="s">
        <v>653</v>
      </c>
      <c r="H104" s="153">
        <v>2</v>
      </c>
      <c r="I104" s="153"/>
      <c r="J104" s="152"/>
      <c r="K104" s="422"/>
      <c r="L104" s="1532"/>
      <c r="M104" s="1532"/>
      <c r="N104" s="255"/>
    </row>
    <row r="105" spans="1:14" ht="72.75" customHeight="1">
      <c r="A105" s="379"/>
      <c r="B105" s="379"/>
      <c r="C105" s="379"/>
      <c r="D105" s="401" t="s">
        <v>654</v>
      </c>
      <c r="E105" s="154">
        <v>45793</v>
      </c>
      <c r="F105" s="147" t="s">
        <v>655</v>
      </c>
      <c r="G105" s="147" t="s">
        <v>476</v>
      </c>
      <c r="H105" s="153">
        <v>6</v>
      </c>
      <c r="I105" s="153"/>
      <c r="J105" s="152"/>
      <c r="K105" s="422"/>
      <c r="L105" s="1532"/>
      <c r="M105" s="1532"/>
      <c r="N105" s="255"/>
    </row>
    <row r="106" spans="1:14" ht="57.75">
      <c r="A106" s="379"/>
      <c r="B106" s="379"/>
      <c r="C106" s="379"/>
      <c r="D106" s="401" t="s">
        <v>450</v>
      </c>
      <c r="E106" s="154">
        <v>45796</v>
      </c>
      <c r="F106" s="147" t="s">
        <v>448</v>
      </c>
      <c r="G106" s="147" t="s">
        <v>656</v>
      </c>
      <c r="H106" s="153">
        <v>2</v>
      </c>
      <c r="I106" s="153"/>
      <c r="J106" s="152"/>
      <c r="K106" s="422"/>
      <c r="L106" s="1532"/>
      <c r="M106" s="1532"/>
      <c r="N106" s="255"/>
    </row>
    <row r="107" spans="1:14" ht="57.75">
      <c r="A107" s="379"/>
      <c r="B107" s="379"/>
      <c r="C107" s="379"/>
      <c r="D107" s="319" t="s">
        <v>634</v>
      </c>
      <c r="E107" s="193" t="s">
        <v>657</v>
      </c>
      <c r="F107" s="147" t="s">
        <v>448</v>
      </c>
      <c r="G107" s="194" t="s">
        <v>658</v>
      </c>
      <c r="H107" s="153">
        <v>3</v>
      </c>
      <c r="I107" s="153"/>
      <c r="J107" s="152"/>
      <c r="K107" s="422"/>
      <c r="L107" s="1532"/>
      <c r="M107" s="1532"/>
      <c r="N107" s="255"/>
    </row>
    <row r="108" spans="1:14" ht="72">
      <c r="A108" s="379"/>
      <c r="B108" s="379"/>
      <c r="C108" s="379"/>
      <c r="D108" s="401" t="s">
        <v>638</v>
      </c>
      <c r="E108" s="193" t="s">
        <v>453</v>
      </c>
      <c r="F108" s="147" t="s">
        <v>448</v>
      </c>
      <c r="G108" s="194" t="s">
        <v>659</v>
      </c>
      <c r="H108" s="153">
        <v>2</v>
      </c>
      <c r="I108" s="153"/>
      <c r="J108" s="152"/>
      <c r="K108" s="422"/>
      <c r="L108" s="1532"/>
      <c r="M108" s="1532"/>
      <c r="N108" s="255"/>
    </row>
    <row r="109" spans="1:14" ht="57.75">
      <c r="A109" s="286"/>
      <c r="B109" s="286"/>
      <c r="C109" s="286"/>
      <c r="D109" s="319" t="s">
        <v>636</v>
      </c>
      <c r="E109" s="154">
        <v>45848</v>
      </c>
      <c r="F109" s="147" t="s">
        <v>632</v>
      </c>
      <c r="G109" s="147" t="s">
        <v>660</v>
      </c>
      <c r="H109" s="153">
        <v>4</v>
      </c>
      <c r="I109" s="153"/>
      <c r="J109" s="152"/>
      <c r="K109" s="424"/>
      <c r="L109" s="1533"/>
      <c r="M109" s="1533"/>
      <c r="N109" s="277"/>
    </row>
    <row r="110" spans="1:14" ht="61.5" customHeight="1">
      <c r="A110" s="508">
        <v>15</v>
      </c>
      <c r="B110" s="580" t="s">
        <v>187</v>
      </c>
      <c r="C110" s="533" t="s">
        <v>583</v>
      </c>
      <c r="D110" s="272" t="s">
        <v>661</v>
      </c>
      <c r="E110" s="273" t="s">
        <v>590</v>
      </c>
      <c r="F110" s="272" t="s">
        <v>591</v>
      </c>
      <c r="G110" s="274" t="s">
        <v>77</v>
      </c>
      <c r="H110" s="275">
        <v>2</v>
      </c>
      <c r="I110" s="276">
        <f>SUM(H110:H114)</f>
        <v>22</v>
      </c>
      <c r="J110" s="581" t="str">
        <f>IF(I110&gt;=20,"Memenuhi","Tidak Memenuhi")</f>
        <v>Memenuhi</v>
      </c>
      <c r="K110" s="582" t="s">
        <v>381</v>
      </c>
      <c r="L110" s="1536" t="s">
        <v>626</v>
      </c>
      <c r="M110" s="1536" t="s">
        <v>609</v>
      </c>
      <c r="N110" s="208"/>
    </row>
    <row r="111" spans="1:14" ht="57.75">
      <c r="A111" s="535"/>
      <c r="B111" s="535"/>
      <c r="C111" s="535"/>
      <c r="D111" s="237" t="s">
        <v>631</v>
      </c>
      <c r="E111" s="259" t="s">
        <v>662</v>
      </c>
      <c r="F111" s="237" t="s">
        <v>663</v>
      </c>
      <c r="G111" s="258" t="s">
        <v>664</v>
      </c>
      <c r="H111" s="270">
        <v>4</v>
      </c>
      <c r="I111" s="271"/>
      <c r="J111" s="253"/>
      <c r="K111" s="425"/>
      <c r="L111" s="1544"/>
      <c r="M111" s="1544"/>
      <c r="N111" s="208"/>
    </row>
    <row r="112" spans="1:14" ht="57.75">
      <c r="A112" s="535"/>
      <c r="B112" s="535"/>
      <c r="C112" s="535"/>
      <c r="D112" s="237" t="s">
        <v>636</v>
      </c>
      <c r="E112" s="259" t="s">
        <v>453</v>
      </c>
      <c r="F112" s="237" t="s">
        <v>665</v>
      </c>
      <c r="G112" s="258" t="s">
        <v>666</v>
      </c>
      <c r="H112" s="270">
        <v>4</v>
      </c>
      <c r="I112" s="271"/>
      <c r="J112" s="253"/>
      <c r="K112" s="425"/>
      <c r="L112" s="1544"/>
      <c r="M112" s="1544"/>
      <c r="N112" s="208"/>
    </row>
    <row r="113" spans="1:30" ht="115.5">
      <c r="A113" s="535"/>
      <c r="B113" s="535"/>
      <c r="C113" s="535"/>
      <c r="D113" s="237" t="s">
        <v>667</v>
      </c>
      <c r="E113" s="259" t="s">
        <v>464</v>
      </c>
      <c r="F113" s="237" t="s">
        <v>379</v>
      </c>
      <c r="G113" s="258" t="s">
        <v>668</v>
      </c>
      <c r="H113" s="270">
        <v>6</v>
      </c>
      <c r="I113" s="271"/>
      <c r="J113" s="253"/>
      <c r="K113" s="425"/>
      <c r="L113" s="1544"/>
      <c r="M113" s="1544"/>
      <c r="N113" s="208"/>
    </row>
    <row r="114" spans="1:30" ht="101.25">
      <c r="A114" s="534"/>
      <c r="B114" s="534"/>
      <c r="C114" s="534"/>
      <c r="D114" s="237" t="s">
        <v>669</v>
      </c>
      <c r="E114" s="259" t="s">
        <v>670</v>
      </c>
      <c r="F114" s="237" t="s">
        <v>379</v>
      </c>
      <c r="G114" s="258" t="s">
        <v>671</v>
      </c>
      <c r="H114" s="270">
        <v>6</v>
      </c>
      <c r="I114" s="271"/>
      <c r="J114" s="253"/>
      <c r="K114" s="427"/>
      <c r="L114" s="1537"/>
      <c r="M114" s="1537"/>
      <c r="N114" s="208"/>
    </row>
    <row r="115" spans="1:30" ht="57" customHeight="1">
      <c r="A115" s="508">
        <v>16</v>
      </c>
      <c r="B115" s="580" t="s">
        <v>29</v>
      </c>
      <c r="C115" s="533" t="s">
        <v>583</v>
      </c>
      <c r="D115" s="383" t="s">
        <v>624</v>
      </c>
      <c r="E115" s="134">
        <v>45775</v>
      </c>
      <c r="F115" s="135" t="s">
        <v>448</v>
      </c>
      <c r="G115" s="136" t="s">
        <v>672</v>
      </c>
      <c r="H115" s="136">
        <v>2</v>
      </c>
      <c r="I115" s="166">
        <f>SUM(H115:H123)</f>
        <v>59</v>
      </c>
      <c r="J115" s="199" t="str">
        <f>IF(I115&gt;=20,"Memenuhi","Tidak Memenuhi")</f>
        <v>Memenuhi</v>
      </c>
      <c r="K115" s="179" t="s">
        <v>381</v>
      </c>
      <c r="L115" s="1531" t="s">
        <v>626</v>
      </c>
      <c r="M115" s="1531" t="s">
        <v>673</v>
      </c>
      <c r="N115" s="278"/>
    </row>
    <row r="116" spans="1:30" ht="57.75">
      <c r="A116" s="379"/>
      <c r="B116" s="379"/>
      <c r="C116" s="379"/>
      <c r="D116" s="401" t="s">
        <v>450</v>
      </c>
      <c r="E116" s="193" t="s">
        <v>674</v>
      </c>
      <c r="F116" s="147" t="s">
        <v>448</v>
      </c>
      <c r="G116" s="153" t="s">
        <v>675</v>
      </c>
      <c r="H116" s="153">
        <v>2</v>
      </c>
      <c r="I116" s="153"/>
      <c r="J116" s="152"/>
      <c r="K116" s="422"/>
      <c r="L116" s="1532"/>
      <c r="M116" s="1532"/>
      <c r="N116" s="255"/>
    </row>
    <row r="117" spans="1:30" ht="43.5">
      <c r="A117" s="379"/>
      <c r="B117" s="379"/>
      <c r="C117" s="379"/>
      <c r="D117" s="263" t="s">
        <v>628</v>
      </c>
      <c r="E117" s="193" t="s">
        <v>676</v>
      </c>
      <c r="F117" s="147" t="s">
        <v>629</v>
      </c>
      <c r="G117" s="153" t="s">
        <v>677</v>
      </c>
      <c r="H117" s="153">
        <v>4</v>
      </c>
      <c r="I117" s="153"/>
      <c r="J117" s="152"/>
      <c r="K117" s="422"/>
      <c r="L117" s="1532"/>
      <c r="M117" s="1532"/>
      <c r="N117" s="255"/>
    </row>
    <row r="118" spans="1:30" ht="43.5">
      <c r="A118" s="379"/>
      <c r="B118" s="379"/>
      <c r="C118" s="379"/>
      <c r="D118" s="263" t="s">
        <v>678</v>
      </c>
      <c r="E118" s="193" t="s">
        <v>657</v>
      </c>
      <c r="F118" s="147" t="s">
        <v>448</v>
      </c>
      <c r="G118" s="153" t="s">
        <v>679</v>
      </c>
      <c r="H118" s="153">
        <v>3</v>
      </c>
      <c r="I118" s="153"/>
      <c r="J118" s="152"/>
      <c r="K118" s="422"/>
      <c r="L118" s="1532"/>
      <c r="M118" s="1532"/>
      <c r="N118" s="255"/>
    </row>
    <row r="119" spans="1:30" ht="57.75">
      <c r="A119" s="379"/>
      <c r="B119" s="379"/>
      <c r="C119" s="379"/>
      <c r="D119" s="263" t="s">
        <v>680</v>
      </c>
      <c r="E119" s="153" t="s">
        <v>681</v>
      </c>
      <c r="F119" s="147" t="s">
        <v>682</v>
      </c>
      <c r="G119" s="153" t="s">
        <v>77</v>
      </c>
      <c r="H119" s="153">
        <v>32</v>
      </c>
      <c r="I119" s="153"/>
      <c r="J119" s="152"/>
      <c r="K119" s="422"/>
      <c r="L119" s="1532"/>
      <c r="M119" s="1532"/>
      <c r="N119" s="255"/>
    </row>
    <row r="120" spans="1:30" ht="72">
      <c r="A120" s="379"/>
      <c r="B120" s="379"/>
      <c r="C120" s="379"/>
      <c r="D120" s="263" t="s">
        <v>683</v>
      </c>
      <c r="E120" s="193" t="s">
        <v>453</v>
      </c>
      <c r="F120" s="147" t="s">
        <v>448</v>
      </c>
      <c r="G120" s="153" t="s">
        <v>660</v>
      </c>
      <c r="H120" s="153">
        <v>2</v>
      </c>
      <c r="I120" s="153"/>
      <c r="J120" s="152"/>
      <c r="K120" s="422"/>
      <c r="L120" s="1532"/>
      <c r="M120" s="1532"/>
      <c r="N120" s="255"/>
    </row>
    <row r="121" spans="1:30" ht="86.25">
      <c r="A121" s="379"/>
      <c r="B121" s="379"/>
      <c r="C121" s="379"/>
      <c r="D121" s="385" t="s">
        <v>684</v>
      </c>
      <c r="E121" s="195" t="s">
        <v>685</v>
      </c>
      <c r="F121" s="147" t="s">
        <v>448</v>
      </c>
      <c r="G121" s="144" t="s">
        <v>686</v>
      </c>
      <c r="H121" s="153">
        <v>6</v>
      </c>
      <c r="I121" s="153"/>
      <c r="J121" s="152"/>
      <c r="K121" s="422"/>
      <c r="L121" s="1532"/>
      <c r="M121" s="1532"/>
      <c r="N121" s="255"/>
    </row>
    <row r="122" spans="1:30" ht="72">
      <c r="A122" s="379"/>
      <c r="B122" s="379"/>
      <c r="C122" s="379"/>
      <c r="D122" s="385" t="s">
        <v>687</v>
      </c>
      <c r="E122" s="195" t="s">
        <v>688</v>
      </c>
      <c r="F122" s="147" t="s">
        <v>448</v>
      </c>
      <c r="G122" s="144" t="s">
        <v>689</v>
      </c>
      <c r="H122" s="153">
        <v>6</v>
      </c>
      <c r="I122" s="153"/>
      <c r="J122" s="152"/>
      <c r="K122" s="422"/>
      <c r="L122" s="1532"/>
      <c r="M122" s="1532"/>
      <c r="N122" s="255"/>
    </row>
    <row r="123" spans="1:30" ht="72">
      <c r="A123" s="286"/>
      <c r="B123" s="286"/>
      <c r="C123" s="286"/>
      <c r="D123" s="385" t="s">
        <v>645</v>
      </c>
      <c r="E123" s="195" t="s">
        <v>690</v>
      </c>
      <c r="F123" s="147" t="s">
        <v>448</v>
      </c>
      <c r="G123" s="144" t="s">
        <v>691</v>
      </c>
      <c r="H123" s="153">
        <v>2</v>
      </c>
      <c r="I123" s="153"/>
      <c r="J123" s="152"/>
      <c r="K123" s="422"/>
      <c r="L123" s="1533"/>
      <c r="M123" s="1533"/>
      <c r="N123" s="255"/>
    </row>
    <row r="124" spans="1:30" ht="57.75" customHeight="1">
      <c r="A124" s="508">
        <v>17</v>
      </c>
      <c r="B124" s="580" t="s">
        <v>31</v>
      </c>
      <c r="C124" s="533" t="s">
        <v>583</v>
      </c>
      <c r="D124" s="383" t="s">
        <v>378</v>
      </c>
      <c r="E124" s="134">
        <v>45775</v>
      </c>
      <c r="F124" s="135" t="s">
        <v>448</v>
      </c>
      <c r="G124" s="135" t="s">
        <v>692</v>
      </c>
      <c r="H124" s="136">
        <v>2</v>
      </c>
      <c r="I124" s="136">
        <f>SUM(H124:H130)</f>
        <v>22</v>
      </c>
      <c r="J124" s="199" t="str">
        <f>IF(I124&gt;=20,"Memenuhi","Tidak Memenuhi")</f>
        <v>Memenuhi</v>
      </c>
      <c r="K124" s="179" t="s">
        <v>381</v>
      </c>
      <c r="L124" s="1531" t="s">
        <v>626</v>
      </c>
      <c r="M124" s="1531" t="s">
        <v>693</v>
      </c>
      <c r="N124" s="268"/>
    </row>
    <row r="125" spans="1:30" ht="57.75">
      <c r="A125" s="509"/>
      <c r="B125" s="509"/>
      <c r="C125" s="509"/>
      <c r="D125" s="401" t="s">
        <v>450</v>
      </c>
      <c r="E125" s="153" t="s">
        <v>674</v>
      </c>
      <c r="F125" s="147" t="s">
        <v>448</v>
      </c>
      <c r="G125" s="147" t="s">
        <v>694</v>
      </c>
      <c r="H125" s="144">
        <v>2</v>
      </c>
      <c r="I125" s="200"/>
      <c r="J125" s="201"/>
      <c r="K125" s="423"/>
      <c r="L125" s="1532"/>
      <c r="M125" s="1532"/>
      <c r="N125" s="269"/>
      <c r="O125" s="146"/>
      <c r="P125" s="146"/>
      <c r="Q125" s="146"/>
      <c r="R125" s="146"/>
      <c r="S125" s="146"/>
      <c r="T125" s="146"/>
      <c r="U125" s="146"/>
      <c r="V125" s="146"/>
      <c r="W125" s="146"/>
      <c r="X125" s="146"/>
      <c r="Y125" s="146"/>
      <c r="Z125" s="146"/>
      <c r="AA125" s="146"/>
      <c r="AB125" s="146"/>
      <c r="AC125" s="146"/>
      <c r="AD125" s="146"/>
    </row>
    <row r="126" spans="1:30" ht="72">
      <c r="A126" s="509"/>
      <c r="B126" s="509"/>
      <c r="C126" s="509"/>
      <c r="D126" s="385" t="s">
        <v>638</v>
      </c>
      <c r="E126" s="144" t="s">
        <v>453</v>
      </c>
      <c r="F126" s="147" t="s">
        <v>448</v>
      </c>
      <c r="G126" s="145" t="s">
        <v>695</v>
      </c>
      <c r="H126" s="144">
        <v>2</v>
      </c>
      <c r="I126" s="200"/>
      <c r="J126" s="201"/>
      <c r="K126" s="423"/>
      <c r="L126" s="1532"/>
      <c r="M126" s="1532"/>
      <c r="N126" s="269"/>
      <c r="O126" s="146"/>
      <c r="P126" s="146"/>
      <c r="Q126" s="146"/>
      <c r="R126" s="146"/>
      <c r="S126" s="146"/>
      <c r="T126" s="146"/>
      <c r="U126" s="146"/>
      <c r="V126" s="146"/>
      <c r="W126" s="146"/>
      <c r="X126" s="146"/>
      <c r="Y126" s="146"/>
      <c r="Z126" s="146"/>
      <c r="AA126" s="146"/>
      <c r="AB126" s="146"/>
      <c r="AC126" s="146"/>
      <c r="AD126" s="146"/>
    </row>
    <row r="127" spans="1:30" ht="86.25">
      <c r="A127" s="509"/>
      <c r="B127" s="509"/>
      <c r="C127" s="509"/>
      <c r="D127" s="385" t="s">
        <v>684</v>
      </c>
      <c r="E127" s="144" t="s">
        <v>464</v>
      </c>
      <c r="F127" s="147" t="s">
        <v>448</v>
      </c>
      <c r="G127" s="145" t="s">
        <v>696</v>
      </c>
      <c r="H127" s="144">
        <v>6</v>
      </c>
      <c r="I127" s="200"/>
      <c r="J127" s="201"/>
      <c r="K127" s="423"/>
      <c r="L127" s="1532"/>
      <c r="M127" s="1532"/>
      <c r="N127" s="269"/>
      <c r="O127" s="146"/>
      <c r="P127" s="146"/>
      <c r="Q127" s="146"/>
      <c r="R127" s="146"/>
      <c r="S127" s="146"/>
      <c r="T127" s="146"/>
      <c r="U127" s="146"/>
      <c r="V127" s="146"/>
      <c r="W127" s="146"/>
      <c r="X127" s="146"/>
      <c r="Y127" s="146"/>
      <c r="Z127" s="146"/>
      <c r="AA127" s="146"/>
      <c r="AB127" s="146"/>
      <c r="AC127" s="146"/>
      <c r="AD127" s="146"/>
    </row>
    <row r="128" spans="1:30" ht="72">
      <c r="A128" s="509"/>
      <c r="B128" s="509"/>
      <c r="C128" s="509"/>
      <c r="D128" s="385" t="s">
        <v>687</v>
      </c>
      <c r="E128" s="159">
        <v>45917</v>
      </c>
      <c r="F128" s="147" t="s">
        <v>448</v>
      </c>
      <c r="G128" s="145" t="s">
        <v>697</v>
      </c>
      <c r="H128" s="144">
        <v>6</v>
      </c>
      <c r="I128" s="200"/>
      <c r="J128" s="201"/>
      <c r="K128" s="423"/>
      <c r="L128" s="1532"/>
      <c r="M128" s="1532"/>
      <c r="N128" s="269"/>
      <c r="O128" s="146"/>
      <c r="P128" s="146"/>
      <c r="Q128" s="146"/>
      <c r="R128" s="146"/>
      <c r="S128" s="146"/>
      <c r="T128" s="146"/>
      <c r="U128" s="146"/>
      <c r="V128" s="146"/>
      <c r="W128" s="146"/>
      <c r="X128" s="146"/>
      <c r="Y128" s="146"/>
      <c r="Z128" s="146"/>
      <c r="AA128" s="146"/>
      <c r="AB128" s="146"/>
      <c r="AC128" s="146"/>
      <c r="AD128" s="146"/>
    </row>
    <row r="129" spans="1:30" ht="72">
      <c r="A129" s="509"/>
      <c r="B129" s="509"/>
      <c r="C129" s="509"/>
      <c r="D129" s="385" t="s">
        <v>527</v>
      </c>
      <c r="E129" s="144" t="s">
        <v>698</v>
      </c>
      <c r="F129" s="145" t="s">
        <v>448</v>
      </c>
      <c r="G129" s="145" t="s">
        <v>699</v>
      </c>
      <c r="H129" s="144">
        <v>2</v>
      </c>
      <c r="I129" s="200"/>
      <c r="J129" s="201"/>
      <c r="K129" s="423"/>
      <c r="L129" s="1532"/>
      <c r="M129" s="1532"/>
      <c r="N129" s="269"/>
      <c r="O129" s="146"/>
      <c r="P129" s="146"/>
      <c r="Q129" s="146"/>
      <c r="R129" s="146"/>
      <c r="S129" s="146"/>
      <c r="T129" s="146"/>
      <c r="U129" s="146"/>
      <c r="V129" s="146"/>
      <c r="W129" s="146"/>
      <c r="X129" s="146"/>
      <c r="Y129" s="146"/>
      <c r="Z129" s="146"/>
      <c r="AA129" s="146"/>
      <c r="AB129" s="146"/>
      <c r="AC129" s="146"/>
      <c r="AD129" s="146"/>
    </row>
    <row r="130" spans="1:30" ht="86.25">
      <c r="A130" s="264"/>
      <c r="B130" s="264"/>
      <c r="C130" s="264"/>
      <c r="D130" s="385" t="s">
        <v>700</v>
      </c>
      <c r="E130" s="144" t="s">
        <v>701</v>
      </c>
      <c r="F130" s="145" t="s">
        <v>702</v>
      </c>
      <c r="G130" s="145" t="s">
        <v>703</v>
      </c>
      <c r="H130" s="144">
        <v>2</v>
      </c>
      <c r="I130" s="200"/>
      <c r="J130" s="201"/>
      <c r="K130" s="423"/>
      <c r="L130" s="1533"/>
      <c r="M130" s="1533"/>
      <c r="N130" s="269"/>
      <c r="O130" s="146"/>
      <c r="P130" s="146"/>
      <c r="Q130" s="146"/>
      <c r="R130" s="146"/>
      <c r="S130" s="146"/>
      <c r="T130" s="146"/>
      <c r="U130" s="146"/>
      <c r="V130" s="146"/>
      <c r="W130" s="146"/>
      <c r="X130" s="146"/>
      <c r="Y130" s="146"/>
      <c r="Z130" s="146"/>
      <c r="AA130" s="146"/>
      <c r="AB130" s="146"/>
      <c r="AC130" s="146"/>
      <c r="AD130" s="146"/>
    </row>
    <row r="131" spans="1:30" ht="57.75" customHeight="1">
      <c r="A131" s="396">
        <v>18</v>
      </c>
      <c r="B131" s="568" t="s">
        <v>33</v>
      </c>
      <c r="C131" s="533" t="s">
        <v>583</v>
      </c>
      <c r="D131" s="562" t="s">
        <v>631</v>
      </c>
      <c r="E131" s="284">
        <v>45825</v>
      </c>
      <c r="F131" s="156" t="s">
        <v>632</v>
      </c>
      <c r="G131" s="156" t="s">
        <v>704</v>
      </c>
      <c r="H131" s="227">
        <v>4</v>
      </c>
      <c r="I131" s="247">
        <f>SUM(H131:H138)</f>
        <v>21</v>
      </c>
      <c r="J131" s="248" t="str">
        <f>IF(I131&gt;=20,"Memenuhi","Tidak Memenuhi")</f>
        <v>Memenuhi</v>
      </c>
      <c r="K131" s="338" t="s">
        <v>381</v>
      </c>
      <c r="L131" s="1531" t="s">
        <v>705</v>
      </c>
      <c r="M131" s="1531" t="s">
        <v>609</v>
      </c>
      <c r="N131" s="255"/>
    </row>
    <row r="132" spans="1:30" ht="82.5" customHeight="1">
      <c r="A132" s="410"/>
      <c r="B132" s="414"/>
      <c r="C132" s="379" t="s">
        <v>407</v>
      </c>
      <c r="D132" s="578" t="s">
        <v>706</v>
      </c>
      <c r="E132" s="282">
        <v>45734</v>
      </c>
      <c r="F132" s="160" t="s">
        <v>707</v>
      </c>
      <c r="G132" s="160" t="s">
        <v>708</v>
      </c>
      <c r="H132" s="285">
        <v>3</v>
      </c>
      <c r="I132" s="285" t="s">
        <v>709</v>
      </c>
      <c r="J132" s="253"/>
      <c r="K132" s="425"/>
      <c r="L132" s="1532"/>
      <c r="M132" s="1532"/>
      <c r="N132" s="255"/>
    </row>
    <row r="133" spans="1:30" ht="57.75">
      <c r="A133" s="410"/>
      <c r="B133" s="414"/>
      <c r="C133" s="494" t="s">
        <v>583</v>
      </c>
      <c r="D133" s="160" t="s">
        <v>710</v>
      </c>
      <c r="E133" s="212">
        <v>45775</v>
      </c>
      <c r="F133" s="160" t="s">
        <v>702</v>
      </c>
      <c r="G133" s="160" t="s">
        <v>711</v>
      </c>
      <c r="H133" s="285">
        <v>2</v>
      </c>
      <c r="I133" s="285" t="s">
        <v>709</v>
      </c>
      <c r="J133" s="253"/>
      <c r="K133" s="425"/>
      <c r="L133" s="1532"/>
      <c r="M133" s="1532"/>
      <c r="N133" s="255"/>
    </row>
    <row r="134" spans="1:30" ht="57.75">
      <c r="A134" s="410"/>
      <c r="B134" s="414"/>
      <c r="C134" s="379"/>
      <c r="D134" s="401" t="s">
        <v>450</v>
      </c>
      <c r="E134" s="161" t="s">
        <v>712</v>
      </c>
      <c r="F134" s="160" t="s">
        <v>702</v>
      </c>
      <c r="G134" s="160" t="s">
        <v>713</v>
      </c>
      <c r="H134" s="285">
        <v>2</v>
      </c>
      <c r="I134" s="285" t="s">
        <v>709</v>
      </c>
      <c r="J134" s="253"/>
      <c r="K134" s="425"/>
      <c r="L134" s="1532"/>
      <c r="M134" s="1532"/>
      <c r="N134" s="255"/>
    </row>
    <row r="135" spans="1:30" ht="57.75">
      <c r="A135" s="410"/>
      <c r="B135" s="414"/>
      <c r="C135" s="379"/>
      <c r="D135" s="160" t="s">
        <v>636</v>
      </c>
      <c r="E135" s="161" t="s">
        <v>714</v>
      </c>
      <c r="F135" s="160" t="s">
        <v>665</v>
      </c>
      <c r="G135" s="160" t="s">
        <v>715</v>
      </c>
      <c r="H135" s="285">
        <v>4</v>
      </c>
      <c r="I135" s="285"/>
      <c r="J135" s="253"/>
      <c r="K135" s="425"/>
      <c r="L135" s="1532"/>
      <c r="M135" s="1532"/>
      <c r="N135" s="255"/>
    </row>
    <row r="136" spans="1:30" ht="72">
      <c r="A136" s="410"/>
      <c r="B136" s="414"/>
      <c r="C136" s="379"/>
      <c r="D136" s="160" t="s">
        <v>455</v>
      </c>
      <c r="E136" s="161" t="s">
        <v>716</v>
      </c>
      <c r="F136" s="160" t="s">
        <v>717</v>
      </c>
      <c r="G136" s="160" t="s">
        <v>718</v>
      </c>
      <c r="H136" s="285">
        <v>2</v>
      </c>
      <c r="I136" s="285"/>
      <c r="J136" s="253"/>
      <c r="K136" s="425"/>
      <c r="L136" s="1532"/>
      <c r="M136" s="1532"/>
      <c r="N136" s="255"/>
    </row>
    <row r="137" spans="1:30" ht="57.75">
      <c r="A137" s="411"/>
      <c r="B137" s="415"/>
      <c r="C137" s="286"/>
      <c r="D137" s="160" t="s">
        <v>719</v>
      </c>
      <c r="E137" s="161" t="s">
        <v>720</v>
      </c>
      <c r="F137" s="160" t="s">
        <v>702</v>
      </c>
      <c r="G137" s="160" t="s">
        <v>721</v>
      </c>
      <c r="H137" s="285">
        <v>2</v>
      </c>
      <c r="I137" s="285"/>
      <c r="J137" s="253"/>
      <c r="K137" s="427"/>
      <c r="L137" s="1533"/>
      <c r="M137" s="1533"/>
      <c r="N137" s="255"/>
    </row>
    <row r="138" spans="1:30" ht="70.5" customHeight="1">
      <c r="A138" s="577">
        <v>19</v>
      </c>
      <c r="B138" s="456" t="s">
        <v>35</v>
      </c>
      <c r="C138" s="579" t="s">
        <v>583</v>
      </c>
      <c r="D138" s="453" t="s">
        <v>455</v>
      </c>
      <c r="E138" s="283" t="s">
        <v>716</v>
      </c>
      <c r="F138" s="279" t="s">
        <v>722</v>
      </c>
      <c r="G138" s="279" t="s">
        <v>723</v>
      </c>
      <c r="H138" s="280">
        <v>2</v>
      </c>
      <c r="I138" s="280">
        <v>4</v>
      </c>
      <c r="J138" s="267" t="str">
        <f>IF(I138&gt;=20,"Memenuhi","Tidak Memenuhi")</f>
        <v>Tidak Memenuhi</v>
      </c>
      <c r="K138" s="428" t="s">
        <v>381</v>
      </c>
      <c r="L138" s="1536" t="s">
        <v>626</v>
      </c>
      <c r="M138" s="1531" t="s">
        <v>724</v>
      </c>
      <c r="N138" s="255"/>
    </row>
    <row r="139" spans="1:30" ht="55.5" customHeight="1">
      <c r="A139" s="397"/>
      <c r="B139" s="407"/>
      <c r="C139" s="454" t="s">
        <v>725</v>
      </c>
      <c r="D139" s="384" t="s">
        <v>424</v>
      </c>
      <c r="E139" s="231" t="s">
        <v>425</v>
      </c>
      <c r="F139" s="198" t="s">
        <v>426</v>
      </c>
      <c r="G139" s="198" t="s">
        <v>726</v>
      </c>
      <c r="H139" s="231">
        <v>4</v>
      </c>
      <c r="I139" s="202"/>
      <c r="J139" s="418"/>
      <c r="K139" s="442"/>
      <c r="L139" s="1544"/>
      <c r="M139" s="1544"/>
      <c r="N139" s="138"/>
    </row>
    <row r="140" spans="1:30" ht="70.5" customHeight="1">
      <c r="A140" s="410"/>
      <c r="B140" s="457"/>
      <c r="C140" s="404"/>
      <c r="D140" s="401" t="s">
        <v>661</v>
      </c>
      <c r="E140" s="229" t="s">
        <v>590</v>
      </c>
      <c r="F140" s="281" t="s">
        <v>591</v>
      </c>
      <c r="G140" s="150" t="s">
        <v>727</v>
      </c>
      <c r="H140" s="229">
        <v>2</v>
      </c>
      <c r="I140" s="229"/>
      <c r="J140" s="152"/>
      <c r="K140" s="422"/>
      <c r="L140" s="1537"/>
      <c r="M140" s="1537"/>
      <c r="N140" s="255"/>
    </row>
    <row r="141" spans="1:30" ht="57.75" customHeight="1">
      <c r="A141" s="396">
        <v>20</v>
      </c>
      <c r="B141" s="568" t="s">
        <v>38</v>
      </c>
      <c r="C141" s="508" t="s">
        <v>583</v>
      </c>
      <c r="D141" s="383" t="s">
        <v>710</v>
      </c>
      <c r="E141" s="196" t="s">
        <v>728</v>
      </c>
      <c r="F141" s="162" t="s">
        <v>379</v>
      </c>
      <c r="G141" s="197" t="s">
        <v>729</v>
      </c>
      <c r="H141" s="136">
        <v>2</v>
      </c>
      <c r="I141" s="136">
        <f>SUM(H141:H149)</f>
        <v>28</v>
      </c>
      <c r="J141" s="199" t="str">
        <f>IF(I141&gt;=20,"Memenuhi","Tidak Memenuhi")</f>
        <v>Memenuhi</v>
      </c>
      <c r="K141" s="179" t="s">
        <v>381</v>
      </c>
      <c r="L141" s="1531" t="s">
        <v>626</v>
      </c>
      <c r="M141" s="1531" t="s">
        <v>609</v>
      </c>
      <c r="N141" s="255"/>
    </row>
    <row r="142" spans="1:30" ht="57.75">
      <c r="A142" s="398"/>
      <c r="B142" s="413"/>
      <c r="C142" s="509"/>
      <c r="D142" s="401" t="s">
        <v>450</v>
      </c>
      <c r="E142" s="195" t="s">
        <v>674</v>
      </c>
      <c r="F142" s="145" t="s">
        <v>379</v>
      </c>
      <c r="G142" s="145" t="s">
        <v>730</v>
      </c>
      <c r="H142" s="144">
        <v>2</v>
      </c>
      <c r="I142" s="144"/>
      <c r="J142" s="201"/>
      <c r="K142" s="423"/>
      <c r="L142" s="1532"/>
      <c r="M142" s="1532"/>
      <c r="N142" s="255"/>
    </row>
    <row r="143" spans="1:30" ht="72">
      <c r="A143" s="398"/>
      <c r="B143" s="413"/>
      <c r="C143" s="509"/>
      <c r="D143" s="385" t="s">
        <v>683</v>
      </c>
      <c r="E143" s="144" t="s">
        <v>714</v>
      </c>
      <c r="F143" s="145" t="s">
        <v>379</v>
      </c>
      <c r="G143" s="145" t="s">
        <v>731</v>
      </c>
      <c r="H143" s="144">
        <v>2</v>
      </c>
      <c r="I143" s="144"/>
      <c r="J143" s="201"/>
      <c r="K143" s="423"/>
      <c r="L143" s="1532"/>
      <c r="M143" s="1532"/>
      <c r="N143" s="255"/>
    </row>
    <row r="144" spans="1:30" ht="57.75">
      <c r="A144" s="398"/>
      <c r="B144" s="413"/>
      <c r="C144" s="358"/>
      <c r="D144" s="385" t="s">
        <v>636</v>
      </c>
      <c r="E144" s="144" t="s">
        <v>714</v>
      </c>
      <c r="F144" s="145" t="s">
        <v>663</v>
      </c>
      <c r="G144" s="145" t="s">
        <v>732</v>
      </c>
      <c r="H144" s="144">
        <v>4</v>
      </c>
      <c r="I144" s="200"/>
      <c r="J144" s="201"/>
      <c r="K144" s="423"/>
      <c r="L144" s="1532"/>
      <c r="M144" s="1532"/>
      <c r="N144" s="255"/>
    </row>
    <row r="145" spans="1:14" ht="72">
      <c r="A145" s="398"/>
      <c r="B145" s="413"/>
      <c r="C145" s="358"/>
      <c r="D145" s="385" t="s">
        <v>455</v>
      </c>
      <c r="E145" s="144" t="s">
        <v>716</v>
      </c>
      <c r="F145" s="145" t="s">
        <v>707</v>
      </c>
      <c r="G145" s="145" t="s">
        <v>733</v>
      </c>
      <c r="H145" s="144">
        <v>2</v>
      </c>
      <c r="I145" s="200"/>
      <c r="J145" s="201"/>
      <c r="K145" s="423"/>
      <c r="L145" s="1532"/>
      <c r="M145" s="1532"/>
      <c r="N145" s="255"/>
    </row>
    <row r="146" spans="1:14" ht="101.25">
      <c r="A146" s="398"/>
      <c r="B146" s="413"/>
      <c r="C146" s="358"/>
      <c r="D146" s="385" t="s">
        <v>463</v>
      </c>
      <c r="E146" s="144" t="s">
        <v>396</v>
      </c>
      <c r="F146" s="145" t="s">
        <v>379</v>
      </c>
      <c r="G146" s="145" t="s">
        <v>734</v>
      </c>
      <c r="H146" s="144">
        <v>6</v>
      </c>
      <c r="I146" s="200"/>
      <c r="J146" s="201"/>
      <c r="K146" s="423"/>
      <c r="L146" s="1532"/>
      <c r="M146" s="1532"/>
      <c r="N146" s="255"/>
    </row>
    <row r="147" spans="1:14" ht="86.25">
      <c r="A147" s="398"/>
      <c r="B147" s="413"/>
      <c r="C147" s="358"/>
      <c r="D147" s="385" t="s">
        <v>735</v>
      </c>
      <c r="E147" s="144" t="s">
        <v>736</v>
      </c>
      <c r="F147" s="145" t="s">
        <v>448</v>
      </c>
      <c r="G147" s="145" t="s">
        <v>737</v>
      </c>
      <c r="H147" s="144">
        <v>2</v>
      </c>
      <c r="I147" s="200"/>
      <c r="J147" s="201"/>
      <c r="K147" s="423"/>
      <c r="L147" s="1532"/>
      <c r="M147" s="1532"/>
      <c r="N147" s="255"/>
    </row>
    <row r="148" spans="1:14" ht="101.25">
      <c r="A148" s="398"/>
      <c r="B148" s="413"/>
      <c r="C148" s="358"/>
      <c r="D148" s="385" t="s">
        <v>669</v>
      </c>
      <c r="E148" s="144" t="s">
        <v>738</v>
      </c>
      <c r="F148" s="145" t="s">
        <v>702</v>
      </c>
      <c r="G148" s="145" t="s">
        <v>739</v>
      </c>
      <c r="H148" s="144">
        <v>6</v>
      </c>
      <c r="I148" s="200"/>
      <c r="J148" s="201"/>
      <c r="K148" s="423"/>
      <c r="L148" s="1532"/>
      <c r="M148" s="1532"/>
      <c r="N148" s="255"/>
    </row>
    <row r="149" spans="1:14" ht="86.25">
      <c r="A149" s="536"/>
      <c r="B149" s="537"/>
      <c r="C149" s="576"/>
      <c r="D149" s="385" t="s">
        <v>509</v>
      </c>
      <c r="E149" s="144" t="s">
        <v>740</v>
      </c>
      <c r="F149" s="145" t="s">
        <v>379</v>
      </c>
      <c r="G149" s="145" t="s">
        <v>741</v>
      </c>
      <c r="H149" s="144">
        <v>2</v>
      </c>
      <c r="I149" s="200"/>
      <c r="J149" s="201"/>
      <c r="K149" s="423"/>
      <c r="L149" s="1533"/>
      <c r="M149" s="1533"/>
      <c r="N149" s="255"/>
    </row>
    <row r="150" spans="1:14" ht="81" customHeight="1">
      <c r="A150" s="555">
        <v>21</v>
      </c>
      <c r="B150" s="572" t="s">
        <v>222</v>
      </c>
      <c r="C150" s="533" t="s">
        <v>742</v>
      </c>
      <c r="D150" s="383" t="s">
        <v>480</v>
      </c>
      <c r="E150" s="226" t="s">
        <v>559</v>
      </c>
      <c r="F150" s="156" t="s">
        <v>650</v>
      </c>
      <c r="G150" s="156" t="s">
        <v>743</v>
      </c>
      <c r="H150" s="227">
        <v>25</v>
      </c>
      <c r="I150" s="247">
        <f>H150</f>
        <v>25</v>
      </c>
      <c r="J150" s="417" t="str">
        <f>IF(I150&gt;=20,"Memenuhi","Tidak Memenuhi")</f>
        <v>Memenuhi</v>
      </c>
      <c r="K150" s="417" t="s">
        <v>381</v>
      </c>
      <c r="L150" s="1541" t="s">
        <v>382</v>
      </c>
      <c r="M150" s="1541" t="s">
        <v>744</v>
      </c>
      <c r="N150" s="208"/>
    </row>
    <row r="151" spans="1:14" ht="115.5" hidden="1" customHeight="1">
      <c r="A151" s="410">
        <v>22</v>
      </c>
      <c r="B151" s="573" t="s">
        <v>226</v>
      </c>
      <c r="C151" s="575"/>
      <c r="D151" s="574" t="s">
        <v>745</v>
      </c>
      <c r="E151" s="213" t="s">
        <v>674</v>
      </c>
      <c r="F151" s="135" t="s">
        <v>448</v>
      </c>
      <c r="G151" s="135" t="s">
        <v>746</v>
      </c>
      <c r="H151" s="136">
        <v>2</v>
      </c>
      <c r="I151" s="166">
        <f>SUM(H151:H159)</f>
        <v>26</v>
      </c>
      <c r="J151" s="571" t="str">
        <f>IF(I151&gt;=20,"Memenuhi","Tidak Memenuhi")</f>
        <v>Memenuhi</v>
      </c>
      <c r="K151" s="571"/>
      <c r="L151" s="1542"/>
      <c r="M151" s="1542"/>
      <c r="N151" s="208"/>
    </row>
    <row r="152" spans="1:14" ht="57.75" hidden="1" customHeight="1">
      <c r="A152" s="410"/>
      <c r="B152" s="502"/>
      <c r="C152" s="379"/>
      <c r="D152" s="319" t="s">
        <v>378</v>
      </c>
      <c r="E152" s="214" t="s">
        <v>728</v>
      </c>
      <c r="F152" s="147" t="s">
        <v>747</v>
      </c>
      <c r="G152" s="147" t="s">
        <v>748</v>
      </c>
      <c r="H152" s="153">
        <v>2</v>
      </c>
      <c r="I152" s="153"/>
      <c r="J152" s="153"/>
      <c r="K152" s="153"/>
      <c r="L152" s="1542"/>
      <c r="M152" s="1542"/>
      <c r="N152" s="208"/>
    </row>
    <row r="153" spans="1:14" ht="86.25" hidden="1" customHeight="1">
      <c r="A153" s="410"/>
      <c r="B153" s="502"/>
      <c r="C153" s="379"/>
      <c r="D153" s="319" t="s">
        <v>749</v>
      </c>
      <c r="E153" s="214" t="s">
        <v>750</v>
      </c>
      <c r="F153" s="147" t="s">
        <v>457</v>
      </c>
      <c r="G153" s="147" t="s">
        <v>751</v>
      </c>
      <c r="H153" s="153">
        <v>2</v>
      </c>
      <c r="I153" s="153"/>
      <c r="J153" s="153"/>
      <c r="K153" s="153"/>
      <c r="L153" s="1542"/>
      <c r="M153" s="1542"/>
      <c r="N153" s="208"/>
    </row>
    <row r="154" spans="1:14" ht="86.25" hidden="1" customHeight="1">
      <c r="A154" s="410"/>
      <c r="B154" s="502"/>
      <c r="C154" s="379"/>
      <c r="D154" s="319" t="s">
        <v>752</v>
      </c>
      <c r="E154" s="214" t="s">
        <v>753</v>
      </c>
      <c r="F154" s="147" t="s">
        <v>457</v>
      </c>
      <c r="G154" s="147" t="s">
        <v>754</v>
      </c>
      <c r="H154" s="153">
        <v>3</v>
      </c>
      <c r="I154" s="153"/>
      <c r="J154" s="153"/>
      <c r="K154" s="153"/>
      <c r="L154" s="1542"/>
      <c r="M154" s="1542"/>
      <c r="N154" s="208"/>
    </row>
    <row r="155" spans="1:14" ht="101.25" hidden="1" customHeight="1">
      <c r="A155" s="410"/>
      <c r="B155" s="502"/>
      <c r="C155" s="379"/>
      <c r="D155" s="319" t="s">
        <v>755</v>
      </c>
      <c r="E155" s="214" t="s">
        <v>756</v>
      </c>
      <c r="F155" s="147" t="s">
        <v>457</v>
      </c>
      <c r="G155" s="147" t="s">
        <v>757</v>
      </c>
      <c r="H155" s="153">
        <v>3</v>
      </c>
      <c r="I155" s="153"/>
      <c r="J155" s="153"/>
      <c r="K155" s="153"/>
      <c r="L155" s="1542"/>
      <c r="M155" s="1542"/>
      <c r="N155" s="208"/>
    </row>
    <row r="156" spans="1:14" ht="57.75" hidden="1" customHeight="1">
      <c r="A156" s="410"/>
      <c r="B156" s="502"/>
      <c r="C156" s="379"/>
      <c r="D156" s="319" t="s">
        <v>758</v>
      </c>
      <c r="E156" s="214" t="s">
        <v>759</v>
      </c>
      <c r="F156" s="147" t="s">
        <v>760</v>
      </c>
      <c r="G156" s="147" t="s">
        <v>761</v>
      </c>
      <c r="H156" s="153">
        <v>4</v>
      </c>
      <c r="I156" s="153"/>
      <c r="J156" s="153"/>
      <c r="K156" s="153"/>
      <c r="L156" s="1542"/>
      <c r="M156" s="1542"/>
      <c r="N156" s="208"/>
    </row>
    <row r="157" spans="1:14" ht="57.75" hidden="1" customHeight="1">
      <c r="A157" s="410"/>
      <c r="B157" s="502"/>
      <c r="C157" s="379"/>
      <c r="D157" s="319" t="s">
        <v>762</v>
      </c>
      <c r="E157" s="214" t="s">
        <v>763</v>
      </c>
      <c r="F157" s="147" t="s">
        <v>760</v>
      </c>
      <c r="G157" s="147"/>
      <c r="H157" s="153">
        <v>4</v>
      </c>
      <c r="I157" s="153"/>
      <c r="J157" s="153"/>
      <c r="K157" s="153"/>
      <c r="L157" s="1542"/>
      <c r="M157" s="1542"/>
      <c r="N157" s="208"/>
    </row>
    <row r="158" spans="1:14" ht="72" hidden="1" customHeight="1">
      <c r="A158" s="410"/>
      <c r="B158" s="502"/>
      <c r="C158" s="379"/>
      <c r="D158" s="319" t="s">
        <v>764</v>
      </c>
      <c r="E158" s="154">
        <v>45831</v>
      </c>
      <c r="F158" s="147" t="s">
        <v>379</v>
      </c>
      <c r="G158" s="147" t="s">
        <v>765</v>
      </c>
      <c r="H158" s="153">
        <v>3</v>
      </c>
      <c r="I158" s="153"/>
      <c r="J158" s="153"/>
      <c r="K158" s="153"/>
      <c r="L158" s="1542"/>
      <c r="M158" s="1542"/>
      <c r="N158" s="208"/>
    </row>
    <row r="159" spans="1:14" ht="101.25" hidden="1" customHeight="1">
      <c r="A159" s="410"/>
      <c r="B159" s="520"/>
      <c r="C159" s="379"/>
      <c r="D159" s="319" t="s">
        <v>766</v>
      </c>
      <c r="E159" s="154">
        <v>45848</v>
      </c>
      <c r="F159" s="147" t="s">
        <v>379</v>
      </c>
      <c r="G159" s="147" t="s">
        <v>767</v>
      </c>
      <c r="H159" s="153">
        <v>3</v>
      </c>
      <c r="I159" s="153"/>
      <c r="J159" s="153"/>
      <c r="K159" s="153"/>
      <c r="L159" s="1542"/>
      <c r="M159" s="1542"/>
      <c r="N159" s="208"/>
    </row>
    <row r="160" spans="1:14" ht="78.75" customHeight="1">
      <c r="A160" s="411"/>
      <c r="B160" s="573"/>
      <c r="C160" s="510" t="s">
        <v>583</v>
      </c>
      <c r="D160" s="401" t="s">
        <v>661</v>
      </c>
      <c r="E160" s="229" t="s">
        <v>590</v>
      </c>
      <c r="F160" s="281" t="s">
        <v>591</v>
      </c>
      <c r="G160" s="150" t="s">
        <v>727</v>
      </c>
      <c r="H160" s="229">
        <v>2</v>
      </c>
      <c r="I160" s="229"/>
      <c r="J160" s="437"/>
      <c r="K160" s="437"/>
      <c r="L160" s="1543"/>
      <c r="M160" s="1543"/>
      <c r="N160" s="255"/>
    </row>
    <row r="161" spans="1:30" ht="82.5" customHeight="1">
      <c r="A161" s="527">
        <v>22</v>
      </c>
      <c r="B161" s="370" t="s">
        <v>40</v>
      </c>
      <c r="C161" s="564" t="s">
        <v>583</v>
      </c>
      <c r="D161" s="156" t="s">
        <v>417</v>
      </c>
      <c r="E161" s="226">
        <v>45791</v>
      </c>
      <c r="F161" s="156" t="s">
        <v>418</v>
      </c>
      <c r="G161" s="156" t="s">
        <v>768</v>
      </c>
      <c r="H161" s="227">
        <v>20</v>
      </c>
      <c r="I161" s="247">
        <f>H161+H162</f>
        <v>22</v>
      </c>
      <c r="J161" s="430" t="str">
        <f>IF(I161&gt;=20,"Memenuhi","Tidak Memenuhi")</f>
        <v>Memenuhi</v>
      </c>
      <c r="K161" s="551" t="s">
        <v>381</v>
      </c>
      <c r="L161" s="1538" t="s">
        <v>626</v>
      </c>
      <c r="M161" s="1538" t="s">
        <v>769</v>
      </c>
      <c r="N161" s="208"/>
    </row>
    <row r="162" spans="1:30" ht="129" customHeight="1">
      <c r="A162" s="415"/>
      <c r="B162" s="382"/>
      <c r="C162" s="499"/>
      <c r="D162" s="286" t="s">
        <v>710</v>
      </c>
      <c r="E162" s="287">
        <v>45775</v>
      </c>
      <c r="F162" s="210" t="s">
        <v>379</v>
      </c>
      <c r="G162" s="246" t="s">
        <v>770</v>
      </c>
      <c r="H162" s="288">
        <v>2</v>
      </c>
      <c r="I162" s="289"/>
      <c r="J162" s="431"/>
      <c r="K162" s="431"/>
      <c r="L162" s="1540"/>
      <c r="M162" s="1540"/>
      <c r="N162" s="208"/>
    </row>
    <row r="163" spans="1:30" ht="115.5" customHeight="1">
      <c r="A163" s="555">
        <v>23</v>
      </c>
      <c r="B163" s="570" t="s">
        <v>42</v>
      </c>
      <c r="C163" s="508" t="s">
        <v>583</v>
      </c>
      <c r="D163" s="383" t="s">
        <v>771</v>
      </c>
      <c r="E163" s="226" t="s">
        <v>772</v>
      </c>
      <c r="F163" s="156" t="s">
        <v>448</v>
      </c>
      <c r="G163" s="156" t="s">
        <v>773</v>
      </c>
      <c r="H163" s="227">
        <v>4</v>
      </c>
      <c r="I163" s="247">
        <f>SUM(H163:H171)</f>
        <v>31</v>
      </c>
      <c r="J163" s="248" t="str">
        <f>IF(I163&gt;=20,"Memenuhi","Tidak Memenuhi")</f>
        <v>Memenuhi</v>
      </c>
      <c r="K163" s="417" t="s">
        <v>381</v>
      </c>
      <c r="L163" s="1538" t="s">
        <v>382</v>
      </c>
      <c r="M163" s="1531" t="s">
        <v>609</v>
      </c>
      <c r="N163" s="255"/>
    </row>
    <row r="164" spans="1:30" ht="43.5">
      <c r="A164" s="410"/>
      <c r="B164" s="414"/>
      <c r="C164" s="379"/>
      <c r="D164" s="401" t="s">
        <v>624</v>
      </c>
      <c r="E164" s="228" t="s">
        <v>774</v>
      </c>
      <c r="F164" s="150" t="s">
        <v>448</v>
      </c>
      <c r="G164" s="150" t="s">
        <v>775</v>
      </c>
      <c r="H164" s="229">
        <v>2</v>
      </c>
      <c r="I164" s="229"/>
      <c r="J164" s="253"/>
      <c r="K164" s="433"/>
      <c r="L164" s="1539"/>
      <c r="M164" s="1532"/>
      <c r="N164" s="255"/>
    </row>
    <row r="165" spans="1:30" ht="72">
      <c r="A165" s="410"/>
      <c r="B165" s="414"/>
      <c r="C165" s="379"/>
      <c r="D165" s="403" t="s">
        <v>654</v>
      </c>
      <c r="E165" s="290" t="s">
        <v>474</v>
      </c>
      <c r="F165" s="168" t="s">
        <v>776</v>
      </c>
      <c r="G165" s="168" t="s">
        <v>777</v>
      </c>
      <c r="H165" s="291">
        <v>6</v>
      </c>
      <c r="I165" s="229"/>
      <c r="J165" s="253"/>
      <c r="K165" s="433"/>
      <c r="L165" s="1539"/>
      <c r="M165" s="1532"/>
      <c r="N165" s="255"/>
    </row>
    <row r="166" spans="1:30" ht="57.75">
      <c r="A166" s="410"/>
      <c r="B166" s="414"/>
      <c r="C166" s="379"/>
      <c r="D166" s="401" t="s">
        <v>450</v>
      </c>
      <c r="E166" s="292" t="s">
        <v>778</v>
      </c>
      <c r="F166" s="168" t="s">
        <v>448</v>
      </c>
      <c r="G166" s="168" t="s">
        <v>779</v>
      </c>
      <c r="H166" s="291">
        <v>2</v>
      </c>
      <c r="I166" s="229"/>
      <c r="J166" s="253"/>
      <c r="K166" s="433"/>
      <c r="L166" s="1539"/>
      <c r="M166" s="1532"/>
      <c r="N166" s="255"/>
    </row>
    <row r="167" spans="1:30" ht="43.5">
      <c r="A167" s="410"/>
      <c r="B167" s="414"/>
      <c r="C167" s="379"/>
      <c r="D167" s="403" t="s">
        <v>758</v>
      </c>
      <c r="E167" s="292" t="s">
        <v>780</v>
      </c>
      <c r="F167" s="168" t="s">
        <v>629</v>
      </c>
      <c r="G167" s="168" t="s">
        <v>781</v>
      </c>
      <c r="H167" s="291">
        <v>4</v>
      </c>
      <c r="I167" s="229"/>
      <c r="J167" s="253"/>
      <c r="K167" s="433"/>
      <c r="L167" s="1539"/>
      <c r="M167" s="1532"/>
      <c r="N167" s="255"/>
    </row>
    <row r="168" spans="1:30" ht="72">
      <c r="A168" s="410"/>
      <c r="B168" s="414"/>
      <c r="C168" s="379"/>
      <c r="D168" s="403" t="s">
        <v>764</v>
      </c>
      <c r="E168" s="292" t="s">
        <v>782</v>
      </c>
      <c r="F168" s="168" t="s">
        <v>379</v>
      </c>
      <c r="G168" s="168" t="s">
        <v>783</v>
      </c>
      <c r="H168" s="291">
        <v>3</v>
      </c>
      <c r="I168" s="229"/>
      <c r="J168" s="253"/>
      <c r="K168" s="433"/>
      <c r="L168" s="1539"/>
      <c r="M168" s="1532"/>
      <c r="N168" s="255"/>
    </row>
    <row r="169" spans="1:30" ht="72">
      <c r="A169" s="410"/>
      <c r="B169" s="414"/>
      <c r="C169" s="379"/>
      <c r="D169" s="403" t="s">
        <v>638</v>
      </c>
      <c r="E169" s="292" t="s">
        <v>784</v>
      </c>
      <c r="F169" s="168" t="s">
        <v>379</v>
      </c>
      <c r="G169" s="168" t="s">
        <v>785</v>
      </c>
      <c r="H169" s="291">
        <v>2</v>
      </c>
      <c r="I169" s="229"/>
      <c r="J169" s="253"/>
      <c r="K169" s="433"/>
      <c r="L169" s="1539"/>
      <c r="M169" s="1532"/>
      <c r="N169" s="255"/>
    </row>
    <row r="170" spans="1:30" ht="57.75">
      <c r="A170" s="410"/>
      <c r="B170" s="414"/>
      <c r="C170" s="379"/>
      <c r="D170" s="403" t="s">
        <v>631</v>
      </c>
      <c r="E170" s="292" t="s">
        <v>786</v>
      </c>
      <c r="F170" s="168" t="s">
        <v>632</v>
      </c>
      <c r="G170" s="168" t="s">
        <v>787</v>
      </c>
      <c r="H170" s="291">
        <v>4</v>
      </c>
      <c r="I170" s="229"/>
      <c r="J170" s="253"/>
      <c r="K170" s="433"/>
      <c r="L170" s="1539"/>
      <c r="M170" s="1532"/>
      <c r="N170" s="255"/>
    </row>
    <row r="171" spans="1:30" ht="57.75">
      <c r="A171" s="410"/>
      <c r="B171" s="414"/>
      <c r="C171" s="379"/>
      <c r="D171" s="403" t="s">
        <v>636</v>
      </c>
      <c r="E171" s="292" t="s">
        <v>784</v>
      </c>
      <c r="F171" s="168" t="s">
        <v>632</v>
      </c>
      <c r="G171" s="168" t="s">
        <v>788</v>
      </c>
      <c r="H171" s="291">
        <v>4</v>
      </c>
      <c r="I171" s="229"/>
      <c r="J171" s="253"/>
      <c r="K171" s="433"/>
      <c r="L171" s="1539"/>
      <c r="M171" s="1532"/>
      <c r="N171" s="255"/>
    </row>
    <row r="172" spans="1:30" ht="86.25">
      <c r="A172" s="410"/>
      <c r="B172" s="414"/>
      <c r="C172" s="168" t="s">
        <v>742</v>
      </c>
      <c r="D172" s="401" t="s">
        <v>789</v>
      </c>
      <c r="E172" s="228" t="s">
        <v>790</v>
      </c>
      <c r="F172" s="150" t="s">
        <v>791</v>
      </c>
      <c r="G172" s="150" t="s">
        <v>792</v>
      </c>
      <c r="H172" s="229">
        <v>2</v>
      </c>
      <c r="I172" s="229"/>
      <c r="J172" s="253"/>
      <c r="K172" s="433"/>
      <c r="L172" s="1539"/>
      <c r="M172" s="1532"/>
      <c r="N172" s="255"/>
    </row>
    <row r="173" spans="1:30" ht="68.25" customHeight="1">
      <c r="A173" s="410"/>
      <c r="B173" s="414"/>
      <c r="C173" s="379"/>
      <c r="D173" s="401" t="s">
        <v>793</v>
      </c>
      <c r="E173" s="228" t="s">
        <v>794</v>
      </c>
      <c r="F173" s="150" t="s">
        <v>791</v>
      </c>
      <c r="G173" s="150" t="s">
        <v>795</v>
      </c>
      <c r="H173" s="229">
        <v>3</v>
      </c>
      <c r="I173" s="229"/>
      <c r="J173" s="253"/>
      <c r="K173" s="433"/>
      <c r="L173" s="1539"/>
      <c r="M173" s="1532"/>
      <c r="N173" s="255"/>
    </row>
    <row r="174" spans="1:30" ht="86.25">
      <c r="A174" s="411"/>
      <c r="B174" s="415"/>
      <c r="C174" s="286"/>
      <c r="D174" s="401" t="s">
        <v>796</v>
      </c>
      <c r="E174" s="228" t="s">
        <v>797</v>
      </c>
      <c r="F174" s="150" t="s">
        <v>791</v>
      </c>
      <c r="G174" s="150" t="s">
        <v>798</v>
      </c>
      <c r="H174" s="229">
        <v>3</v>
      </c>
      <c r="I174" s="229"/>
      <c r="J174" s="253"/>
      <c r="K174" s="438"/>
      <c r="L174" s="1540"/>
      <c r="M174" s="1533"/>
      <c r="N174" s="255"/>
    </row>
    <row r="175" spans="1:30" ht="57.75" customHeight="1">
      <c r="A175" s="567">
        <v>24</v>
      </c>
      <c r="B175" s="565" t="s">
        <v>44</v>
      </c>
      <c r="C175" s="533" t="s">
        <v>583</v>
      </c>
      <c r="D175" s="566" t="s">
        <v>710</v>
      </c>
      <c r="E175" s="296">
        <v>45775</v>
      </c>
      <c r="F175" s="297" t="s">
        <v>379</v>
      </c>
      <c r="G175" s="297" t="s">
        <v>799</v>
      </c>
      <c r="H175" s="298">
        <v>2</v>
      </c>
      <c r="I175" s="299">
        <f>SUM(H175:H180)</f>
        <v>64</v>
      </c>
      <c r="J175" s="299" t="str">
        <f>IF(I175&gt;=20,"Memenuhi","Tidak Memenuhi")</f>
        <v>Memenuhi</v>
      </c>
      <c r="K175" s="569" t="s">
        <v>381</v>
      </c>
      <c r="L175" s="1531" t="s">
        <v>382</v>
      </c>
      <c r="M175" s="1531" t="s">
        <v>800</v>
      </c>
      <c r="N175" s="208"/>
    </row>
    <row r="176" spans="1:30" ht="72">
      <c r="A176" s="398"/>
      <c r="B176" s="413"/>
      <c r="C176" s="509"/>
      <c r="D176" s="488" t="s">
        <v>683</v>
      </c>
      <c r="E176" s="294" t="s">
        <v>714</v>
      </c>
      <c r="F176" s="264" t="s">
        <v>801</v>
      </c>
      <c r="G176" s="264" t="s">
        <v>802</v>
      </c>
      <c r="H176" s="294">
        <v>2</v>
      </c>
      <c r="I176" s="293"/>
      <c r="J176" s="295"/>
      <c r="K176" s="432"/>
      <c r="L176" s="1532"/>
      <c r="M176" s="1532"/>
      <c r="N176" s="211"/>
      <c r="O176" s="146"/>
      <c r="P176" s="146"/>
      <c r="Q176" s="146"/>
      <c r="R176" s="146"/>
      <c r="S176" s="146"/>
      <c r="T176" s="146"/>
      <c r="U176" s="146"/>
      <c r="V176" s="146"/>
      <c r="W176" s="146"/>
      <c r="X176" s="146"/>
      <c r="Y176" s="146"/>
      <c r="Z176" s="146"/>
      <c r="AA176" s="146"/>
      <c r="AB176" s="146"/>
      <c r="AC176" s="146"/>
      <c r="AD176" s="146"/>
    </row>
    <row r="177" spans="1:30" ht="72">
      <c r="A177" s="398"/>
      <c r="B177" s="413"/>
      <c r="C177" s="509"/>
      <c r="D177" s="488" t="s">
        <v>455</v>
      </c>
      <c r="E177" s="294" t="s">
        <v>716</v>
      </c>
      <c r="F177" s="264" t="s">
        <v>722</v>
      </c>
      <c r="G177" s="264" t="s">
        <v>803</v>
      </c>
      <c r="H177" s="294">
        <v>2</v>
      </c>
      <c r="I177" s="293"/>
      <c r="J177" s="295"/>
      <c r="K177" s="432"/>
      <c r="L177" s="1532"/>
      <c r="M177" s="1532"/>
      <c r="N177" s="211"/>
      <c r="O177" s="146"/>
      <c r="P177" s="146"/>
      <c r="Q177" s="146"/>
      <c r="R177" s="146"/>
      <c r="S177" s="146"/>
      <c r="T177" s="146"/>
      <c r="U177" s="146"/>
      <c r="V177" s="146"/>
      <c r="W177" s="146"/>
      <c r="X177" s="146"/>
      <c r="Y177" s="146"/>
      <c r="Z177" s="146"/>
      <c r="AA177" s="146"/>
      <c r="AB177" s="146"/>
      <c r="AC177" s="146"/>
      <c r="AD177" s="146"/>
    </row>
    <row r="178" spans="1:30" ht="86.25">
      <c r="A178" s="398"/>
      <c r="B178" s="413"/>
      <c r="C178" s="509"/>
      <c r="D178" s="488" t="s">
        <v>804</v>
      </c>
      <c r="E178" s="294" t="s">
        <v>738</v>
      </c>
      <c r="F178" s="264" t="s">
        <v>702</v>
      </c>
      <c r="G178" s="264" t="s">
        <v>805</v>
      </c>
      <c r="H178" s="294">
        <v>6</v>
      </c>
      <c r="I178" s="293"/>
      <c r="J178" s="295"/>
      <c r="K178" s="432"/>
      <c r="L178" s="1532"/>
      <c r="M178" s="1532"/>
      <c r="N178" s="211"/>
      <c r="O178" s="146"/>
      <c r="P178" s="146"/>
      <c r="Q178" s="146"/>
      <c r="R178" s="146"/>
      <c r="S178" s="146"/>
      <c r="T178" s="146"/>
      <c r="U178" s="146"/>
      <c r="V178" s="146"/>
      <c r="W178" s="146"/>
      <c r="X178" s="146"/>
      <c r="Y178" s="146"/>
      <c r="Z178" s="146"/>
      <c r="AA178" s="146"/>
      <c r="AB178" s="146"/>
      <c r="AC178" s="146"/>
      <c r="AD178" s="146"/>
    </row>
    <row r="179" spans="1:30" ht="72">
      <c r="A179" s="398"/>
      <c r="B179" s="413"/>
      <c r="C179" s="264"/>
      <c r="D179" s="488" t="s">
        <v>645</v>
      </c>
      <c r="E179" s="294" t="s">
        <v>740</v>
      </c>
      <c r="F179" s="264" t="s">
        <v>379</v>
      </c>
      <c r="G179" s="264" t="s">
        <v>806</v>
      </c>
      <c r="H179" s="294">
        <v>2</v>
      </c>
      <c r="I179" s="293"/>
      <c r="J179" s="295"/>
      <c r="K179" s="432"/>
      <c r="L179" s="1532"/>
      <c r="M179" s="1532"/>
      <c r="N179" s="211"/>
      <c r="O179" s="146"/>
      <c r="P179" s="146"/>
      <c r="Q179" s="146"/>
      <c r="R179" s="146"/>
      <c r="S179" s="146"/>
      <c r="T179" s="146"/>
      <c r="U179" s="146"/>
      <c r="V179" s="146"/>
      <c r="W179" s="146"/>
      <c r="X179" s="146"/>
      <c r="Y179" s="146"/>
      <c r="Z179" s="146"/>
      <c r="AA179" s="146"/>
      <c r="AB179" s="146"/>
      <c r="AC179" s="146"/>
      <c r="AD179" s="146"/>
    </row>
    <row r="180" spans="1:30" ht="43.5">
      <c r="A180" s="536"/>
      <c r="B180" s="536"/>
      <c r="C180" s="540" t="s">
        <v>742</v>
      </c>
      <c r="D180" s="264" t="s">
        <v>807</v>
      </c>
      <c r="E180" s="294" t="s">
        <v>808</v>
      </c>
      <c r="F180" s="264" t="s">
        <v>809</v>
      </c>
      <c r="G180" s="264" t="s">
        <v>810</v>
      </c>
      <c r="H180" s="294">
        <v>50</v>
      </c>
      <c r="I180" s="293"/>
      <c r="J180" s="295"/>
      <c r="K180" s="432"/>
      <c r="L180" s="1533"/>
      <c r="M180" s="1533"/>
      <c r="N180" s="211"/>
      <c r="O180" s="146"/>
      <c r="P180" s="146"/>
      <c r="Q180" s="146"/>
      <c r="R180" s="146"/>
      <c r="S180" s="146"/>
      <c r="T180" s="146"/>
      <c r="U180" s="146"/>
      <c r="V180" s="146"/>
      <c r="W180" s="146"/>
      <c r="X180" s="146"/>
      <c r="Y180" s="146"/>
      <c r="Z180" s="146"/>
      <c r="AA180" s="146"/>
      <c r="AB180" s="146"/>
      <c r="AC180" s="146"/>
      <c r="AD180" s="146"/>
    </row>
    <row r="181" spans="1:30" ht="72" customHeight="1">
      <c r="A181" s="413">
        <v>25</v>
      </c>
      <c r="B181" s="506" t="s">
        <v>811</v>
      </c>
      <c r="C181" s="508" t="s">
        <v>583</v>
      </c>
      <c r="D181" s="562" t="s">
        <v>812</v>
      </c>
      <c r="E181" s="171" t="s">
        <v>674</v>
      </c>
      <c r="F181" s="172" t="s">
        <v>379</v>
      </c>
      <c r="G181" s="172" t="s">
        <v>813</v>
      </c>
      <c r="H181" s="171">
        <v>2</v>
      </c>
      <c r="I181" s="171">
        <f>SUM(H181:H190)</f>
        <v>30</v>
      </c>
      <c r="J181" s="179" t="str">
        <f>IF(I181&gt;=20,"Memenuhi","Tidak Memenuhi")</f>
        <v>Memenuhi</v>
      </c>
      <c r="K181" s="179" t="s">
        <v>381</v>
      </c>
      <c r="L181" s="1531" t="s">
        <v>626</v>
      </c>
      <c r="M181" s="1531" t="s">
        <v>609</v>
      </c>
      <c r="N181" s="269"/>
      <c r="O181" s="146"/>
      <c r="P181" s="146"/>
      <c r="Q181" s="146"/>
      <c r="R181" s="146"/>
      <c r="S181" s="146"/>
      <c r="T181" s="146"/>
      <c r="U181" s="146"/>
      <c r="V181" s="146"/>
      <c r="W181" s="146"/>
      <c r="X181" s="146"/>
      <c r="Y181" s="146"/>
      <c r="Z181" s="146"/>
      <c r="AA181" s="146"/>
      <c r="AB181" s="146"/>
      <c r="AC181" s="146"/>
      <c r="AD181" s="146"/>
    </row>
    <row r="182" spans="1:30" ht="43.5">
      <c r="A182" s="413"/>
      <c r="B182" s="493"/>
      <c r="C182" s="379"/>
      <c r="D182" s="563" t="s">
        <v>624</v>
      </c>
      <c r="E182" s="169">
        <v>45775</v>
      </c>
      <c r="F182" s="164" t="s">
        <v>379</v>
      </c>
      <c r="G182" s="164" t="s">
        <v>814</v>
      </c>
      <c r="H182" s="173">
        <v>2</v>
      </c>
      <c r="I182" s="217"/>
      <c r="J182" s="218"/>
      <c r="K182" s="426"/>
      <c r="L182" s="1532"/>
      <c r="M182" s="1532"/>
      <c r="N182" s="269"/>
      <c r="O182" s="146"/>
      <c r="P182" s="146"/>
      <c r="Q182" s="146"/>
      <c r="R182" s="146"/>
      <c r="S182" s="146"/>
      <c r="T182" s="146"/>
      <c r="U182" s="146"/>
      <c r="V182" s="146"/>
      <c r="W182" s="146"/>
      <c r="X182" s="146"/>
      <c r="Y182" s="146"/>
      <c r="Z182" s="146"/>
      <c r="AA182" s="146"/>
      <c r="AB182" s="146"/>
      <c r="AC182" s="146"/>
      <c r="AD182" s="146"/>
    </row>
    <row r="183" spans="1:30" ht="43.5">
      <c r="A183" s="413"/>
      <c r="B183" s="493"/>
      <c r="C183" s="379"/>
      <c r="D183" s="563" t="s">
        <v>393</v>
      </c>
      <c r="E183" s="173" t="s">
        <v>815</v>
      </c>
      <c r="F183" s="147" t="s">
        <v>385</v>
      </c>
      <c r="G183" s="164" t="s">
        <v>816</v>
      </c>
      <c r="H183" s="173">
        <v>2</v>
      </c>
      <c r="I183" s="217"/>
      <c r="J183" s="218"/>
      <c r="K183" s="426"/>
      <c r="L183" s="1532"/>
      <c r="M183" s="1532"/>
      <c r="N183" s="269"/>
      <c r="O183" s="146"/>
      <c r="P183" s="146"/>
      <c r="Q183" s="146"/>
      <c r="R183" s="146"/>
      <c r="S183" s="146"/>
      <c r="T183" s="146"/>
      <c r="U183" s="146"/>
      <c r="V183" s="146"/>
      <c r="W183" s="146"/>
      <c r="X183" s="146"/>
      <c r="Y183" s="146"/>
      <c r="Z183" s="146"/>
      <c r="AA183" s="146"/>
      <c r="AB183" s="146"/>
      <c r="AC183" s="146"/>
      <c r="AD183" s="146"/>
    </row>
    <row r="184" spans="1:30" ht="43.5">
      <c r="A184" s="413"/>
      <c r="B184" s="493"/>
      <c r="C184" s="379"/>
      <c r="D184" s="563" t="s">
        <v>817</v>
      </c>
      <c r="E184" s="169">
        <v>45776</v>
      </c>
      <c r="F184" s="164" t="s">
        <v>385</v>
      </c>
      <c r="G184" s="164" t="s">
        <v>818</v>
      </c>
      <c r="H184" s="173">
        <v>4</v>
      </c>
      <c r="I184" s="217"/>
      <c r="J184" s="218"/>
      <c r="K184" s="426"/>
      <c r="L184" s="1532"/>
      <c r="M184" s="1532"/>
      <c r="N184" s="269"/>
      <c r="O184" s="146"/>
      <c r="P184" s="146"/>
      <c r="Q184" s="146"/>
      <c r="R184" s="146"/>
      <c r="S184" s="146"/>
      <c r="T184" s="146"/>
      <c r="U184" s="146"/>
      <c r="V184" s="146"/>
      <c r="W184" s="146"/>
      <c r="X184" s="146"/>
      <c r="Y184" s="146"/>
      <c r="Z184" s="146"/>
      <c r="AA184" s="146"/>
      <c r="AB184" s="146"/>
      <c r="AC184" s="146"/>
      <c r="AD184" s="146"/>
    </row>
    <row r="185" spans="1:30" ht="101.25">
      <c r="A185" s="413"/>
      <c r="B185" s="493"/>
      <c r="C185" s="379"/>
      <c r="D185" s="403" t="s">
        <v>819</v>
      </c>
      <c r="E185" s="173" t="s">
        <v>820</v>
      </c>
      <c r="F185" s="164" t="s">
        <v>821</v>
      </c>
      <c r="G185" s="164" t="s">
        <v>822</v>
      </c>
      <c r="H185" s="173">
        <v>4</v>
      </c>
      <c r="I185" s="217"/>
      <c r="J185" s="218"/>
      <c r="K185" s="426"/>
      <c r="L185" s="1532"/>
      <c r="M185" s="1532"/>
      <c r="N185" s="269"/>
      <c r="O185" s="146"/>
      <c r="P185" s="146"/>
      <c r="Q185" s="146"/>
      <c r="R185" s="146"/>
      <c r="S185" s="146"/>
      <c r="T185" s="146"/>
      <c r="U185" s="146"/>
      <c r="V185" s="146"/>
      <c r="W185" s="146"/>
      <c r="X185" s="146"/>
      <c r="Y185" s="146"/>
      <c r="Z185" s="146"/>
      <c r="AA185" s="146"/>
      <c r="AB185" s="146"/>
      <c r="AC185" s="146"/>
      <c r="AD185" s="146"/>
    </row>
    <row r="186" spans="1:30" ht="57.75">
      <c r="A186" s="413"/>
      <c r="B186" s="493"/>
      <c r="C186" s="379"/>
      <c r="D186" s="563" t="s">
        <v>631</v>
      </c>
      <c r="E186" s="173" t="s">
        <v>823</v>
      </c>
      <c r="F186" s="164" t="s">
        <v>665</v>
      </c>
      <c r="G186" s="164" t="s">
        <v>824</v>
      </c>
      <c r="H186" s="173">
        <v>4</v>
      </c>
      <c r="I186" s="217"/>
      <c r="J186" s="218"/>
      <c r="K186" s="426"/>
      <c r="L186" s="1532"/>
      <c r="M186" s="1532"/>
      <c r="N186" s="269"/>
      <c r="O186" s="146"/>
      <c r="P186" s="146"/>
      <c r="Q186" s="146"/>
      <c r="R186" s="146"/>
      <c r="S186" s="146"/>
      <c r="T186" s="146"/>
      <c r="U186" s="146"/>
      <c r="V186" s="146"/>
      <c r="W186" s="146"/>
      <c r="X186" s="146"/>
      <c r="Y186" s="146"/>
      <c r="Z186" s="146"/>
      <c r="AA186" s="146"/>
      <c r="AB186" s="146"/>
      <c r="AC186" s="146"/>
      <c r="AD186" s="146"/>
    </row>
    <row r="187" spans="1:30" ht="57.75">
      <c r="A187" s="413"/>
      <c r="B187" s="493"/>
      <c r="C187" s="379"/>
      <c r="D187" s="563" t="s">
        <v>636</v>
      </c>
      <c r="E187" s="173" t="s">
        <v>714</v>
      </c>
      <c r="F187" s="164" t="s">
        <v>663</v>
      </c>
      <c r="G187" s="164" t="s">
        <v>825</v>
      </c>
      <c r="H187" s="173">
        <v>4</v>
      </c>
      <c r="I187" s="217"/>
      <c r="J187" s="218"/>
      <c r="K187" s="426"/>
      <c r="L187" s="1532"/>
      <c r="M187" s="1532"/>
      <c r="N187" s="269"/>
      <c r="O187" s="146"/>
      <c r="P187" s="146"/>
      <c r="Q187" s="146"/>
      <c r="R187" s="146"/>
      <c r="S187" s="146"/>
      <c r="T187" s="146"/>
      <c r="U187" s="146"/>
      <c r="V187" s="146"/>
      <c r="W187" s="146"/>
      <c r="X187" s="146"/>
      <c r="Y187" s="146"/>
      <c r="Z187" s="146"/>
      <c r="AA187" s="146"/>
      <c r="AB187" s="146"/>
      <c r="AC187" s="146"/>
      <c r="AD187" s="146"/>
    </row>
    <row r="188" spans="1:30" ht="72">
      <c r="A188" s="413"/>
      <c r="B188" s="493"/>
      <c r="C188" s="379"/>
      <c r="D188" s="563" t="s">
        <v>455</v>
      </c>
      <c r="E188" s="173" t="s">
        <v>716</v>
      </c>
      <c r="F188" s="164" t="s">
        <v>722</v>
      </c>
      <c r="G188" s="164" t="s">
        <v>826</v>
      </c>
      <c r="H188" s="173">
        <v>2</v>
      </c>
      <c r="I188" s="217"/>
      <c r="J188" s="218"/>
      <c r="K188" s="426"/>
      <c r="L188" s="1532"/>
      <c r="M188" s="1532"/>
      <c r="N188" s="269"/>
      <c r="O188" s="146"/>
      <c r="P188" s="146"/>
      <c r="Q188" s="146"/>
      <c r="R188" s="146"/>
      <c r="S188" s="146"/>
      <c r="T188" s="146"/>
      <c r="U188" s="146"/>
      <c r="V188" s="146"/>
      <c r="W188" s="146"/>
      <c r="X188" s="146"/>
      <c r="Y188" s="146"/>
      <c r="Z188" s="146"/>
      <c r="AA188" s="146"/>
      <c r="AB188" s="146"/>
      <c r="AC188" s="146"/>
      <c r="AD188" s="146"/>
    </row>
    <row r="189" spans="1:30" ht="57.75">
      <c r="A189" s="413"/>
      <c r="B189" s="493"/>
      <c r="C189" s="379"/>
      <c r="D189" s="563" t="s">
        <v>827</v>
      </c>
      <c r="E189" s="173" t="s">
        <v>828</v>
      </c>
      <c r="F189" s="164" t="s">
        <v>665</v>
      </c>
      <c r="G189" s="164" t="s">
        <v>829</v>
      </c>
      <c r="H189" s="173">
        <v>4</v>
      </c>
      <c r="I189" s="217"/>
      <c r="J189" s="218"/>
      <c r="K189" s="426"/>
      <c r="L189" s="1532"/>
      <c r="M189" s="1532"/>
      <c r="N189" s="269"/>
      <c r="O189" s="146"/>
      <c r="P189" s="146"/>
      <c r="Q189" s="146"/>
      <c r="R189" s="146"/>
      <c r="S189" s="146"/>
      <c r="T189" s="146"/>
      <c r="U189" s="146"/>
      <c r="V189" s="146"/>
      <c r="W189" s="146"/>
      <c r="X189" s="146"/>
      <c r="Y189" s="146"/>
      <c r="Z189" s="146"/>
      <c r="AA189" s="146"/>
      <c r="AB189" s="146"/>
      <c r="AC189" s="146"/>
      <c r="AD189" s="146"/>
    </row>
    <row r="190" spans="1:30" ht="72">
      <c r="A190" s="537"/>
      <c r="B190" s="504"/>
      <c r="C190" s="286"/>
      <c r="D190" s="563" t="s">
        <v>645</v>
      </c>
      <c r="E190" s="173" t="s">
        <v>740</v>
      </c>
      <c r="F190" s="164" t="s">
        <v>801</v>
      </c>
      <c r="G190" s="164" t="s">
        <v>830</v>
      </c>
      <c r="H190" s="173">
        <v>2</v>
      </c>
      <c r="I190" s="217"/>
      <c r="J190" s="218"/>
      <c r="K190" s="426"/>
      <c r="L190" s="1533"/>
      <c r="M190" s="1533"/>
      <c r="N190" s="269"/>
      <c r="O190" s="146"/>
      <c r="P190" s="146"/>
      <c r="Q190" s="146"/>
      <c r="R190" s="146"/>
      <c r="S190" s="146"/>
      <c r="T190" s="146"/>
      <c r="U190" s="146"/>
      <c r="V190" s="146"/>
      <c r="W190" s="146"/>
      <c r="X190" s="146"/>
      <c r="Y190" s="146"/>
      <c r="Z190" s="146"/>
      <c r="AA190" s="146"/>
      <c r="AB190" s="146"/>
      <c r="AC190" s="146"/>
      <c r="AD190" s="146"/>
    </row>
    <row r="191" spans="1:30" ht="95.25" customHeight="1">
      <c r="A191" s="527">
        <v>26</v>
      </c>
      <c r="B191" s="529" t="s">
        <v>48</v>
      </c>
      <c r="C191" s="564" t="s">
        <v>583</v>
      </c>
      <c r="D191" s="156" t="s">
        <v>417</v>
      </c>
      <c r="E191" s="226">
        <v>45828</v>
      </c>
      <c r="F191" s="156" t="s">
        <v>418</v>
      </c>
      <c r="G191" s="156" t="s">
        <v>831</v>
      </c>
      <c r="H191" s="227">
        <v>20</v>
      </c>
      <c r="I191" s="247">
        <f>H191+H192</f>
        <v>22</v>
      </c>
      <c r="J191" s="248" t="str">
        <f>IF(I191&gt;=20,"Memenuhi","Tidak Memenuhi")</f>
        <v>Memenuhi</v>
      </c>
      <c r="K191" s="338" t="s">
        <v>381</v>
      </c>
      <c r="L191" s="1531" t="s">
        <v>626</v>
      </c>
      <c r="M191" s="1531" t="s">
        <v>744</v>
      </c>
      <c r="N191" s="255"/>
    </row>
    <row r="192" spans="1:30" ht="63.75" customHeight="1">
      <c r="A192" s="415"/>
      <c r="B192" s="382"/>
      <c r="C192" s="499"/>
      <c r="D192" s="286" t="s">
        <v>710</v>
      </c>
      <c r="E192" s="287">
        <v>45775</v>
      </c>
      <c r="F192" s="210" t="s">
        <v>379</v>
      </c>
      <c r="G192" s="246" t="s">
        <v>799</v>
      </c>
      <c r="H192" s="288">
        <v>2</v>
      </c>
      <c r="I192" s="289"/>
      <c r="J192" s="253"/>
      <c r="K192" s="427"/>
      <c r="L192" s="1533"/>
      <c r="M192" s="1533"/>
      <c r="N192" s="255"/>
    </row>
    <row r="193" spans="1:14" ht="57.75" customHeight="1">
      <c r="A193" s="555">
        <v>27</v>
      </c>
      <c r="B193" s="561" t="s">
        <v>50</v>
      </c>
      <c r="C193" s="508" t="s">
        <v>583</v>
      </c>
      <c r="D193" s="399" t="s">
        <v>378</v>
      </c>
      <c r="E193" s="302">
        <v>45775</v>
      </c>
      <c r="F193" s="301" t="s">
        <v>448</v>
      </c>
      <c r="G193" s="301" t="s">
        <v>832</v>
      </c>
      <c r="H193" s="303">
        <v>2</v>
      </c>
      <c r="I193" s="247">
        <f>SUM(H193:H200)</f>
        <v>25</v>
      </c>
      <c r="J193" s="248" t="str">
        <f>IF(I193&gt;=20,"Memenuhi","Tidak Memenuhi")</f>
        <v>Memenuhi</v>
      </c>
      <c r="K193" s="420" t="s">
        <v>381</v>
      </c>
      <c r="L193" s="1531" t="s">
        <v>382</v>
      </c>
      <c r="M193" s="1531" t="s">
        <v>833</v>
      </c>
      <c r="N193" s="255"/>
    </row>
    <row r="194" spans="1:14" ht="101.25">
      <c r="A194" s="410"/>
      <c r="B194" s="414"/>
      <c r="C194" s="379"/>
      <c r="D194" s="403" t="s">
        <v>819</v>
      </c>
      <c r="E194" s="228">
        <v>45714</v>
      </c>
      <c r="F194" s="150" t="s">
        <v>834</v>
      </c>
      <c r="G194" s="150" t="s">
        <v>835</v>
      </c>
      <c r="H194" s="229">
        <v>4</v>
      </c>
      <c r="I194" s="229"/>
      <c r="J194" s="253"/>
      <c r="K194" s="425"/>
      <c r="L194" s="1532"/>
      <c r="M194" s="1532"/>
      <c r="N194" s="255"/>
    </row>
    <row r="195" spans="1:14" ht="57.75">
      <c r="A195" s="410"/>
      <c r="B195" s="414"/>
      <c r="C195" s="379"/>
      <c r="D195" s="401" t="s">
        <v>450</v>
      </c>
      <c r="E195" s="228">
        <v>45796</v>
      </c>
      <c r="F195" s="150" t="s">
        <v>448</v>
      </c>
      <c r="G195" s="150" t="s">
        <v>836</v>
      </c>
      <c r="H195" s="229">
        <v>2</v>
      </c>
      <c r="I195" s="229"/>
      <c r="J195" s="253"/>
      <c r="K195" s="425"/>
      <c r="L195" s="1532"/>
      <c r="M195" s="1532"/>
      <c r="N195" s="255"/>
    </row>
    <row r="196" spans="1:14" ht="43.5">
      <c r="A196" s="410"/>
      <c r="B196" s="414"/>
      <c r="C196" s="379"/>
      <c r="D196" s="401" t="s">
        <v>628</v>
      </c>
      <c r="E196" s="228" t="s">
        <v>837</v>
      </c>
      <c r="F196" s="150" t="s">
        <v>838</v>
      </c>
      <c r="G196" s="150" t="s">
        <v>839</v>
      </c>
      <c r="H196" s="229">
        <v>4</v>
      </c>
      <c r="I196" s="229"/>
      <c r="J196" s="253"/>
      <c r="K196" s="425"/>
      <c r="L196" s="1532"/>
      <c r="M196" s="1532"/>
      <c r="N196" s="255"/>
    </row>
    <row r="197" spans="1:14" ht="57.75">
      <c r="A197" s="410"/>
      <c r="B197" s="414"/>
      <c r="C197" s="379"/>
      <c r="D197" s="401" t="s">
        <v>631</v>
      </c>
      <c r="E197" s="228">
        <v>45825</v>
      </c>
      <c r="F197" s="150" t="s">
        <v>632</v>
      </c>
      <c r="G197" s="150" t="s">
        <v>840</v>
      </c>
      <c r="H197" s="229">
        <v>4</v>
      </c>
      <c r="I197" s="229"/>
      <c r="J197" s="253"/>
      <c r="K197" s="425"/>
      <c r="L197" s="1532"/>
      <c r="M197" s="1532"/>
      <c r="N197" s="255"/>
    </row>
    <row r="198" spans="1:14" ht="72">
      <c r="A198" s="410"/>
      <c r="B198" s="414"/>
      <c r="C198" s="379"/>
      <c r="D198" s="401" t="s">
        <v>764</v>
      </c>
      <c r="E198" s="228">
        <v>45831</v>
      </c>
      <c r="F198" s="150" t="s">
        <v>379</v>
      </c>
      <c r="G198" s="150" t="s">
        <v>841</v>
      </c>
      <c r="H198" s="229">
        <v>3</v>
      </c>
      <c r="I198" s="229"/>
      <c r="J198" s="253"/>
      <c r="K198" s="425"/>
      <c r="L198" s="1532"/>
      <c r="M198" s="1532"/>
      <c r="N198" s="255"/>
    </row>
    <row r="199" spans="1:14" ht="72">
      <c r="A199" s="410"/>
      <c r="B199" s="414"/>
      <c r="C199" s="379"/>
      <c r="D199" s="401" t="s">
        <v>638</v>
      </c>
      <c r="E199" s="228">
        <v>45848</v>
      </c>
      <c r="F199" s="150" t="s">
        <v>379</v>
      </c>
      <c r="G199" s="150" t="s">
        <v>842</v>
      </c>
      <c r="H199" s="229">
        <v>2</v>
      </c>
      <c r="I199" s="229"/>
      <c r="J199" s="253"/>
      <c r="K199" s="425"/>
      <c r="L199" s="1532"/>
      <c r="M199" s="1532"/>
      <c r="N199" s="255"/>
    </row>
    <row r="200" spans="1:14" ht="57.75">
      <c r="A200" s="410"/>
      <c r="B200" s="414"/>
      <c r="C200" s="286"/>
      <c r="D200" s="401" t="s">
        <v>636</v>
      </c>
      <c r="E200" s="228">
        <v>45848</v>
      </c>
      <c r="F200" s="150" t="s">
        <v>632</v>
      </c>
      <c r="G200" s="150" t="s">
        <v>843</v>
      </c>
      <c r="H200" s="229">
        <v>4</v>
      </c>
      <c r="I200" s="229"/>
      <c r="J200" s="253"/>
      <c r="K200" s="427"/>
      <c r="L200" s="1532"/>
      <c r="M200" s="1532"/>
      <c r="N200" s="255"/>
    </row>
    <row r="201" spans="1:14" ht="15" hidden="1" customHeight="1">
      <c r="A201" s="410">
        <v>30</v>
      </c>
      <c r="B201" s="410" t="s">
        <v>251</v>
      </c>
      <c r="C201" s="379"/>
      <c r="D201" s="163"/>
      <c r="E201" s="169"/>
      <c r="F201" s="164"/>
      <c r="G201" s="164"/>
      <c r="H201" s="173"/>
      <c r="I201" s="173"/>
      <c r="J201" s="224" t="str">
        <f>IF(I201&gt;=20,"Memenuhi","Tidak Memenuhi")</f>
        <v>Tidak Memenuhi</v>
      </c>
      <c r="K201" s="422"/>
      <c r="L201" s="1532"/>
      <c r="M201" s="1532"/>
      <c r="N201" s="208"/>
    </row>
    <row r="202" spans="1:14" ht="101.25">
      <c r="A202" s="410"/>
      <c r="B202" s="414"/>
      <c r="C202" s="168" t="s">
        <v>742</v>
      </c>
      <c r="D202" s="401" t="s">
        <v>844</v>
      </c>
      <c r="E202" s="228">
        <v>45719</v>
      </c>
      <c r="F202" s="150" t="s">
        <v>791</v>
      </c>
      <c r="G202" s="150" t="s">
        <v>845</v>
      </c>
      <c r="H202" s="229">
        <v>3</v>
      </c>
      <c r="I202" s="229"/>
      <c r="J202" s="253"/>
      <c r="K202" s="425"/>
      <c r="L202" s="1532"/>
      <c r="M202" s="1532"/>
      <c r="N202" s="255"/>
    </row>
    <row r="203" spans="1:14" ht="86.25">
      <c r="A203" s="411"/>
      <c r="B203" s="415"/>
      <c r="C203" s="286"/>
      <c r="D203" s="401" t="s">
        <v>846</v>
      </c>
      <c r="E203" s="228">
        <v>45734</v>
      </c>
      <c r="F203" s="150" t="s">
        <v>791</v>
      </c>
      <c r="G203" s="150" t="s">
        <v>847</v>
      </c>
      <c r="H203" s="229">
        <v>3</v>
      </c>
      <c r="I203" s="229"/>
      <c r="J203" s="253"/>
      <c r="K203" s="425"/>
      <c r="L203" s="1533"/>
      <c r="M203" s="1533"/>
      <c r="N203" s="255"/>
    </row>
    <row r="204" spans="1:14" ht="43.5" customHeight="1">
      <c r="A204" s="555">
        <v>28</v>
      </c>
      <c r="B204" s="560" t="s">
        <v>52</v>
      </c>
      <c r="C204" s="533" t="s">
        <v>742</v>
      </c>
      <c r="D204" s="308" t="s">
        <v>480</v>
      </c>
      <c r="E204" s="227" t="s">
        <v>848</v>
      </c>
      <c r="F204" s="156" t="s">
        <v>849</v>
      </c>
      <c r="G204" s="156" t="s">
        <v>850</v>
      </c>
      <c r="H204" s="227">
        <v>25</v>
      </c>
      <c r="I204" s="227">
        <f>H204+H205+H206</f>
        <v>31</v>
      </c>
      <c r="J204" s="247" t="str">
        <f>IF(I204&gt;=20,"Memenuhi","Tidak Memenuhi")</f>
        <v>Memenuhi</v>
      </c>
      <c r="K204" s="417" t="s">
        <v>381</v>
      </c>
      <c r="L204" s="1531" t="s">
        <v>382</v>
      </c>
      <c r="M204" s="1531" t="s">
        <v>609</v>
      </c>
      <c r="N204" s="305" t="s">
        <v>851</v>
      </c>
    </row>
    <row r="205" spans="1:14" ht="93.75" customHeight="1">
      <c r="A205" s="410"/>
      <c r="B205" s="414"/>
      <c r="C205" s="494" t="s">
        <v>583</v>
      </c>
      <c r="D205" s="401" t="s">
        <v>819</v>
      </c>
      <c r="E205" s="289" t="s">
        <v>820</v>
      </c>
      <c r="F205" s="150" t="s">
        <v>834</v>
      </c>
      <c r="G205" s="150" t="s">
        <v>852</v>
      </c>
      <c r="H205" s="229">
        <v>4</v>
      </c>
      <c r="I205" s="229"/>
      <c r="J205" s="229"/>
      <c r="K205" s="433"/>
      <c r="L205" s="1532"/>
      <c r="M205" s="1532"/>
      <c r="N205" s="255"/>
    </row>
    <row r="206" spans="1:14" ht="57.75">
      <c r="A206" s="411"/>
      <c r="B206" s="415"/>
      <c r="C206" s="264"/>
      <c r="D206" s="546" t="s">
        <v>719</v>
      </c>
      <c r="E206" s="304">
        <v>45982</v>
      </c>
      <c r="F206" s="158" t="s">
        <v>379</v>
      </c>
      <c r="G206" s="158" t="s">
        <v>853</v>
      </c>
      <c r="H206" s="230">
        <v>2</v>
      </c>
      <c r="I206" s="230"/>
      <c r="J206" s="230"/>
      <c r="K206" s="434"/>
      <c r="L206" s="1533"/>
      <c r="M206" s="1533"/>
      <c r="N206" s="269"/>
    </row>
    <row r="207" spans="1:14" ht="57.75" customHeight="1">
      <c r="A207" s="559">
        <v>29</v>
      </c>
      <c r="B207" s="558" t="s">
        <v>54</v>
      </c>
      <c r="C207" s="533" t="s">
        <v>583</v>
      </c>
      <c r="D207" s="557" t="s">
        <v>417</v>
      </c>
      <c r="E207" s="306" t="s">
        <v>854</v>
      </c>
      <c r="F207" s="307" t="s">
        <v>855</v>
      </c>
      <c r="G207" s="307" t="s">
        <v>856</v>
      </c>
      <c r="H207" s="306">
        <v>20</v>
      </c>
      <c r="I207" s="306">
        <f>H207+H208+H209+H215+H210+H211+H212+H213+H214</f>
        <v>58</v>
      </c>
      <c r="J207" s="248" t="str">
        <f>IF(I207&gt;=20,"Memenuhi","Tidak Memenuhi")</f>
        <v>Memenuhi</v>
      </c>
      <c r="K207" s="338" t="s">
        <v>381</v>
      </c>
      <c r="L207" s="1531" t="s">
        <v>382</v>
      </c>
      <c r="M207" s="1531" t="s">
        <v>609</v>
      </c>
      <c r="N207" s="309" t="s">
        <v>857</v>
      </c>
    </row>
    <row r="208" spans="1:14" ht="57.75">
      <c r="A208" s="410"/>
      <c r="B208" s="410"/>
      <c r="C208" s="379"/>
      <c r="D208" s="401" t="s">
        <v>450</v>
      </c>
      <c r="E208" s="153" t="s">
        <v>674</v>
      </c>
      <c r="F208" s="147" t="s">
        <v>855</v>
      </c>
      <c r="G208" s="147" t="s">
        <v>858</v>
      </c>
      <c r="H208" s="153">
        <v>2</v>
      </c>
      <c r="I208" s="153"/>
      <c r="J208" s="152"/>
      <c r="K208" s="422"/>
      <c r="L208" s="1532"/>
      <c r="M208" s="1532"/>
      <c r="N208" s="255"/>
    </row>
    <row r="209" spans="1:14" ht="28.5" customHeight="1">
      <c r="A209" s="410"/>
      <c r="B209" s="410"/>
      <c r="C209" s="379"/>
      <c r="D209" s="401" t="s">
        <v>389</v>
      </c>
      <c r="E209" s="153" t="s">
        <v>859</v>
      </c>
      <c r="F209" s="147" t="s">
        <v>860</v>
      </c>
      <c r="G209" s="147" t="s">
        <v>861</v>
      </c>
      <c r="H209" s="153">
        <v>13</v>
      </c>
      <c r="I209" s="153"/>
      <c r="J209" s="152"/>
      <c r="K209" s="422"/>
      <c r="L209" s="1532"/>
      <c r="M209" s="1532"/>
      <c r="N209" s="255"/>
    </row>
    <row r="210" spans="1:14" ht="45" customHeight="1">
      <c r="A210" s="410"/>
      <c r="B210" s="410"/>
      <c r="C210" s="379"/>
      <c r="D210" s="401" t="s">
        <v>862</v>
      </c>
      <c r="E210" s="153" t="s">
        <v>657</v>
      </c>
      <c r="F210" s="147" t="s">
        <v>855</v>
      </c>
      <c r="G210" s="147" t="s">
        <v>863</v>
      </c>
      <c r="H210" s="153">
        <v>3</v>
      </c>
      <c r="I210" s="153"/>
      <c r="J210" s="152"/>
      <c r="K210" s="422"/>
      <c r="L210" s="1532"/>
      <c r="M210" s="1532"/>
      <c r="N210" s="255"/>
    </row>
    <row r="211" spans="1:14" ht="72">
      <c r="A211" s="410"/>
      <c r="B211" s="410"/>
      <c r="C211" s="379"/>
      <c r="D211" s="401" t="s">
        <v>683</v>
      </c>
      <c r="E211" s="153" t="s">
        <v>453</v>
      </c>
      <c r="F211" s="147" t="s">
        <v>855</v>
      </c>
      <c r="G211" s="147" t="s">
        <v>864</v>
      </c>
      <c r="H211" s="153">
        <v>2</v>
      </c>
      <c r="I211" s="153"/>
      <c r="J211" s="152"/>
      <c r="K211" s="422"/>
      <c r="L211" s="1532"/>
      <c r="M211" s="1532"/>
      <c r="N211" s="255"/>
    </row>
    <row r="212" spans="1:14" ht="86.25">
      <c r="A212" s="410"/>
      <c r="B212" s="410"/>
      <c r="C212" s="379"/>
      <c r="D212" s="401" t="s">
        <v>684</v>
      </c>
      <c r="E212" s="153" t="s">
        <v>464</v>
      </c>
      <c r="F212" s="147" t="s">
        <v>865</v>
      </c>
      <c r="G212" s="147" t="s">
        <v>866</v>
      </c>
      <c r="H212" s="153">
        <v>6</v>
      </c>
      <c r="I212" s="153"/>
      <c r="J212" s="152"/>
      <c r="K212" s="422"/>
      <c r="L212" s="1532"/>
      <c r="M212" s="1532"/>
      <c r="N212" s="255"/>
    </row>
    <row r="213" spans="1:14" ht="72">
      <c r="A213" s="410"/>
      <c r="B213" s="410"/>
      <c r="C213" s="379"/>
      <c r="D213" s="401" t="s">
        <v>643</v>
      </c>
      <c r="E213" s="169">
        <v>45917</v>
      </c>
      <c r="F213" s="147" t="s">
        <v>865</v>
      </c>
      <c r="G213" s="147" t="s">
        <v>867</v>
      </c>
      <c r="H213" s="153">
        <v>6</v>
      </c>
      <c r="I213" s="153"/>
      <c r="J213" s="152"/>
      <c r="K213" s="422"/>
      <c r="L213" s="1532"/>
      <c r="M213" s="1532"/>
      <c r="N213" s="255"/>
    </row>
    <row r="214" spans="1:14" ht="72">
      <c r="A214" s="410"/>
      <c r="B214" s="410"/>
      <c r="C214" s="286"/>
      <c r="D214" s="401" t="s">
        <v>645</v>
      </c>
      <c r="E214" s="150">
        <v>45926</v>
      </c>
      <c r="F214" s="150" t="s">
        <v>865</v>
      </c>
      <c r="G214" s="150" t="s">
        <v>868</v>
      </c>
      <c r="H214" s="153">
        <v>2</v>
      </c>
      <c r="I214" s="153"/>
      <c r="J214" s="152"/>
      <c r="K214" s="424"/>
      <c r="L214" s="1533"/>
      <c r="M214" s="1533"/>
      <c r="N214" s="255"/>
    </row>
    <row r="215" spans="1:14" ht="57.75">
      <c r="A215" s="411"/>
      <c r="B215" s="411"/>
      <c r="C215" s="286" t="s">
        <v>742</v>
      </c>
      <c r="D215" s="150" t="s">
        <v>869</v>
      </c>
      <c r="E215" s="153" t="s">
        <v>870</v>
      </c>
      <c r="F215" s="147" t="s">
        <v>855</v>
      </c>
      <c r="G215" s="147" t="s">
        <v>871</v>
      </c>
      <c r="H215" s="153">
        <v>4</v>
      </c>
      <c r="I215" s="153"/>
      <c r="J215" s="152"/>
      <c r="K215" s="422"/>
      <c r="L215" s="347"/>
      <c r="M215" s="365"/>
      <c r="N215" s="255"/>
    </row>
    <row r="216" spans="1:14" ht="57.75" customHeight="1">
      <c r="A216" s="410">
        <v>30</v>
      </c>
      <c r="B216" s="556" t="s">
        <v>56</v>
      </c>
      <c r="C216" s="508" t="s">
        <v>583</v>
      </c>
      <c r="D216" s="310" t="s">
        <v>872</v>
      </c>
      <c r="E216" s="311" t="s">
        <v>873</v>
      </c>
      <c r="F216" s="156" t="s">
        <v>791</v>
      </c>
      <c r="G216" s="156" t="s">
        <v>874</v>
      </c>
      <c r="H216" s="312">
        <v>16</v>
      </c>
      <c r="I216" s="227">
        <f>SUM($H$216:$H$222)</f>
        <v>34</v>
      </c>
      <c r="J216" s="247" t="str">
        <f>IF(I216&gt;=20,"Memenuhi","Tidak Memenuhi")</f>
        <v>Memenuhi</v>
      </c>
      <c r="K216" s="417" t="s">
        <v>381</v>
      </c>
      <c r="L216" s="1531" t="s">
        <v>626</v>
      </c>
      <c r="M216" s="1531" t="s">
        <v>609</v>
      </c>
      <c r="N216" s="208"/>
    </row>
    <row r="217" spans="1:14" ht="108" customHeight="1">
      <c r="A217" s="410"/>
      <c r="B217" s="410"/>
      <c r="C217" s="150"/>
      <c r="D217" s="129" t="s">
        <v>875</v>
      </c>
      <c r="E217" s="313" t="s">
        <v>820</v>
      </c>
      <c r="F217" s="150" t="s">
        <v>834</v>
      </c>
      <c r="G217" s="150" t="s">
        <v>876</v>
      </c>
      <c r="H217" s="313">
        <v>4</v>
      </c>
      <c r="I217" s="229"/>
      <c r="J217" s="229"/>
      <c r="K217" s="433"/>
      <c r="L217" s="1532"/>
      <c r="M217" s="1532"/>
      <c r="N217" s="208"/>
    </row>
    <row r="218" spans="1:14" ht="43.5">
      <c r="A218" s="410"/>
      <c r="B218" s="410"/>
      <c r="C218" s="150"/>
      <c r="D218" s="129" t="s">
        <v>384</v>
      </c>
      <c r="E218" s="313" t="s">
        <v>877</v>
      </c>
      <c r="F218" s="150" t="s">
        <v>878</v>
      </c>
      <c r="G218" s="150" t="s">
        <v>879</v>
      </c>
      <c r="H218" s="313">
        <v>4</v>
      </c>
      <c r="I218" s="229"/>
      <c r="J218" s="229"/>
      <c r="K218" s="433"/>
      <c r="L218" s="1532"/>
      <c r="M218" s="1532"/>
      <c r="N218" s="208"/>
    </row>
    <row r="219" spans="1:14" ht="57.75">
      <c r="A219" s="410"/>
      <c r="B219" s="410"/>
      <c r="C219" s="150"/>
      <c r="D219" s="129" t="s">
        <v>378</v>
      </c>
      <c r="E219" s="314">
        <v>45775</v>
      </c>
      <c r="F219" s="150" t="s">
        <v>379</v>
      </c>
      <c r="G219" s="150" t="s">
        <v>880</v>
      </c>
      <c r="H219" s="313">
        <v>2</v>
      </c>
      <c r="I219" s="229"/>
      <c r="J219" s="229"/>
      <c r="K219" s="433"/>
      <c r="L219" s="1532"/>
      <c r="M219" s="1532"/>
      <c r="N219" s="208"/>
    </row>
    <row r="220" spans="1:14" ht="43.5">
      <c r="A220" s="410"/>
      <c r="B220" s="410"/>
      <c r="C220" s="150"/>
      <c r="D220" s="129" t="s">
        <v>817</v>
      </c>
      <c r="E220" s="314">
        <v>45776</v>
      </c>
      <c r="F220" s="150" t="s">
        <v>878</v>
      </c>
      <c r="G220" s="150" t="s">
        <v>881</v>
      </c>
      <c r="H220" s="313">
        <v>4</v>
      </c>
      <c r="I220" s="229"/>
      <c r="J220" s="229"/>
      <c r="K220" s="433"/>
      <c r="L220" s="1532"/>
      <c r="M220" s="1532"/>
      <c r="N220" s="208"/>
    </row>
    <row r="221" spans="1:14" ht="57.75">
      <c r="A221" s="410"/>
      <c r="B221" s="410"/>
      <c r="C221" s="150"/>
      <c r="D221" s="401" t="s">
        <v>450</v>
      </c>
      <c r="E221" s="313" t="s">
        <v>674</v>
      </c>
      <c r="F221" s="150" t="s">
        <v>379</v>
      </c>
      <c r="G221" s="150" t="s">
        <v>882</v>
      </c>
      <c r="H221" s="313">
        <v>2</v>
      </c>
      <c r="I221" s="229"/>
      <c r="J221" s="229"/>
      <c r="K221" s="433"/>
      <c r="L221" s="1532"/>
      <c r="M221" s="1532"/>
      <c r="N221" s="208"/>
    </row>
    <row r="222" spans="1:14" ht="72">
      <c r="A222" s="411"/>
      <c r="B222" s="411"/>
      <c r="C222" s="168"/>
      <c r="D222" s="129" t="s">
        <v>683</v>
      </c>
      <c r="E222" s="313" t="s">
        <v>453</v>
      </c>
      <c r="F222" s="150" t="s">
        <v>379</v>
      </c>
      <c r="G222" s="150" t="s">
        <v>883</v>
      </c>
      <c r="H222" s="313">
        <v>2</v>
      </c>
      <c r="I222" s="229"/>
      <c r="J222" s="229"/>
      <c r="K222" s="433"/>
      <c r="L222" s="1533"/>
      <c r="M222" s="1533"/>
      <c r="N222" s="208"/>
    </row>
    <row r="223" spans="1:14" ht="72" customHeight="1">
      <c r="A223" s="555">
        <v>31</v>
      </c>
      <c r="B223" s="554" t="s">
        <v>259</v>
      </c>
      <c r="C223" s="508" t="s">
        <v>583</v>
      </c>
      <c r="D223" s="383" t="s">
        <v>872</v>
      </c>
      <c r="E223" s="315" t="s">
        <v>884</v>
      </c>
      <c r="F223" s="156" t="s">
        <v>791</v>
      </c>
      <c r="G223" s="156" t="s">
        <v>885</v>
      </c>
      <c r="H223" s="227">
        <v>16</v>
      </c>
      <c r="I223" s="247">
        <f>SUM(H223:H236)</f>
        <v>93</v>
      </c>
      <c r="J223" s="248" t="str">
        <f>IF(I223&gt;=20,"Memenuhi","Tidak Memenuhi")</f>
        <v>Memenuhi</v>
      </c>
      <c r="K223" s="338" t="s">
        <v>381</v>
      </c>
      <c r="L223" s="1531" t="s">
        <v>382</v>
      </c>
      <c r="M223" s="1531" t="s">
        <v>833</v>
      </c>
      <c r="N223" s="318" t="s">
        <v>886</v>
      </c>
    </row>
    <row r="224" spans="1:14" ht="43.5">
      <c r="A224" s="410"/>
      <c r="B224" s="414"/>
      <c r="C224" s="379"/>
      <c r="D224" s="401" t="s">
        <v>887</v>
      </c>
      <c r="E224" s="316" t="s">
        <v>888</v>
      </c>
      <c r="F224" s="150" t="s">
        <v>889</v>
      </c>
      <c r="G224" s="150" t="s">
        <v>890</v>
      </c>
      <c r="H224" s="229">
        <v>4</v>
      </c>
      <c r="I224" s="229"/>
      <c r="J224" s="253"/>
      <c r="K224" s="425"/>
      <c r="L224" s="1532"/>
      <c r="M224" s="1532"/>
      <c r="N224" s="255"/>
    </row>
    <row r="225" spans="1:14" ht="106.5" customHeight="1">
      <c r="A225" s="410"/>
      <c r="B225" s="414"/>
      <c r="C225" s="379"/>
      <c r="D225" s="401" t="s">
        <v>875</v>
      </c>
      <c r="E225" s="229" t="s">
        <v>820</v>
      </c>
      <c r="F225" s="150" t="s">
        <v>834</v>
      </c>
      <c r="G225" s="150" t="s">
        <v>891</v>
      </c>
      <c r="H225" s="229">
        <v>4</v>
      </c>
      <c r="I225" s="229"/>
      <c r="J225" s="253"/>
      <c r="K225" s="425"/>
      <c r="L225" s="1532"/>
      <c r="M225" s="1532"/>
      <c r="N225" s="255"/>
    </row>
    <row r="226" spans="1:14" ht="43.5">
      <c r="A226" s="410"/>
      <c r="B226" s="414"/>
      <c r="C226" s="379"/>
      <c r="D226" s="401" t="s">
        <v>892</v>
      </c>
      <c r="E226" s="316" t="s">
        <v>893</v>
      </c>
      <c r="F226" s="150" t="s">
        <v>385</v>
      </c>
      <c r="G226" s="150" t="s">
        <v>894</v>
      </c>
      <c r="H226" s="229">
        <v>4</v>
      </c>
      <c r="I226" s="229"/>
      <c r="J226" s="253"/>
      <c r="K226" s="425"/>
      <c r="L226" s="1532"/>
      <c r="M226" s="1532"/>
      <c r="N226" s="255"/>
    </row>
    <row r="227" spans="1:14" ht="57.75">
      <c r="A227" s="410"/>
      <c r="B227" s="414"/>
      <c r="C227" s="379"/>
      <c r="D227" s="401" t="s">
        <v>565</v>
      </c>
      <c r="E227" s="228" t="s">
        <v>447</v>
      </c>
      <c r="F227" s="150" t="s">
        <v>448</v>
      </c>
      <c r="G227" s="150" t="s">
        <v>895</v>
      </c>
      <c r="H227" s="229">
        <v>2</v>
      </c>
      <c r="I227" s="229"/>
      <c r="J227" s="253"/>
      <c r="K227" s="425"/>
      <c r="L227" s="1532"/>
      <c r="M227" s="1532"/>
      <c r="N227" s="255"/>
    </row>
    <row r="228" spans="1:14" ht="57.75">
      <c r="A228" s="410"/>
      <c r="B228" s="414"/>
      <c r="C228" s="379"/>
      <c r="D228" s="401" t="s">
        <v>450</v>
      </c>
      <c r="E228" s="317" t="s">
        <v>674</v>
      </c>
      <c r="F228" s="150" t="s">
        <v>448</v>
      </c>
      <c r="G228" s="150" t="s">
        <v>896</v>
      </c>
      <c r="H228" s="229">
        <v>2</v>
      </c>
      <c r="I228" s="229"/>
      <c r="J228" s="253"/>
      <c r="K228" s="425"/>
      <c r="L228" s="1532"/>
      <c r="M228" s="1532"/>
      <c r="N228" s="255"/>
    </row>
    <row r="229" spans="1:14" ht="72">
      <c r="A229" s="410"/>
      <c r="B229" s="414"/>
      <c r="C229" s="379"/>
      <c r="D229" s="401" t="s">
        <v>683</v>
      </c>
      <c r="E229" s="229" t="s">
        <v>453</v>
      </c>
      <c r="F229" s="150" t="s">
        <v>448</v>
      </c>
      <c r="G229" s="150" t="s">
        <v>897</v>
      </c>
      <c r="H229" s="229">
        <v>2</v>
      </c>
      <c r="I229" s="252"/>
      <c r="J229" s="254"/>
      <c r="K229" s="421"/>
      <c r="L229" s="1532"/>
      <c r="M229" s="1532"/>
      <c r="N229" s="319"/>
    </row>
    <row r="230" spans="1:14" ht="57.75">
      <c r="A230" s="410"/>
      <c r="B230" s="414"/>
      <c r="C230" s="379"/>
      <c r="D230" s="401" t="s">
        <v>636</v>
      </c>
      <c r="E230" s="229" t="s">
        <v>453</v>
      </c>
      <c r="F230" s="150" t="s">
        <v>663</v>
      </c>
      <c r="G230" s="150" t="s">
        <v>898</v>
      </c>
      <c r="H230" s="229">
        <v>4</v>
      </c>
      <c r="I230" s="252"/>
      <c r="J230" s="254"/>
      <c r="K230" s="421"/>
      <c r="L230" s="1532"/>
      <c r="M230" s="1532"/>
      <c r="N230" s="319"/>
    </row>
    <row r="231" spans="1:14" ht="72">
      <c r="A231" s="410"/>
      <c r="B231" s="414"/>
      <c r="C231" s="379"/>
      <c r="D231" s="401" t="s">
        <v>490</v>
      </c>
      <c r="E231" s="229" t="s">
        <v>899</v>
      </c>
      <c r="F231" s="150" t="s">
        <v>900</v>
      </c>
      <c r="G231" s="150" t="s">
        <v>492</v>
      </c>
      <c r="H231" s="229">
        <v>3</v>
      </c>
      <c r="I231" s="252"/>
      <c r="J231" s="254"/>
      <c r="K231" s="421"/>
      <c r="L231" s="1532"/>
      <c r="M231" s="1532"/>
      <c r="N231" s="319"/>
    </row>
    <row r="232" spans="1:14" ht="86.25">
      <c r="A232" s="410"/>
      <c r="B232" s="414"/>
      <c r="C232" s="379"/>
      <c r="D232" s="401" t="s">
        <v>901</v>
      </c>
      <c r="E232" s="229" t="s">
        <v>464</v>
      </c>
      <c r="F232" s="150" t="s">
        <v>801</v>
      </c>
      <c r="G232" s="150" t="s">
        <v>902</v>
      </c>
      <c r="H232" s="229">
        <v>6</v>
      </c>
      <c r="I232" s="252"/>
      <c r="J232" s="254"/>
      <c r="K232" s="421"/>
      <c r="L232" s="1532"/>
      <c r="M232" s="1532"/>
      <c r="N232" s="319"/>
    </row>
    <row r="233" spans="1:14" ht="43.5">
      <c r="A233" s="410"/>
      <c r="B233" s="414"/>
      <c r="C233" s="379"/>
      <c r="D233" s="401" t="s">
        <v>903</v>
      </c>
      <c r="E233" s="229" t="s">
        <v>904</v>
      </c>
      <c r="F233" s="150" t="s">
        <v>905</v>
      </c>
      <c r="G233" s="150" t="s">
        <v>906</v>
      </c>
      <c r="H233" s="229">
        <v>4</v>
      </c>
      <c r="I233" s="252"/>
      <c r="J233" s="254"/>
      <c r="K233" s="421"/>
      <c r="L233" s="1532"/>
      <c r="M233" s="1532"/>
      <c r="N233" s="319"/>
    </row>
    <row r="234" spans="1:14" ht="43.5">
      <c r="A234" s="410"/>
      <c r="B234" s="414"/>
      <c r="C234" s="379"/>
      <c r="D234" s="401" t="s">
        <v>907</v>
      </c>
      <c r="E234" s="229" t="s">
        <v>908</v>
      </c>
      <c r="F234" s="150" t="s">
        <v>905</v>
      </c>
      <c r="G234" s="150" t="s">
        <v>909</v>
      </c>
      <c r="H234" s="229">
        <v>23</v>
      </c>
      <c r="I234" s="252"/>
      <c r="J234" s="254"/>
      <c r="K234" s="421"/>
      <c r="L234" s="1532"/>
      <c r="M234" s="1532"/>
      <c r="N234" s="319"/>
    </row>
    <row r="235" spans="1:14" ht="72">
      <c r="A235" s="410"/>
      <c r="B235" s="414"/>
      <c r="C235" s="379"/>
      <c r="D235" s="401" t="s">
        <v>643</v>
      </c>
      <c r="E235" s="229" t="s">
        <v>738</v>
      </c>
      <c r="F235" s="150" t="s">
        <v>448</v>
      </c>
      <c r="G235" s="150" t="s">
        <v>910</v>
      </c>
      <c r="H235" s="229">
        <v>6</v>
      </c>
      <c r="I235" s="252"/>
      <c r="J235" s="254"/>
      <c r="K235" s="421"/>
      <c r="L235" s="1532"/>
      <c r="M235" s="1532"/>
      <c r="N235" s="319"/>
    </row>
    <row r="236" spans="1:14" ht="28.5">
      <c r="A236" s="410"/>
      <c r="B236" s="414"/>
      <c r="C236" s="379"/>
      <c r="D236" s="401" t="s">
        <v>422</v>
      </c>
      <c r="E236" s="228">
        <v>45908</v>
      </c>
      <c r="F236" s="150" t="s">
        <v>911</v>
      </c>
      <c r="G236" s="150" t="s">
        <v>423</v>
      </c>
      <c r="H236" s="229">
        <v>13</v>
      </c>
      <c r="I236" s="252"/>
      <c r="J236" s="254"/>
      <c r="K236" s="421"/>
      <c r="L236" s="1532"/>
      <c r="M236" s="1532"/>
      <c r="N236" s="319"/>
    </row>
    <row r="237" spans="1:14" ht="57.75">
      <c r="A237" s="410"/>
      <c r="B237" s="414"/>
      <c r="C237" s="168" t="s">
        <v>742</v>
      </c>
      <c r="D237" s="401" t="s">
        <v>912</v>
      </c>
      <c r="E237" s="229" t="s">
        <v>505</v>
      </c>
      <c r="F237" s="150" t="s">
        <v>913</v>
      </c>
      <c r="G237" s="150" t="s">
        <v>914</v>
      </c>
      <c r="H237" s="229">
        <v>2</v>
      </c>
      <c r="I237" s="252"/>
      <c r="J237" s="254"/>
      <c r="K237" s="421"/>
      <c r="L237" s="1532"/>
      <c r="M237" s="1532"/>
      <c r="N237" s="319"/>
    </row>
    <row r="238" spans="1:14" ht="43.5">
      <c r="A238" s="410"/>
      <c r="B238" s="414"/>
      <c r="C238" s="379"/>
      <c r="D238" s="401" t="s">
        <v>915</v>
      </c>
      <c r="E238" s="316" t="s">
        <v>916</v>
      </c>
      <c r="F238" s="150" t="s">
        <v>917</v>
      </c>
      <c r="G238" s="150" t="s">
        <v>918</v>
      </c>
      <c r="H238" s="229">
        <v>3</v>
      </c>
      <c r="I238" s="229"/>
      <c r="J238" s="253"/>
      <c r="K238" s="425"/>
      <c r="L238" s="1532"/>
      <c r="M238" s="1532"/>
      <c r="N238" s="255"/>
    </row>
    <row r="239" spans="1:14" ht="43.5">
      <c r="A239" s="411"/>
      <c r="B239" s="415"/>
      <c r="C239" s="286"/>
      <c r="D239" s="401" t="s">
        <v>919</v>
      </c>
      <c r="E239" s="316" t="s">
        <v>920</v>
      </c>
      <c r="F239" s="150" t="s">
        <v>917</v>
      </c>
      <c r="G239" s="150" t="s">
        <v>921</v>
      </c>
      <c r="H239" s="229">
        <v>3</v>
      </c>
      <c r="I239" s="229"/>
      <c r="J239" s="253"/>
      <c r="K239" s="425"/>
      <c r="L239" s="1533"/>
      <c r="M239" s="1533"/>
      <c r="N239" s="255"/>
    </row>
    <row r="240" spans="1:14" ht="72" customHeight="1">
      <c r="A240" s="527">
        <v>32</v>
      </c>
      <c r="B240" s="506" t="s">
        <v>268</v>
      </c>
      <c r="C240" s="533" t="s">
        <v>583</v>
      </c>
      <c r="D240" s="383" t="s">
        <v>872</v>
      </c>
      <c r="E240" s="315" t="s">
        <v>884</v>
      </c>
      <c r="F240" s="156" t="s">
        <v>791</v>
      </c>
      <c r="G240" s="156" t="s">
        <v>922</v>
      </c>
      <c r="H240" s="227">
        <v>16</v>
      </c>
      <c r="I240" s="247">
        <v>34</v>
      </c>
      <c r="J240" s="248" t="str">
        <f>IF(I240&gt;=20,"Memenuhi","Tidak Memenuhi")</f>
        <v>Memenuhi</v>
      </c>
      <c r="K240" s="338" t="s">
        <v>381</v>
      </c>
      <c r="L240" s="1531" t="s">
        <v>382</v>
      </c>
      <c r="M240" s="1531" t="s">
        <v>833</v>
      </c>
      <c r="N240" s="320" t="s">
        <v>923</v>
      </c>
    </row>
    <row r="241" spans="1:30" ht="43.5">
      <c r="A241" s="414"/>
      <c r="B241" s="493"/>
      <c r="C241" s="379"/>
      <c r="D241" s="401" t="s">
        <v>887</v>
      </c>
      <c r="E241" s="316" t="s">
        <v>888</v>
      </c>
      <c r="F241" s="150" t="s">
        <v>889</v>
      </c>
      <c r="G241" s="150" t="s">
        <v>924</v>
      </c>
      <c r="H241" s="229">
        <v>4</v>
      </c>
      <c r="I241" s="229"/>
      <c r="J241" s="253"/>
      <c r="K241" s="425"/>
      <c r="L241" s="1532"/>
      <c r="M241" s="1532"/>
      <c r="N241" s="255"/>
    </row>
    <row r="242" spans="1:30" ht="43.5">
      <c r="A242" s="414"/>
      <c r="B242" s="493"/>
      <c r="C242" s="379"/>
      <c r="D242" s="401" t="s">
        <v>892</v>
      </c>
      <c r="E242" s="228">
        <v>45716</v>
      </c>
      <c r="F242" s="249" t="s">
        <v>385</v>
      </c>
      <c r="G242" s="150" t="s">
        <v>925</v>
      </c>
      <c r="H242" s="289">
        <v>4</v>
      </c>
      <c r="I242" s="229"/>
      <c r="J242" s="253"/>
      <c r="K242" s="425"/>
      <c r="L242" s="1532"/>
      <c r="M242" s="1532"/>
      <c r="N242" s="255"/>
    </row>
    <row r="243" spans="1:30" ht="57.75">
      <c r="A243" s="414"/>
      <c r="B243" s="493"/>
      <c r="C243" s="379"/>
      <c r="D243" s="401" t="s">
        <v>565</v>
      </c>
      <c r="E243" s="228">
        <v>45775</v>
      </c>
      <c r="F243" s="150" t="s">
        <v>448</v>
      </c>
      <c r="G243" s="150" t="s">
        <v>926</v>
      </c>
      <c r="H243" s="229">
        <v>2</v>
      </c>
      <c r="I243" s="229"/>
      <c r="J243" s="253"/>
      <c r="K243" s="425"/>
      <c r="L243" s="1532"/>
      <c r="M243" s="1532"/>
      <c r="N243" s="255"/>
    </row>
    <row r="244" spans="1:30" ht="57.75">
      <c r="A244" s="414"/>
      <c r="B244" s="493"/>
      <c r="C244" s="379"/>
      <c r="D244" s="401" t="s">
        <v>450</v>
      </c>
      <c r="E244" s="321" t="s">
        <v>674</v>
      </c>
      <c r="F244" s="168" t="s">
        <v>448</v>
      </c>
      <c r="G244" s="168" t="s">
        <v>927</v>
      </c>
      <c r="H244" s="291">
        <v>2</v>
      </c>
      <c r="I244" s="291"/>
      <c r="J244" s="322"/>
      <c r="K244" s="425"/>
      <c r="L244" s="1532"/>
      <c r="M244" s="1532"/>
      <c r="N244" s="255"/>
    </row>
    <row r="245" spans="1:30" ht="43.5">
      <c r="A245" s="414"/>
      <c r="B245" s="493"/>
      <c r="C245" s="168" t="s">
        <v>742</v>
      </c>
      <c r="D245" s="401" t="s">
        <v>915</v>
      </c>
      <c r="E245" s="316" t="s">
        <v>916</v>
      </c>
      <c r="F245" s="150" t="s">
        <v>917</v>
      </c>
      <c r="G245" s="150" t="s">
        <v>928</v>
      </c>
      <c r="H245" s="229">
        <v>3</v>
      </c>
      <c r="I245" s="229"/>
      <c r="J245" s="253"/>
      <c r="K245" s="425"/>
      <c r="L245" s="1532"/>
      <c r="M245" s="1532"/>
      <c r="N245" s="255"/>
    </row>
    <row r="246" spans="1:30" ht="43.5">
      <c r="A246" s="415"/>
      <c r="B246" s="504"/>
      <c r="C246" s="286"/>
      <c r="D246" s="401" t="s">
        <v>919</v>
      </c>
      <c r="E246" s="316" t="s">
        <v>920</v>
      </c>
      <c r="F246" s="150" t="s">
        <v>917</v>
      </c>
      <c r="G246" s="150" t="s">
        <v>929</v>
      </c>
      <c r="H246" s="229">
        <v>3</v>
      </c>
      <c r="I246" s="229"/>
      <c r="J246" s="253"/>
      <c r="K246" s="425"/>
      <c r="L246" s="1533"/>
      <c r="M246" s="1533"/>
      <c r="N246" s="255"/>
    </row>
    <row r="247" spans="1:30" ht="62.25" customHeight="1">
      <c r="A247" s="527">
        <v>33</v>
      </c>
      <c r="B247" s="530" t="s">
        <v>279</v>
      </c>
      <c r="C247" s="533" t="s">
        <v>583</v>
      </c>
      <c r="D247" s="383" t="s">
        <v>872</v>
      </c>
      <c r="E247" s="315" t="s">
        <v>884</v>
      </c>
      <c r="F247" s="156" t="s">
        <v>791</v>
      </c>
      <c r="G247" s="156" t="s">
        <v>930</v>
      </c>
      <c r="H247" s="227">
        <v>16</v>
      </c>
      <c r="I247" s="247">
        <f>H247+H253+H248+H254+H249+H250+H251+H252</f>
        <v>47</v>
      </c>
      <c r="J247" s="248" t="str">
        <f>IF(I247&gt;=20,"Memenuhi","Tidak Memenuhi")</f>
        <v>Memenuhi</v>
      </c>
      <c r="K247" s="417" t="s">
        <v>381</v>
      </c>
      <c r="L247" s="1538" t="s">
        <v>382</v>
      </c>
      <c r="M247" s="1531" t="s">
        <v>833</v>
      </c>
      <c r="N247" s="219" t="s">
        <v>931</v>
      </c>
      <c r="O247" s="149"/>
    </row>
    <row r="248" spans="1:30" ht="57.75">
      <c r="A248" s="414"/>
      <c r="B248" s="493"/>
      <c r="C248" s="379"/>
      <c r="D248" s="401" t="s">
        <v>932</v>
      </c>
      <c r="E248" s="316" t="s">
        <v>888</v>
      </c>
      <c r="F248" s="150" t="s">
        <v>889</v>
      </c>
      <c r="G248" s="168" t="s">
        <v>933</v>
      </c>
      <c r="H248" s="229">
        <v>3</v>
      </c>
      <c r="I248" s="229"/>
      <c r="J248" s="253"/>
      <c r="K248" s="433"/>
      <c r="L248" s="1539"/>
      <c r="M248" s="1532"/>
      <c r="N248" s="208"/>
    </row>
    <row r="249" spans="1:30" ht="43.5">
      <c r="A249" s="414"/>
      <c r="B249" s="493"/>
      <c r="C249" s="379"/>
      <c r="D249" s="401" t="s">
        <v>892</v>
      </c>
      <c r="E249" s="228">
        <v>45716</v>
      </c>
      <c r="F249" s="249" t="s">
        <v>385</v>
      </c>
      <c r="G249" s="150" t="s">
        <v>934</v>
      </c>
      <c r="H249" s="289">
        <v>4</v>
      </c>
      <c r="I249" s="229"/>
      <c r="J249" s="253"/>
      <c r="K249" s="433"/>
      <c r="L249" s="1539"/>
      <c r="M249" s="1532"/>
      <c r="N249" s="208"/>
    </row>
    <row r="250" spans="1:30" ht="43.5" customHeight="1">
      <c r="A250" s="414"/>
      <c r="B250" s="493"/>
      <c r="C250" s="379"/>
      <c r="D250" s="401" t="s">
        <v>611</v>
      </c>
      <c r="E250" s="228" t="s">
        <v>447</v>
      </c>
      <c r="F250" s="150" t="s">
        <v>448</v>
      </c>
      <c r="G250" s="150" t="s">
        <v>935</v>
      </c>
      <c r="H250" s="289">
        <v>2</v>
      </c>
      <c r="I250" s="229"/>
      <c r="J250" s="253"/>
      <c r="K250" s="433"/>
      <c r="L250" s="1539"/>
      <c r="M250" s="1532"/>
      <c r="N250" s="208"/>
    </row>
    <row r="251" spans="1:30" ht="57.75">
      <c r="A251" s="413"/>
      <c r="B251" s="507"/>
      <c r="C251" s="509"/>
      <c r="D251" s="401" t="s">
        <v>450</v>
      </c>
      <c r="E251" s="328" t="s">
        <v>674</v>
      </c>
      <c r="F251" s="150" t="s">
        <v>448</v>
      </c>
      <c r="G251" s="329" t="s">
        <v>936</v>
      </c>
      <c r="H251" s="330">
        <v>2</v>
      </c>
      <c r="I251" s="293"/>
      <c r="J251" s="295"/>
      <c r="K251" s="552"/>
      <c r="L251" s="1539"/>
      <c r="M251" s="1532"/>
      <c r="N251" s="211"/>
      <c r="O251" s="146"/>
      <c r="P251" s="146"/>
      <c r="Q251" s="146"/>
      <c r="R251" s="146"/>
      <c r="S251" s="146"/>
      <c r="T251" s="146"/>
      <c r="U251" s="146"/>
      <c r="V251" s="146"/>
      <c r="W251" s="146"/>
      <c r="X251" s="146"/>
      <c r="Y251" s="146"/>
      <c r="Z251" s="146"/>
      <c r="AA251" s="146"/>
      <c r="AB251" s="146"/>
      <c r="AC251" s="146"/>
      <c r="AD251" s="146"/>
    </row>
    <row r="252" spans="1:30" ht="28.5">
      <c r="A252" s="413"/>
      <c r="B252" s="507"/>
      <c r="C252" s="550" t="s">
        <v>742</v>
      </c>
      <c r="D252" s="546" t="s">
        <v>422</v>
      </c>
      <c r="E252" s="328" t="s">
        <v>937</v>
      </c>
      <c r="F252" s="150" t="s">
        <v>911</v>
      </c>
      <c r="G252" s="150" t="s">
        <v>423</v>
      </c>
      <c r="H252" s="229">
        <v>13</v>
      </c>
      <c r="I252" s="293"/>
      <c r="J252" s="295"/>
      <c r="K252" s="552"/>
      <c r="L252" s="1539"/>
      <c r="M252" s="1532"/>
      <c r="N252" s="211"/>
      <c r="O252" s="146"/>
      <c r="P252" s="146"/>
      <c r="Q252" s="146"/>
      <c r="R252" s="146"/>
      <c r="S252" s="146"/>
      <c r="T252" s="146"/>
      <c r="U252" s="146"/>
      <c r="V252" s="146"/>
      <c r="W252" s="146"/>
      <c r="X252" s="146"/>
      <c r="Y252" s="146"/>
      <c r="Z252" s="146"/>
      <c r="AA252" s="146"/>
      <c r="AB252" s="146"/>
      <c r="AC252" s="146"/>
      <c r="AD252" s="146"/>
    </row>
    <row r="253" spans="1:30" ht="43.5">
      <c r="A253" s="414"/>
      <c r="B253" s="493"/>
      <c r="C253" s="379"/>
      <c r="D253" s="401" t="s">
        <v>919</v>
      </c>
      <c r="E253" s="316" t="s">
        <v>920</v>
      </c>
      <c r="F253" s="150" t="s">
        <v>917</v>
      </c>
      <c r="G253" s="150" t="s">
        <v>921</v>
      </c>
      <c r="H253" s="229">
        <v>4</v>
      </c>
      <c r="I253" s="229"/>
      <c r="J253" s="253"/>
      <c r="K253" s="433"/>
      <c r="L253" s="1539"/>
      <c r="M253" s="1532"/>
      <c r="N253" s="208"/>
    </row>
    <row r="254" spans="1:30" ht="43.5">
      <c r="A254" s="415"/>
      <c r="B254" s="504"/>
      <c r="C254" s="286"/>
      <c r="D254" s="401" t="s">
        <v>915</v>
      </c>
      <c r="E254" s="316" t="s">
        <v>916</v>
      </c>
      <c r="F254" s="249" t="s">
        <v>917</v>
      </c>
      <c r="G254" s="150" t="s">
        <v>938</v>
      </c>
      <c r="H254" s="289">
        <v>3</v>
      </c>
      <c r="I254" s="229"/>
      <c r="J254" s="253"/>
      <c r="K254" s="438"/>
      <c r="L254" s="1540"/>
      <c r="M254" s="1533"/>
      <c r="N254" s="208"/>
    </row>
    <row r="255" spans="1:30" ht="57.75" customHeight="1">
      <c r="A255" s="547">
        <v>34</v>
      </c>
      <c r="B255" s="548" t="s">
        <v>286</v>
      </c>
      <c r="C255" s="549" t="s">
        <v>939</v>
      </c>
      <c r="D255" s="220" t="s">
        <v>940</v>
      </c>
      <c r="E255" s="323">
        <v>45722</v>
      </c>
      <c r="F255" s="324" t="s">
        <v>941</v>
      </c>
      <c r="G255" s="324" t="s">
        <v>942</v>
      </c>
      <c r="H255" s="325">
        <v>3</v>
      </c>
      <c r="I255" s="326">
        <f>SUM(H255:H262)</f>
        <v>43</v>
      </c>
      <c r="J255" s="327" t="str">
        <f>IF(I255&gt;=20,"Memenuhi","Tidak Memenuhi")</f>
        <v>Memenuhi</v>
      </c>
      <c r="K255" s="436" t="s">
        <v>381</v>
      </c>
      <c r="L255" s="1536" t="s">
        <v>382</v>
      </c>
      <c r="M255" s="1536" t="s">
        <v>943</v>
      </c>
      <c r="N255" s="1557" t="s">
        <v>944</v>
      </c>
    </row>
    <row r="256" spans="1:30" ht="43.5">
      <c r="A256" s="414"/>
      <c r="B256" s="493"/>
      <c r="C256" s="416"/>
      <c r="D256" s="221" t="s">
        <v>945</v>
      </c>
      <c r="E256" s="154">
        <v>45741</v>
      </c>
      <c r="F256" s="147" t="s">
        <v>946</v>
      </c>
      <c r="G256" s="147" t="s">
        <v>947</v>
      </c>
      <c r="H256" s="153">
        <v>2</v>
      </c>
      <c r="I256" s="153"/>
      <c r="J256" s="152"/>
      <c r="K256" s="422"/>
      <c r="L256" s="1544"/>
      <c r="M256" s="1544"/>
      <c r="N256" s="1739"/>
    </row>
    <row r="257" spans="1:30" ht="72">
      <c r="A257" s="414"/>
      <c r="B257" s="493"/>
      <c r="C257" s="379"/>
      <c r="D257" s="222" t="s">
        <v>948</v>
      </c>
      <c r="E257" s="154" t="s">
        <v>949</v>
      </c>
      <c r="F257" s="147" t="s">
        <v>950</v>
      </c>
      <c r="G257" s="147" t="s">
        <v>951</v>
      </c>
      <c r="H257" s="153">
        <v>7</v>
      </c>
      <c r="I257" s="153"/>
      <c r="J257" s="152"/>
      <c r="K257" s="422"/>
      <c r="L257" s="1544"/>
      <c r="M257" s="1544"/>
      <c r="N257" s="1739"/>
    </row>
    <row r="258" spans="1:30" ht="86.25">
      <c r="A258" s="414"/>
      <c r="B258" s="493"/>
      <c r="C258" s="379"/>
      <c r="D258" s="222" t="s">
        <v>952</v>
      </c>
      <c r="E258" s="154" t="s">
        <v>949</v>
      </c>
      <c r="F258" s="147" t="s">
        <v>950</v>
      </c>
      <c r="G258" s="147" t="s">
        <v>953</v>
      </c>
      <c r="H258" s="153">
        <v>7</v>
      </c>
      <c r="I258" s="153"/>
      <c r="J258" s="152"/>
      <c r="K258" s="422"/>
      <c r="L258" s="1544"/>
      <c r="M258" s="1544"/>
      <c r="N258" s="1739"/>
    </row>
    <row r="259" spans="1:30" ht="72">
      <c r="A259" s="414"/>
      <c r="B259" s="493"/>
      <c r="C259" s="286"/>
      <c r="D259" s="222" t="s">
        <v>954</v>
      </c>
      <c r="E259" s="154">
        <v>45786</v>
      </c>
      <c r="F259" s="147" t="s">
        <v>955</v>
      </c>
      <c r="G259" s="147" t="s">
        <v>956</v>
      </c>
      <c r="H259" s="153">
        <v>3</v>
      </c>
      <c r="I259" s="153"/>
      <c r="J259" s="152"/>
      <c r="K259" s="422"/>
      <c r="L259" s="1544"/>
      <c r="M259" s="1544"/>
      <c r="N259" s="1739"/>
    </row>
    <row r="260" spans="1:30" ht="72">
      <c r="A260" s="414"/>
      <c r="B260" s="381"/>
      <c r="C260" s="505" t="s">
        <v>957</v>
      </c>
      <c r="D260" s="545" t="s">
        <v>958</v>
      </c>
      <c r="E260" s="542" t="s">
        <v>959</v>
      </c>
      <c r="F260" s="147" t="s">
        <v>955</v>
      </c>
      <c r="G260" s="147" t="s">
        <v>960</v>
      </c>
      <c r="H260" s="153">
        <v>17</v>
      </c>
      <c r="I260" s="153"/>
      <c r="J260" s="152"/>
      <c r="K260" s="422"/>
      <c r="L260" s="1544"/>
      <c r="M260" s="1544"/>
      <c r="N260" s="1739"/>
    </row>
    <row r="261" spans="1:30" ht="57" customHeight="1">
      <c r="A261" s="472"/>
      <c r="B261" s="538"/>
      <c r="C261" s="541" t="s">
        <v>583</v>
      </c>
      <c r="D261" s="368" t="s">
        <v>661</v>
      </c>
      <c r="E261" s="259" t="s">
        <v>590</v>
      </c>
      <c r="F261" s="237" t="s">
        <v>591</v>
      </c>
      <c r="G261" s="258" t="s">
        <v>77</v>
      </c>
      <c r="H261" s="270">
        <v>2</v>
      </c>
      <c r="I261" s="271"/>
      <c r="J261" s="271"/>
      <c r="K261" s="271"/>
      <c r="L261" s="1544"/>
      <c r="M261" s="1544"/>
      <c r="N261" s="1739"/>
      <c r="O261" s="146"/>
      <c r="P261" s="146"/>
      <c r="Q261" s="146"/>
      <c r="R261" s="146"/>
      <c r="S261" s="146"/>
      <c r="T261" s="146"/>
      <c r="U261" s="146"/>
      <c r="V261" s="146"/>
      <c r="W261" s="146"/>
      <c r="X261" s="146"/>
      <c r="Y261" s="146"/>
      <c r="Z261" s="146"/>
      <c r="AA261" s="146"/>
      <c r="AB261" s="146"/>
      <c r="AC261" s="146"/>
      <c r="AD261" s="146"/>
    </row>
    <row r="262" spans="1:30" ht="43.5">
      <c r="A262" s="537"/>
      <c r="B262" s="539"/>
      <c r="C262" s="372" t="s">
        <v>742</v>
      </c>
      <c r="D262" s="145" t="s">
        <v>961</v>
      </c>
      <c r="E262" s="543" t="s">
        <v>962</v>
      </c>
      <c r="F262" s="145" t="s">
        <v>409</v>
      </c>
      <c r="G262" s="145" t="s">
        <v>963</v>
      </c>
      <c r="H262" s="144">
        <v>2</v>
      </c>
      <c r="I262" s="200"/>
      <c r="J262" s="201"/>
      <c r="K262" s="429"/>
      <c r="L262" s="1537"/>
      <c r="M262" s="1537"/>
      <c r="N262" s="1740"/>
    </row>
    <row r="263" spans="1:30" ht="15" hidden="1" customHeight="1">
      <c r="A263" s="374">
        <v>38</v>
      </c>
      <c r="B263" s="517" t="s">
        <v>299</v>
      </c>
      <c r="C263" s="156"/>
      <c r="D263" s="544" t="s">
        <v>417</v>
      </c>
      <c r="E263" s="134">
        <v>45722</v>
      </c>
      <c r="F263" s="135" t="s">
        <v>418</v>
      </c>
      <c r="G263" s="135" t="s">
        <v>610</v>
      </c>
      <c r="H263" s="136">
        <v>20</v>
      </c>
      <c r="I263" s="166">
        <f>H263+H264</f>
        <v>22</v>
      </c>
      <c r="J263" s="199" t="str">
        <f>IF(I263&gt;=20,"Memenuhi","Tidak Memenuhi")</f>
        <v>Memenuhi</v>
      </c>
      <c r="K263" s="199"/>
      <c r="L263" s="356"/>
      <c r="M263" s="377"/>
      <c r="N263" s="208"/>
    </row>
    <row r="264" spans="1:30" ht="15" hidden="1" customHeight="1">
      <c r="A264" s="223"/>
      <c r="B264" s="216"/>
      <c r="C264" s="168"/>
      <c r="D264" s="157" t="s">
        <v>964</v>
      </c>
      <c r="E264" s="154">
        <v>45714</v>
      </c>
      <c r="F264" s="147" t="s">
        <v>965</v>
      </c>
      <c r="G264" s="147" t="s">
        <v>966</v>
      </c>
      <c r="H264" s="153">
        <v>2</v>
      </c>
      <c r="I264" s="165"/>
      <c r="J264" s="209"/>
      <c r="K264" s="218"/>
      <c r="L264" s="363"/>
      <c r="M264" s="378"/>
      <c r="N264" s="208"/>
    </row>
    <row r="265" spans="1:30" ht="59.25" customHeight="1">
      <c r="A265" s="412">
        <v>35</v>
      </c>
      <c r="B265" s="506" t="s">
        <v>328</v>
      </c>
      <c r="C265" s="508" t="s">
        <v>583</v>
      </c>
      <c r="D265" s="383" t="s">
        <v>872</v>
      </c>
      <c r="E265" s="213" t="s">
        <v>967</v>
      </c>
      <c r="F265" s="135" t="s">
        <v>791</v>
      </c>
      <c r="G265" s="135" t="s">
        <v>968</v>
      </c>
      <c r="H265" s="136">
        <v>16</v>
      </c>
      <c r="I265" s="166">
        <f>H265+H266+H270+H271+H267+H268+H269</f>
        <v>45</v>
      </c>
      <c r="J265" s="199" t="str">
        <f>IF(I265&gt;=20,"Memenuhi","Tidak Memenuhi")</f>
        <v>Memenuhi</v>
      </c>
      <c r="K265" s="179" t="s">
        <v>381</v>
      </c>
      <c r="L265" s="1531" t="s">
        <v>382</v>
      </c>
      <c r="M265" s="1531" t="s">
        <v>833</v>
      </c>
      <c r="N265" s="320" t="s">
        <v>969</v>
      </c>
    </row>
    <row r="266" spans="1:30" ht="43.5">
      <c r="A266" s="414"/>
      <c r="B266" s="531"/>
      <c r="C266" s="535"/>
      <c r="D266" s="401" t="s">
        <v>970</v>
      </c>
      <c r="E266" s="214" t="s">
        <v>888</v>
      </c>
      <c r="F266" s="147" t="s">
        <v>889</v>
      </c>
      <c r="G266" s="147" t="s">
        <v>971</v>
      </c>
      <c r="H266" s="153">
        <v>4</v>
      </c>
      <c r="I266" s="165"/>
      <c r="J266" s="152"/>
      <c r="K266" s="422"/>
      <c r="L266" s="1532"/>
      <c r="M266" s="1532"/>
      <c r="N266" s="331" t="s">
        <v>972</v>
      </c>
    </row>
    <row r="267" spans="1:30" ht="43.5">
      <c r="A267" s="414"/>
      <c r="B267" s="531"/>
      <c r="C267" s="535"/>
      <c r="D267" s="401" t="s">
        <v>892</v>
      </c>
      <c r="E267" s="154">
        <v>45716</v>
      </c>
      <c r="F267" s="147" t="s">
        <v>385</v>
      </c>
      <c r="G267" s="147" t="s">
        <v>973</v>
      </c>
      <c r="H267" s="153">
        <v>4</v>
      </c>
      <c r="I267" s="165"/>
      <c r="J267" s="152"/>
      <c r="K267" s="422"/>
      <c r="L267" s="1532"/>
      <c r="M267" s="1532"/>
      <c r="N267" s="255"/>
    </row>
    <row r="268" spans="1:30" ht="42.75" customHeight="1">
      <c r="A268" s="414"/>
      <c r="B268" s="531"/>
      <c r="C268" s="535"/>
      <c r="D268" s="401" t="s">
        <v>611</v>
      </c>
      <c r="E268" s="154" t="s">
        <v>447</v>
      </c>
      <c r="F268" s="147" t="s">
        <v>448</v>
      </c>
      <c r="G268" s="147" t="s">
        <v>974</v>
      </c>
      <c r="H268" s="215">
        <v>2</v>
      </c>
      <c r="I268" s="165"/>
      <c r="J268" s="152"/>
      <c r="K268" s="422"/>
      <c r="L268" s="1532"/>
      <c r="M268" s="1532"/>
      <c r="N268" s="255"/>
    </row>
    <row r="269" spans="1:30" ht="28.5">
      <c r="A269" s="414"/>
      <c r="B269" s="493"/>
      <c r="C269" s="286"/>
      <c r="D269" s="403" t="s">
        <v>975</v>
      </c>
      <c r="E269" s="169">
        <v>45909</v>
      </c>
      <c r="F269" s="164" t="s">
        <v>976</v>
      </c>
      <c r="G269" s="164" t="s">
        <v>977</v>
      </c>
      <c r="H269" s="170">
        <v>13</v>
      </c>
      <c r="I269" s="217"/>
      <c r="J269" s="224"/>
      <c r="K269" s="422"/>
      <c r="L269" s="1532"/>
      <c r="M269" s="1532"/>
      <c r="N269" s="277"/>
    </row>
    <row r="270" spans="1:30" ht="28.5">
      <c r="A270" s="414"/>
      <c r="B270" s="531"/>
      <c r="C270" s="379" t="s">
        <v>742</v>
      </c>
      <c r="D270" s="401" t="s">
        <v>919</v>
      </c>
      <c r="E270" s="154">
        <v>45701</v>
      </c>
      <c r="F270" s="147" t="s">
        <v>978</v>
      </c>
      <c r="G270" s="147" t="s">
        <v>979</v>
      </c>
      <c r="H270" s="153">
        <v>3</v>
      </c>
      <c r="I270" s="165"/>
      <c r="J270" s="152"/>
      <c r="K270" s="422"/>
      <c r="L270" s="1532"/>
      <c r="M270" s="1532"/>
      <c r="N270" s="255"/>
    </row>
    <row r="271" spans="1:30" ht="43.5">
      <c r="A271" s="415"/>
      <c r="B271" s="532"/>
      <c r="C271" s="534"/>
      <c r="D271" s="401" t="s">
        <v>915</v>
      </c>
      <c r="E271" s="214" t="s">
        <v>980</v>
      </c>
      <c r="F271" s="147" t="s">
        <v>978</v>
      </c>
      <c r="G271" s="147" t="s">
        <v>981</v>
      </c>
      <c r="H271" s="153">
        <v>3</v>
      </c>
      <c r="I271" s="165"/>
      <c r="J271" s="152"/>
      <c r="K271" s="422"/>
      <c r="L271" s="1533"/>
      <c r="M271" s="1533"/>
      <c r="N271" s="255"/>
    </row>
    <row r="272" spans="1:30" ht="69" customHeight="1">
      <c r="A272" s="527">
        <v>36</v>
      </c>
      <c r="B272" s="530" t="s">
        <v>982</v>
      </c>
      <c r="C272" s="533" t="s">
        <v>983</v>
      </c>
      <c r="D272" s="383" t="s">
        <v>417</v>
      </c>
      <c r="E272" s="226">
        <v>45834</v>
      </c>
      <c r="F272" s="156" t="s">
        <v>418</v>
      </c>
      <c r="G272" s="156" t="s">
        <v>984</v>
      </c>
      <c r="H272" s="227">
        <v>20</v>
      </c>
      <c r="I272" s="247">
        <f>SUM(H272:H277)</f>
        <v>56</v>
      </c>
      <c r="J272" s="248" t="str">
        <f>IF(I272&gt;=20,"Memenuhi","Tidak Memenuhi")</f>
        <v>Memenuhi</v>
      </c>
      <c r="K272" s="338" t="s">
        <v>381</v>
      </c>
      <c r="L272" s="1536" t="s">
        <v>382</v>
      </c>
      <c r="M272" s="1536" t="s">
        <v>833</v>
      </c>
      <c r="N272" s="336" t="s">
        <v>985</v>
      </c>
    </row>
    <row r="273" spans="1:30" ht="57.75">
      <c r="A273" s="413"/>
      <c r="B273" s="507"/>
      <c r="C273" s="509"/>
      <c r="D273" s="401" t="s">
        <v>986</v>
      </c>
      <c r="E273" s="229" t="s">
        <v>987</v>
      </c>
      <c r="F273" s="150" t="s">
        <v>988</v>
      </c>
      <c r="G273" s="150" t="s">
        <v>989</v>
      </c>
      <c r="H273" s="229">
        <v>23</v>
      </c>
      <c r="I273" s="293"/>
      <c r="J273" s="333"/>
      <c r="K273" s="432"/>
      <c r="L273" s="1544"/>
      <c r="M273" s="1544"/>
      <c r="N273" s="336" t="s">
        <v>990</v>
      </c>
    </row>
    <row r="274" spans="1:30" ht="43.5">
      <c r="A274" s="413"/>
      <c r="B274" s="507"/>
      <c r="C274" s="510"/>
      <c r="D274" s="385" t="s">
        <v>678</v>
      </c>
      <c r="E274" s="332">
        <v>45831</v>
      </c>
      <c r="F274" s="158" t="s">
        <v>379</v>
      </c>
      <c r="G274" s="158" t="s">
        <v>991</v>
      </c>
      <c r="H274" s="230">
        <v>3</v>
      </c>
      <c r="I274" s="293"/>
      <c r="J274" s="333"/>
      <c r="K274" s="432"/>
      <c r="L274" s="1544"/>
      <c r="M274" s="1544"/>
      <c r="N274" s="336" t="s">
        <v>990</v>
      </c>
    </row>
    <row r="275" spans="1:30" ht="41.25" customHeight="1">
      <c r="A275" s="413"/>
      <c r="B275" s="405"/>
      <c r="C275" s="488" t="s">
        <v>992</v>
      </c>
      <c r="D275" s="158" t="s">
        <v>993</v>
      </c>
      <c r="E275" s="332">
        <v>45825</v>
      </c>
      <c r="F275" s="158" t="s">
        <v>413</v>
      </c>
      <c r="G275" s="158" t="s">
        <v>994</v>
      </c>
      <c r="H275" s="230">
        <v>4</v>
      </c>
      <c r="I275" s="293"/>
      <c r="J275" s="333"/>
      <c r="K275" s="432"/>
      <c r="L275" s="1544"/>
      <c r="M275" s="1544"/>
      <c r="N275" s="336" t="s">
        <v>995</v>
      </c>
    </row>
    <row r="276" spans="1:30" ht="43.5">
      <c r="A276" s="413"/>
      <c r="B276" s="405"/>
      <c r="C276" s="385" t="s">
        <v>742</v>
      </c>
      <c r="D276" s="150" t="s">
        <v>996</v>
      </c>
      <c r="E276" s="229" t="s">
        <v>997</v>
      </c>
      <c r="F276" s="150" t="s">
        <v>488</v>
      </c>
      <c r="G276" s="334" t="s">
        <v>994</v>
      </c>
      <c r="H276" s="230">
        <v>4</v>
      </c>
      <c r="I276" s="293"/>
      <c r="J276" s="333"/>
      <c r="K276" s="432"/>
      <c r="L276" s="1544"/>
      <c r="M276" s="1544"/>
      <c r="N276" s="336" t="s">
        <v>998</v>
      </c>
    </row>
    <row r="277" spans="1:30" ht="57.75">
      <c r="A277" s="413"/>
      <c r="B277" s="405"/>
      <c r="C277" s="385" t="s">
        <v>742</v>
      </c>
      <c r="D277" s="150" t="s">
        <v>999</v>
      </c>
      <c r="E277" s="229" t="s">
        <v>1000</v>
      </c>
      <c r="F277" s="150" t="s">
        <v>488</v>
      </c>
      <c r="G277" s="150" t="s">
        <v>1001</v>
      </c>
      <c r="H277" s="229">
        <v>2</v>
      </c>
      <c r="I277" s="293"/>
      <c r="J277" s="333"/>
      <c r="K277" s="432"/>
      <c r="L277" s="1537"/>
      <c r="M277" s="1537"/>
      <c r="N277" s="336" t="s">
        <v>995</v>
      </c>
    </row>
    <row r="278" spans="1:30" ht="60.75" customHeight="1">
      <c r="A278" s="490">
        <v>37</v>
      </c>
      <c r="B278" s="492" t="s">
        <v>1002</v>
      </c>
      <c r="C278" s="491" t="s">
        <v>992</v>
      </c>
      <c r="D278" s="174" t="s">
        <v>1003</v>
      </c>
      <c r="E278" s="175" t="s">
        <v>662</v>
      </c>
      <c r="F278" s="176" t="s">
        <v>413</v>
      </c>
      <c r="G278" s="176" t="s">
        <v>1004</v>
      </c>
      <c r="H278" s="175">
        <v>4</v>
      </c>
      <c r="I278" s="175">
        <v>59</v>
      </c>
      <c r="J278" s="335" t="str">
        <f>IF(I278&gt;=20,"Memenuhi","Tidak Memenuhi")</f>
        <v>Memenuhi</v>
      </c>
      <c r="K278" s="335" t="s">
        <v>381</v>
      </c>
      <c r="L278" s="1565" t="s">
        <v>382</v>
      </c>
      <c r="M278" s="1567" t="s">
        <v>1005</v>
      </c>
      <c r="N278" s="1558" t="s">
        <v>1006</v>
      </c>
      <c r="O278" s="177"/>
      <c r="P278" s="177"/>
      <c r="Q278" s="177"/>
      <c r="R278" s="177"/>
      <c r="S278" s="177"/>
      <c r="T278" s="177"/>
      <c r="U278" s="177"/>
      <c r="V278" s="177"/>
      <c r="W278" s="177"/>
      <c r="X278" s="177"/>
      <c r="Y278" s="177"/>
      <c r="Z278" s="177"/>
      <c r="AA278" s="177"/>
      <c r="AB278" s="177"/>
      <c r="AC278" s="177"/>
      <c r="AD278" s="177"/>
    </row>
    <row r="279" spans="1:30" ht="57.75">
      <c r="A279" s="414"/>
      <c r="B279" s="381"/>
      <c r="C279" s="403" t="s">
        <v>742</v>
      </c>
      <c r="D279" s="150" t="s">
        <v>636</v>
      </c>
      <c r="E279" s="153" t="s">
        <v>453</v>
      </c>
      <c r="F279" s="147" t="s">
        <v>632</v>
      </c>
      <c r="G279" s="147" t="s">
        <v>1007</v>
      </c>
      <c r="H279" s="153">
        <v>4</v>
      </c>
      <c r="I279" s="153"/>
      <c r="J279" s="224"/>
      <c r="K279" s="422"/>
      <c r="L279" s="1566"/>
      <c r="M279" s="1567"/>
      <c r="N279" s="1741"/>
    </row>
    <row r="280" spans="1:30" ht="54.75" customHeight="1">
      <c r="A280" s="414"/>
      <c r="B280" s="493"/>
      <c r="C280" s="494" t="s">
        <v>1008</v>
      </c>
      <c r="D280" s="401" t="s">
        <v>417</v>
      </c>
      <c r="E280" s="153" t="s">
        <v>1000</v>
      </c>
      <c r="F280" s="147" t="s">
        <v>1009</v>
      </c>
      <c r="G280" s="147" t="s">
        <v>1010</v>
      </c>
      <c r="H280" s="153">
        <v>20</v>
      </c>
      <c r="I280" s="153"/>
      <c r="J280" s="224"/>
      <c r="K280" s="422"/>
      <c r="L280" s="1566"/>
      <c r="M280" s="1567"/>
      <c r="N280" s="1741"/>
    </row>
    <row r="281" spans="1:30" ht="55.5" customHeight="1">
      <c r="A281" s="414"/>
      <c r="B281" s="493"/>
      <c r="C281" s="286"/>
      <c r="D281" s="401" t="s">
        <v>986</v>
      </c>
      <c r="E281" s="153" t="s">
        <v>1011</v>
      </c>
      <c r="F281" s="147" t="s">
        <v>988</v>
      </c>
      <c r="G281" s="147" t="s">
        <v>1012</v>
      </c>
      <c r="H281" s="153">
        <v>23</v>
      </c>
      <c r="I281" s="153"/>
      <c r="J281" s="224"/>
      <c r="K281" s="422"/>
      <c r="L281" s="1566"/>
      <c r="M281" s="1567"/>
      <c r="N281" s="1741"/>
    </row>
    <row r="282" spans="1:30" ht="69" customHeight="1">
      <c r="A282" s="414"/>
      <c r="B282" s="381"/>
      <c r="C282" s="281"/>
      <c r="D282" s="150" t="s">
        <v>1013</v>
      </c>
      <c r="E282" s="153" t="s">
        <v>519</v>
      </c>
      <c r="F282" s="147" t="s">
        <v>1014</v>
      </c>
      <c r="G282" s="147" t="s">
        <v>1015</v>
      </c>
      <c r="H282" s="153">
        <v>13</v>
      </c>
      <c r="I282" s="153"/>
      <c r="J282" s="224"/>
      <c r="K282" s="424"/>
      <c r="L282" s="1566"/>
      <c r="M282" s="1567"/>
      <c r="N282" s="1742"/>
    </row>
    <row r="283" spans="1:30" ht="72" customHeight="1">
      <c r="A283" s="412">
        <v>38</v>
      </c>
      <c r="B283" s="370" t="s">
        <v>1016</v>
      </c>
      <c r="C283" s="497" t="s">
        <v>992</v>
      </c>
      <c r="D283" s="156" t="s">
        <v>1017</v>
      </c>
      <c r="E283" s="136" t="s">
        <v>662</v>
      </c>
      <c r="F283" s="135" t="s">
        <v>413</v>
      </c>
      <c r="G283" s="135" t="s">
        <v>1018</v>
      </c>
      <c r="H283" s="136">
        <v>4</v>
      </c>
      <c r="I283" s="136">
        <v>30</v>
      </c>
      <c r="J283" s="179" t="str">
        <f>IF(I283&gt;=20,"Memenuhi","Tidak Memenuhi")</f>
        <v>Memenuhi</v>
      </c>
      <c r="K283" s="496" t="s">
        <v>381</v>
      </c>
      <c r="L283" s="1536" t="s">
        <v>1019</v>
      </c>
      <c r="M283" s="1536" t="s">
        <v>1020</v>
      </c>
      <c r="N283" s="208"/>
    </row>
    <row r="284" spans="1:30" ht="56.25" customHeight="1">
      <c r="A284" s="414"/>
      <c r="B284" s="493"/>
      <c r="C284" s="494" t="s">
        <v>1008</v>
      </c>
      <c r="D284" s="401" t="s">
        <v>636</v>
      </c>
      <c r="E284" s="153" t="s">
        <v>453</v>
      </c>
      <c r="F284" s="147" t="s">
        <v>632</v>
      </c>
      <c r="G284" s="147" t="s">
        <v>1021</v>
      </c>
      <c r="H284" s="153">
        <v>4</v>
      </c>
      <c r="I284" s="153"/>
      <c r="J284" s="224"/>
      <c r="K284" s="422"/>
      <c r="L284" s="1544"/>
      <c r="M284" s="1544"/>
      <c r="N284" s="208"/>
    </row>
    <row r="285" spans="1:30" ht="57.75">
      <c r="A285" s="414"/>
      <c r="B285" s="493"/>
      <c r="C285" s="379"/>
      <c r="D285" s="319" t="s">
        <v>999</v>
      </c>
      <c r="E285" s="153" t="s">
        <v>1000</v>
      </c>
      <c r="F285" s="147" t="s">
        <v>488</v>
      </c>
      <c r="G285" s="147" t="s">
        <v>1022</v>
      </c>
      <c r="H285" s="153">
        <v>2</v>
      </c>
      <c r="I285" s="153"/>
      <c r="J285" s="224"/>
      <c r="K285" s="422"/>
      <c r="L285" s="1544"/>
      <c r="M285" s="1544"/>
      <c r="N285" s="208"/>
    </row>
    <row r="286" spans="1:30" ht="57.75">
      <c r="A286" s="414"/>
      <c r="B286" s="493"/>
      <c r="C286" s="510"/>
      <c r="D286" s="401" t="s">
        <v>417</v>
      </c>
      <c r="E286" s="153" t="s">
        <v>1000</v>
      </c>
      <c r="F286" s="147" t="s">
        <v>1009</v>
      </c>
      <c r="G286" s="147" t="s">
        <v>598</v>
      </c>
      <c r="H286" s="153">
        <v>20</v>
      </c>
      <c r="I286" s="153"/>
      <c r="J286" s="224"/>
      <c r="K286" s="422"/>
      <c r="L286" s="1537"/>
      <c r="M286" s="1537"/>
      <c r="N286" s="208"/>
    </row>
    <row r="287" spans="1:30" ht="57.75" customHeight="1">
      <c r="A287" s="396">
        <v>39</v>
      </c>
      <c r="B287" s="498" t="s">
        <v>1023</v>
      </c>
      <c r="C287" s="511" t="s">
        <v>992</v>
      </c>
      <c r="D287" s="156" t="s">
        <v>1024</v>
      </c>
      <c r="E287" s="226">
        <v>45825</v>
      </c>
      <c r="F287" s="156" t="s">
        <v>413</v>
      </c>
      <c r="G287" s="156" t="s">
        <v>1025</v>
      </c>
      <c r="H287" s="227">
        <v>4</v>
      </c>
      <c r="I287" s="247">
        <f>SUM(H287:H293)</f>
        <v>50</v>
      </c>
      <c r="J287" s="338" t="str">
        <f>IF(I287&gt;=20,"Memenuhi","Tidak Memenuhi")</f>
        <v>Memenuhi</v>
      </c>
      <c r="K287" s="338" t="s">
        <v>381</v>
      </c>
      <c r="L287" s="1536" t="s">
        <v>382</v>
      </c>
      <c r="M287" s="1536" t="s">
        <v>1026</v>
      </c>
      <c r="N287" s="369" t="s">
        <v>1027</v>
      </c>
    </row>
    <row r="288" spans="1:30" ht="56.25" customHeight="1">
      <c r="A288" s="410"/>
      <c r="B288" s="503"/>
      <c r="C288" s="494" t="s">
        <v>1008</v>
      </c>
      <c r="D288" s="385" t="s">
        <v>1028</v>
      </c>
      <c r="E288" s="332">
        <v>45831</v>
      </c>
      <c r="F288" s="158" t="s">
        <v>379</v>
      </c>
      <c r="G288" s="158" t="s">
        <v>1029</v>
      </c>
      <c r="H288" s="230">
        <v>3</v>
      </c>
      <c r="I288" s="229"/>
      <c r="J288" s="322"/>
      <c r="K288" s="425"/>
      <c r="L288" s="1544"/>
      <c r="M288" s="1544"/>
      <c r="N288" s="485"/>
    </row>
    <row r="289" spans="1:14" ht="66.75" customHeight="1">
      <c r="A289" s="410"/>
      <c r="B289" s="503"/>
      <c r="C289" s="379"/>
      <c r="D289" s="385" t="s">
        <v>1030</v>
      </c>
      <c r="E289" s="337">
        <v>45917</v>
      </c>
      <c r="F289" s="158" t="s">
        <v>379</v>
      </c>
      <c r="G289" s="158" t="s">
        <v>1031</v>
      </c>
      <c r="H289" s="229">
        <v>6</v>
      </c>
      <c r="I289" s="229"/>
      <c r="J289" s="322"/>
      <c r="K289" s="425"/>
      <c r="L289" s="1544"/>
      <c r="M289" s="1544"/>
      <c r="N289" s="485"/>
    </row>
    <row r="290" spans="1:14" ht="64.5" customHeight="1">
      <c r="A290" s="410"/>
      <c r="B290" s="503"/>
      <c r="C290" s="379"/>
      <c r="D290" s="385" t="s">
        <v>1032</v>
      </c>
      <c r="E290" s="178">
        <v>45926</v>
      </c>
      <c r="F290" s="145" t="s">
        <v>379</v>
      </c>
      <c r="G290" s="145" t="s">
        <v>1033</v>
      </c>
      <c r="H290" s="153">
        <v>2</v>
      </c>
      <c r="I290" s="153"/>
      <c r="J290" s="224"/>
      <c r="K290" s="422"/>
      <c r="L290" s="1544"/>
      <c r="M290" s="1544"/>
      <c r="N290" s="486"/>
    </row>
    <row r="291" spans="1:14" ht="57.75">
      <c r="A291" s="410"/>
      <c r="B291" s="503"/>
      <c r="C291" s="416"/>
      <c r="D291" s="401" t="s">
        <v>417</v>
      </c>
      <c r="E291" s="332">
        <v>45840</v>
      </c>
      <c r="F291" s="150" t="s">
        <v>1009</v>
      </c>
      <c r="G291" s="150" t="s">
        <v>598</v>
      </c>
      <c r="H291" s="229">
        <v>20</v>
      </c>
      <c r="I291" s="229"/>
      <c r="J291" s="322"/>
      <c r="K291" s="425"/>
      <c r="L291" s="1544"/>
      <c r="M291" s="1544"/>
      <c r="N291" s="485"/>
    </row>
    <row r="292" spans="1:14" ht="43.5">
      <c r="A292" s="410"/>
      <c r="B292" s="503"/>
      <c r="C292" s="286"/>
      <c r="D292" s="401" t="s">
        <v>1034</v>
      </c>
      <c r="E292" s="337">
        <v>45909</v>
      </c>
      <c r="F292" s="150" t="s">
        <v>1009</v>
      </c>
      <c r="G292" s="150" t="s">
        <v>977</v>
      </c>
      <c r="H292" s="229">
        <v>13</v>
      </c>
      <c r="I292" s="229"/>
      <c r="J292" s="322"/>
      <c r="K292" s="425"/>
      <c r="L292" s="1544"/>
      <c r="M292" s="1544"/>
      <c r="N292" s="485"/>
    </row>
    <row r="293" spans="1:14" ht="57.75">
      <c r="A293" s="411"/>
      <c r="B293" s="457"/>
      <c r="C293" s="281" t="s">
        <v>742</v>
      </c>
      <c r="D293" s="150" t="s">
        <v>999</v>
      </c>
      <c r="E293" s="332">
        <v>45853</v>
      </c>
      <c r="F293" s="150" t="s">
        <v>488</v>
      </c>
      <c r="G293" s="158" t="s">
        <v>1035</v>
      </c>
      <c r="H293" s="229">
        <v>2</v>
      </c>
      <c r="I293" s="229"/>
      <c r="J293" s="322"/>
      <c r="K293" s="425"/>
      <c r="L293" s="1537"/>
      <c r="M293" s="1537"/>
      <c r="N293" s="485"/>
    </row>
    <row r="294" spans="1:14" ht="91.5" customHeight="1">
      <c r="A294" s="374">
        <v>40</v>
      </c>
      <c r="B294" s="455" t="s">
        <v>1036</v>
      </c>
      <c r="C294" s="174" t="s">
        <v>992</v>
      </c>
      <c r="D294" s="156" t="s">
        <v>1037</v>
      </c>
      <c r="E294" s="227" t="s">
        <v>1038</v>
      </c>
      <c r="F294" s="156" t="s">
        <v>413</v>
      </c>
      <c r="G294" s="156" t="s">
        <v>1039</v>
      </c>
      <c r="H294" s="227">
        <v>4</v>
      </c>
      <c r="I294" s="227">
        <v>24</v>
      </c>
      <c r="J294" s="338" t="str">
        <f>IF(I294&gt;=20,"Memenuhi","Tidak Memenuhi")</f>
        <v>Memenuhi</v>
      </c>
      <c r="K294" s="338" t="s">
        <v>381</v>
      </c>
      <c r="L294" s="1536" t="s">
        <v>1019</v>
      </c>
      <c r="M294" s="1536" t="s">
        <v>1040</v>
      </c>
      <c r="N294" s="208"/>
    </row>
    <row r="295" spans="1:14" ht="78.75" customHeight="1">
      <c r="A295" s="223"/>
      <c r="B295" s="216"/>
      <c r="C295" s="262" t="s">
        <v>1008</v>
      </c>
      <c r="D295" s="150" t="s">
        <v>1041</v>
      </c>
      <c r="E295" s="229" t="s">
        <v>1042</v>
      </c>
      <c r="F295" s="150" t="s">
        <v>418</v>
      </c>
      <c r="G295" s="150" t="s">
        <v>552</v>
      </c>
      <c r="H295" s="229">
        <v>20</v>
      </c>
      <c r="I295" s="229"/>
      <c r="J295" s="322"/>
      <c r="K295" s="425"/>
      <c r="L295" s="1537"/>
      <c r="M295" s="1537"/>
      <c r="N295" s="208"/>
    </row>
    <row r="296" spans="1:14" ht="81" customHeight="1">
      <c r="A296" s="412">
        <v>41</v>
      </c>
      <c r="B296" s="300" t="s">
        <v>1043</v>
      </c>
      <c r="C296" s="497" t="s">
        <v>992</v>
      </c>
      <c r="D296" s="156" t="s">
        <v>1037</v>
      </c>
      <c r="E296" s="136" t="s">
        <v>1038</v>
      </c>
      <c r="F296" s="135" t="s">
        <v>413</v>
      </c>
      <c r="G296" s="135" t="s">
        <v>1044</v>
      </c>
      <c r="H296" s="136">
        <v>4</v>
      </c>
      <c r="I296" s="136">
        <v>33</v>
      </c>
      <c r="J296" s="179" t="str">
        <f>IF(I296&gt;=20,"Memenuhi","Tidak Memenuhi")</f>
        <v>Memenuhi</v>
      </c>
      <c r="K296" s="179" t="s">
        <v>381</v>
      </c>
      <c r="L296" s="1536" t="s">
        <v>1019</v>
      </c>
      <c r="M296" s="1536" t="s">
        <v>1045</v>
      </c>
      <c r="N296" s="167" t="s">
        <v>1046</v>
      </c>
    </row>
    <row r="297" spans="1:14" ht="67.5" customHeight="1">
      <c r="A297" s="414"/>
      <c r="B297" s="381"/>
      <c r="C297" s="495" t="s">
        <v>1008</v>
      </c>
      <c r="D297" s="401" t="s">
        <v>636</v>
      </c>
      <c r="E297" s="153" t="s">
        <v>453</v>
      </c>
      <c r="F297" s="147" t="s">
        <v>632</v>
      </c>
      <c r="G297" s="147" t="s">
        <v>1047</v>
      </c>
      <c r="H297" s="153">
        <v>4</v>
      </c>
      <c r="I297" s="153"/>
      <c r="J297" s="224"/>
      <c r="K297" s="422"/>
      <c r="L297" s="1544"/>
      <c r="M297" s="1544"/>
      <c r="N297" s="208"/>
    </row>
    <row r="298" spans="1:14" ht="57" customHeight="1">
      <c r="A298" s="414"/>
      <c r="B298" s="381"/>
      <c r="C298" s="404"/>
      <c r="D298" s="401" t="s">
        <v>999</v>
      </c>
      <c r="E298" s="153" t="s">
        <v>1000</v>
      </c>
      <c r="F298" s="147" t="s">
        <v>488</v>
      </c>
      <c r="G298" s="147" t="s">
        <v>1048</v>
      </c>
      <c r="H298" s="153">
        <v>2</v>
      </c>
      <c r="I298" s="153"/>
      <c r="J298" s="224"/>
      <c r="K298" s="422"/>
      <c r="L298" s="1544"/>
      <c r="M298" s="1544"/>
      <c r="N298" s="208"/>
    </row>
    <row r="299" spans="1:14" ht="65.25" customHeight="1">
      <c r="A299" s="414"/>
      <c r="B299" s="381"/>
      <c r="C299" s="281"/>
      <c r="D299" s="401" t="s">
        <v>986</v>
      </c>
      <c r="E299" s="153" t="s">
        <v>1011</v>
      </c>
      <c r="F299" s="147" t="s">
        <v>988</v>
      </c>
      <c r="G299" s="147" t="s">
        <v>1049</v>
      </c>
      <c r="H299" s="153">
        <v>23</v>
      </c>
      <c r="I299" s="153"/>
      <c r="J299" s="224"/>
      <c r="K299" s="422"/>
      <c r="L299" s="1537"/>
      <c r="M299" s="1537"/>
      <c r="N299" s="208"/>
    </row>
    <row r="300" spans="1:14" ht="68.25" customHeight="1">
      <c r="A300" s="512">
        <v>42</v>
      </c>
      <c r="B300" s="514" t="s">
        <v>1050</v>
      </c>
      <c r="C300" s="511" t="s">
        <v>992</v>
      </c>
      <c r="D300" s="156" t="s">
        <v>1017</v>
      </c>
      <c r="E300" s="136" t="s">
        <v>662</v>
      </c>
      <c r="F300" s="135" t="s">
        <v>413</v>
      </c>
      <c r="G300" s="135" t="s">
        <v>1051</v>
      </c>
      <c r="H300" s="136">
        <v>4</v>
      </c>
      <c r="I300" s="166">
        <f>SUM(H300:H304)</f>
        <v>32</v>
      </c>
      <c r="J300" s="179" t="str">
        <f>IF(I300&gt;=20,"Memenuhi","Tidak Memenuhi")</f>
        <v>Memenuhi</v>
      </c>
      <c r="K300" s="179" t="s">
        <v>381</v>
      </c>
      <c r="L300" s="1536" t="s">
        <v>1019</v>
      </c>
      <c r="M300" s="1548" t="s">
        <v>1026</v>
      </c>
      <c r="N300" s="1559" t="s">
        <v>1052</v>
      </c>
    </row>
    <row r="301" spans="1:14" ht="55.5" customHeight="1">
      <c r="A301" s="414"/>
      <c r="B301" s="493"/>
      <c r="C301" s="494" t="s">
        <v>1008</v>
      </c>
      <c r="D301" s="401" t="s">
        <v>1053</v>
      </c>
      <c r="E301" s="153" t="s">
        <v>1054</v>
      </c>
      <c r="F301" s="147" t="s">
        <v>1055</v>
      </c>
      <c r="G301" s="147" t="s">
        <v>1056</v>
      </c>
      <c r="H301" s="153">
        <v>3</v>
      </c>
      <c r="I301" s="153"/>
      <c r="J301" s="224"/>
      <c r="K301" s="422"/>
      <c r="L301" s="1544"/>
      <c r="M301" s="1550"/>
      <c r="N301" s="1739"/>
    </row>
    <row r="302" spans="1:14" ht="65.25" customHeight="1">
      <c r="A302" s="414"/>
      <c r="B302" s="493"/>
      <c r="C302" s="379"/>
      <c r="D302" s="401" t="s">
        <v>764</v>
      </c>
      <c r="E302" s="153" t="s">
        <v>657</v>
      </c>
      <c r="F302" s="147" t="s">
        <v>379</v>
      </c>
      <c r="G302" s="147" t="s">
        <v>1057</v>
      </c>
      <c r="H302" s="153">
        <v>3</v>
      </c>
      <c r="I302" s="153"/>
      <c r="J302" s="224"/>
      <c r="K302" s="422"/>
      <c r="L302" s="1544"/>
      <c r="M302" s="1550"/>
      <c r="N302" s="1739"/>
    </row>
    <row r="303" spans="1:14" ht="57.75">
      <c r="A303" s="414"/>
      <c r="B303" s="493"/>
      <c r="C303" s="379"/>
      <c r="D303" s="401" t="s">
        <v>417</v>
      </c>
      <c r="E303" s="153" t="s">
        <v>1042</v>
      </c>
      <c r="F303" s="147" t="s">
        <v>418</v>
      </c>
      <c r="G303" s="147" t="s">
        <v>598</v>
      </c>
      <c r="H303" s="153">
        <v>20</v>
      </c>
      <c r="I303" s="153"/>
      <c r="J303" s="224"/>
      <c r="K303" s="422"/>
      <c r="L303" s="1544"/>
      <c r="M303" s="1550"/>
      <c r="N303" s="1739"/>
    </row>
    <row r="304" spans="1:14" ht="57.75">
      <c r="A304" s="414"/>
      <c r="B304" s="493"/>
      <c r="C304" s="286"/>
      <c r="D304" s="401" t="s">
        <v>999</v>
      </c>
      <c r="E304" s="153" t="s">
        <v>1000</v>
      </c>
      <c r="F304" s="147" t="s">
        <v>488</v>
      </c>
      <c r="G304" s="147" t="s">
        <v>1058</v>
      </c>
      <c r="H304" s="153">
        <v>2</v>
      </c>
      <c r="I304" s="153"/>
      <c r="J304" s="224"/>
      <c r="K304" s="422"/>
      <c r="L304" s="1537"/>
      <c r="M304" s="1549"/>
      <c r="N304" s="1740"/>
    </row>
    <row r="305" spans="1:14" ht="57.75" customHeight="1">
      <c r="A305" s="412">
        <v>43</v>
      </c>
      <c r="B305" s="370" t="s">
        <v>1059</v>
      </c>
      <c r="C305" s="511" t="s">
        <v>992</v>
      </c>
      <c r="D305" s="156" t="s">
        <v>1053</v>
      </c>
      <c r="E305" s="136" t="s">
        <v>1054</v>
      </c>
      <c r="F305" s="135" t="s">
        <v>1055</v>
      </c>
      <c r="G305" s="135" t="s">
        <v>1060</v>
      </c>
      <c r="H305" s="136">
        <v>3</v>
      </c>
      <c r="I305" s="166">
        <f>SUM(H305:H316)</f>
        <v>77</v>
      </c>
      <c r="J305" s="179" t="str">
        <f>IF(I305&gt;=20,"Memenuhi","Tidak Memenuhi")</f>
        <v>Memenuhi</v>
      </c>
      <c r="K305" s="179" t="s">
        <v>381</v>
      </c>
      <c r="L305" s="1536" t="s">
        <v>382</v>
      </c>
      <c r="M305" s="1536" t="s">
        <v>1026</v>
      </c>
      <c r="N305" s="167" t="s">
        <v>1061</v>
      </c>
    </row>
    <row r="306" spans="1:14" ht="72">
      <c r="A306" s="414"/>
      <c r="B306" s="493"/>
      <c r="C306" s="494" t="s">
        <v>1008</v>
      </c>
      <c r="D306" s="401" t="s">
        <v>764</v>
      </c>
      <c r="E306" s="153" t="s">
        <v>657</v>
      </c>
      <c r="F306" s="147" t="s">
        <v>379</v>
      </c>
      <c r="G306" s="147" t="s">
        <v>1062</v>
      </c>
      <c r="H306" s="153">
        <v>3</v>
      </c>
      <c r="I306" s="153"/>
      <c r="J306" s="224"/>
      <c r="K306" s="422"/>
      <c r="L306" s="1544"/>
      <c r="M306" s="1544"/>
      <c r="N306" s="208"/>
    </row>
    <row r="307" spans="1:14" ht="57.75">
      <c r="A307" s="414"/>
      <c r="B307" s="493"/>
      <c r="C307" s="379"/>
      <c r="D307" s="401" t="s">
        <v>1063</v>
      </c>
      <c r="E307" s="153" t="s">
        <v>1064</v>
      </c>
      <c r="F307" s="147" t="s">
        <v>418</v>
      </c>
      <c r="G307" s="147" t="s">
        <v>1065</v>
      </c>
      <c r="H307" s="153">
        <v>20</v>
      </c>
      <c r="I307" s="153"/>
      <c r="J307" s="224"/>
      <c r="K307" s="422"/>
      <c r="L307" s="1544"/>
      <c r="M307" s="1544"/>
      <c r="N307" s="208"/>
    </row>
    <row r="308" spans="1:14" ht="57.75">
      <c r="A308" s="414"/>
      <c r="B308" s="493"/>
      <c r="C308" s="379"/>
      <c r="D308" s="401" t="s">
        <v>636</v>
      </c>
      <c r="E308" s="153" t="s">
        <v>453</v>
      </c>
      <c r="F308" s="147" t="s">
        <v>663</v>
      </c>
      <c r="G308" s="180" t="s">
        <v>1066</v>
      </c>
      <c r="H308" s="153">
        <v>4</v>
      </c>
      <c r="I308" s="153"/>
      <c r="J308" s="224"/>
      <c r="K308" s="422"/>
      <c r="L308" s="1544"/>
      <c r="M308" s="1544"/>
      <c r="N308" s="208"/>
    </row>
    <row r="309" spans="1:14" ht="86.25">
      <c r="A309" s="414"/>
      <c r="B309" s="493"/>
      <c r="C309" s="379"/>
      <c r="D309" s="401" t="s">
        <v>1067</v>
      </c>
      <c r="E309" s="153" t="s">
        <v>464</v>
      </c>
      <c r="F309" s="147" t="s">
        <v>379</v>
      </c>
      <c r="G309" s="147" t="s">
        <v>1068</v>
      </c>
      <c r="H309" s="153">
        <v>6</v>
      </c>
      <c r="I309" s="153"/>
      <c r="J309" s="224"/>
      <c r="K309" s="422"/>
      <c r="L309" s="1544"/>
      <c r="M309" s="1544"/>
      <c r="N309" s="208"/>
    </row>
    <row r="310" spans="1:14" ht="57.75">
      <c r="A310" s="414"/>
      <c r="B310" s="493"/>
      <c r="C310" s="379"/>
      <c r="D310" s="401" t="s">
        <v>986</v>
      </c>
      <c r="E310" s="153" t="s">
        <v>1069</v>
      </c>
      <c r="F310" s="147" t="s">
        <v>1070</v>
      </c>
      <c r="G310" s="147" t="s">
        <v>989</v>
      </c>
      <c r="H310" s="153">
        <v>23</v>
      </c>
      <c r="I310" s="153"/>
      <c r="J310" s="224"/>
      <c r="K310" s="422"/>
      <c r="L310" s="1544"/>
      <c r="M310" s="1544"/>
      <c r="N310" s="208"/>
    </row>
    <row r="311" spans="1:14" ht="72">
      <c r="A311" s="414"/>
      <c r="B311" s="493"/>
      <c r="C311" s="379"/>
      <c r="D311" s="401" t="s">
        <v>1071</v>
      </c>
      <c r="E311" s="178">
        <v>45917</v>
      </c>
      <c r="F311" s="147" t="s">
        <v>1072</v>
      </c>
      <c r="G311" s="147" t="s">
        <v>1073</v>
      </c>
      <c r="H311" s="153">
        <v>6</v>
      </c>
      <c r="I311" s="153"/>
      <c r="J311" s="224"/>
      <c r="K311" s="422"/>
      <c r="L311" s="1544"/>
      <c r="M311" s="1544"/>
      <c r="N311" s="208"/>
    </row>
    <row r="312" spans="1:14" ht="72">
      <c r="A312" s="414"/>
      <c r="B312" s="493"/>
      <c r="C312" s="379"/>
      <c r="D312" s="403" t="s">
        <v>645</v>
      </c>
      <c r="E312" s="178">
        <v>45926</v>
      </c>
      <c r="F312" s="147" t="s">
        <v>1072</v>
      </c>
      <c r="G312" s="147" t="s">
        <v>1074</v>
      </c>
      <c r="H312" s="153">
        <v>2</v>
      </c>
      <c r="I312" s="153"/>
      <c r="J312" s="224"/>
      <c r="K312" s="422"/>
      <c r="L312" s="1544"/>
      <c r="M312" s="1544"/>
      <c r="N312" s="208"/>
    </row>
    <row r="313" spans="1:14" ht="57.75">
      <c r="A313" s="414"/>
      <c r="B313" s="493"/>
      <c r="C313" s="379"/>
      <c r="D313" s="319" t="s">
        <v>424</v>
      </c>
      <c r="E313" s="215" t="s">
        <v>1075</v>
      </c>
      <c r="F313" s="150" t="s">
        <v>1076</v>
      </c>
      <c r="G313" s="147" t="s">
        <v>1077</v>
      </c>
      <c r="H313" s="153">
        <v>4</v>
      </c>
      <c r="I313" s="153"/>
      <c r="J313" s="224"/>
      <c r="K313" s="422"/>
      <c r="L313" s="1544"/>
      <c r="M313" s="1544"/>
      <c r="N313" s="208"/>
    </row>
    <row r="314" spans="1:14" ht="72">
      <c r="A314" s="414"/>
      <c r="B314" s="493"/>
      <c r="C314" s="168" t="s">
        <v>742</v>
      </c>
      <c r="D314" s="281" t="s">
        <v>1078</v>
      </c>
      <c r="E314" s="153" t="s">
        <v>1000</v>
      </c>
      <c r="F314" s="147" t="s">
        <v>488</v>
      </c>
      <c r="G314" s="147" t="s">
        <v>1079</v>
      </c>
      <c r="H314" s="153">
        <v>2</v>
      </c>
      <c r="I314" s="153"/>
      <c r="J314" s="224"/>
      <c r="K314" s="422"/>
      <c r="L314" s="1544"/>
      <c r="M314" s="1544"/>
      <c r="N314" s="208"/>
    </row>
    <row r="315" spans="1:14" ht="43.5">
      <c r="A315" s="414"/>
      <c r="B315" s="493"/>
      <c r="C315" s="379"/>
      <c r="D315" s="401" t="s">
        <v>996</v>
      </c>
      <c r="E315" s="153" t="s">
        <v>997</v>
      </c>
      <c r="F315" s="147" t="s">
        <v>488</v>
      </c>
      <c r="G315" s="147" t="s">
        <v>1080</v>
      </c>
      <c r="H315" s="153">
        <v>2</v>
      </c>
      <c r="I315" s="153"/>
      <c r="J315" s="224"/>
      <c r="K315" s="422"/>
      <c r="L315" s="1544"/>
      <c r="M315" s="1544"/>
      <c r="N315" s="208"/>
    </row>
    <row r="316" spans="1:14" ht="43.5">
      <c r="A316" s="414"/>
      <c r="B316" s="493"/>
      <c r="C316" s="286"/>
      <c r="D316" s="401" t="s">
        <v>1081</v>
      </c>
      <c r="E316" s="153" t="s">
        <v>1082</v>
      </c>
      <c r="F316" s="147" t="s">
        <v>1083</v>
      </c>
      <c r="G316" s="147" t="s">
        <v>1084</v>
      </c>
      <c r="H316" s="153">
        <v>2</v>
      </c>
      <c r="I316" s="153"/>
      <c r="J316" s="224"/>
      <c r="K316" s="422"/>
      <c r="L316" s="1537"/>
      <c r="M316" s="1537"/>
      <c r="N316" s="208"/>
    </row>
    <row r="317" spans="1:14" ht="72" customHeight="1">
      <c r="A317" s="512">
        <v>44</v>
      </c>
      <c r="B317" s="516" t="s">
        <v>1085</v>
      </c>
      <c r="C317" s="511" t="s">
        <v>992</v>
      </c>
      <c r="D317" s="181" t="s">
        <v>1037</v>
      </c>
      <c r="E317" s="182" t="s">
        <v>1038</v>
      </c>
      <c r="F317" s="183" t="s">
        <v>413</v>
      </c>
      <c r="G317" s="183" t="s">
        <v>1086</v>
      </c>
      <c r="H317" s="182">
        <v>4</v>
      </c>
      <c r="I317" s="184">
        <v>31</v>
      </c>
      <c r="J317" s="185" t="s">
        <v>381</v>
      </c>
      <c r="K317" s="185" t="s">
        <v>381</v>
      </c>
      <c r="L317" s="1536" t="s">
        <v>382</v>
      </c>
      <c r="M317" s="1548" t="s">
        <v>1026</v>
      </c>
      <c r="N317" s="186" t="s">
        <v>1087</v>
      </c>
    </row>
    <row r="318" spans="1:14" ht="57" customHeight="1">
      <c r="A318" s="414"/>
      <c r="B318" s="380"/>
      <c r="C318" s="494" t="s">
        <v>1008</v>
      </c>
      <c r="D318" s="401" t="s">
        <v>1088</v>
      </c>
      <c r="E318" s="153" t="s">
        <v>657</v>
      </c>
      <c r="F318" s="147" t="s">
        <v>379</v>
      </c>
      <c r="G318" s="147" t="s">
        <v>1089</v>
      </c>
      <c r="H318" s="153">
        <v>3</v>
      </c>
      <c r="I318" s="153"/>
      <c r="J318" s="224"/>
      <c r="K318" s="422"/>
      <c r="L318" s="1544"/>
      <c r="M318" s="1550"/>
      <c r="N318" s="208"/>
    </row>
    <row r="319" spans="1:14" ht="57.75">
      <c r="A319" s="414"/>
      <c r="B319" s="380"/>
      <c r="C319" s="379"/>
      <c r="D319" s="401" t="s">
        <v>1090</v>
      </c>
      <c r="E319" s="153" t="s">
        <v>1042</v>
      </c>
      <c r="F319" s="147" t="s">
        <v>418</v>
      </c>
      <c r="G319" s="147" t="s">
        <v>598</v>
      </c>
      <c r="H319" s="153">
        <v>20</v>
      </c>
      <c r="I319" s="153"/>
      <c r="J319" s="224"/>
      <c r="K319" s="422"/>
      <c r="L319" s="1544"/>
      <c r="M319" s="1550"/>
      <c r="N319" s="208"/>
    </row>
    <row r="320" spans="1:14" ht="72">
      <c r="A320" s="414"/>
      <c r="B320" s="380"/>
      <c r="C320" s="286"/>
      <c r="D320" s="401" t="s">
        <v>683</v>
      </c>
      <c r="E320" s="153" t="s">
        <v>453</v>
      </c>
      <c r="F320" s="147" t="s">
        <v>379</v>
      </c>
      <c r="G320" s="147" t="s">
        <v>1091</v>
      </c>
      <c r="H320" s="153">
        <v>2</v>
      </c>
      <c r="I320" s="153"/>
      <c r="J320" s="224"/>
      <c r="K320" s="422"/>
      <c r="L320" s="1544"/>
      <c r="M320" s="1550"/>
      <c r="N320" s="208"/>
    </row>
    <row r="321" spans="1:30" ht="57.75">
      <c r="A321" s="414"/>
      <c r="B321" s="379"/>
      <c r="C321" s="281" t="s">
        <v>742</v>
      </c>
      <c r="D321" s="150" t="s">
        <v>999</v>
      </c>
      <c r="E321" s="153" t="s">
        <v>1092</v>
      </c>
      <c r="F321" s="147" t="s">
        <v>379</v>
      </c>
      <c r="G321" s="147" t="s">
        <v>1093</v>
      </c>
      <c r="H321" s="153">
        <v>2</v>
      </c>
      <c r="I321" s="153"/>
      <c r="J321" s="224"/>
      <c r="K321" s="422"/>
      <c r="L321" s="1537"/>
      <c r="M321" s="1549"/>
      <c r="N321" s="208"/>
    </row>
    <row r="322" spans="1:30" ht="72" customHeight="1">
      <c r="A322" s="412">
        <v>45</v>
      </c>
      <c r="B322" s="370" t="s">
        <v>1094</v>
      </c>
      <c r="C322" s="497" t="s">
        <v>992</v>
      </c>
      <c r="D322" s="156" t="s">
        <v>1017</v>
      </c>
      <c r="E322" s="227" t="s">
        <v>662</v>
      </c>
      <c r="F322" s="156" t="s">
        <v>413</v>
      </c>
      <c r="G322" s="156" t="s">
        <v>1095</v>
      </c>
      <c r="H322" s="227">
        <v>4</v>
      </c>
      <c r="I322" s="247">
        <f>SUM(H322:H329)</f>
        <v>62</v>
      </c>
      <c r="J322" s="338" t="str">
        <f>IF(I322&gt;=20,"Memenuhi","Tidak Memenuhi")</f>
        <v>Memenuhi</v>
      </c>
      <c r="K322" s="338" t="s">
        <v>381</v>
      </c>
      <c r="L322" s="1536" t="s">
        <v>382</v>
      </c>
      <c r="M322" s="1536" t="s">
        <v>1026</v>
      </c>
      <c r="N322" s="208"/>
    </row>
    <row r="323" spans="1:30" ht="58.5" customHeight="1">
      <c r="A323" s="414"/>
      <c r="B323" s="493"/>
      <c r="C323" s="494" t="s">
        <v>1008</v>
      </c>
      <c r="D323" s="401" t="s">
        <v>1096</v>
      </c>
      <c r="E323" s="229" t="s">
        <v>657</v>
      </c>
      <c r="F323" s="150" t="s">
        <v>379</v>
      </c>
      <c r="G323" s="150" t="s">
        <v>1097</v>
      </c>
      <c r="H323" s="229">
        <v>3</v>
      </c>
      <c r="I323" s="229"/>
      <c r="J323" s="322"/>
      <c r="K323" s="425"/>
      <c r="L323" s="1544"/>
      <c r="M323" s="1544"/>
      <c r="N323" s="208"/>
    </row>
    <row r="324" spans="1:30" ht="57.75">
      <c r="A324" s="414"/>
      <c r="B324" s="493"/>
      <c r="C324" s="379"/>
      <c r="D324" s="401" t="s">
        <v>1041</v>
      </c>
      <c r="E324" s="229" t="s">
        <v>1064</v>
      </c>
      <c r="F324" s="150" t="s">
        <v>418</v>
      </c>
      <c r="G324" s="150" t="s">
        <v>1065</v>
      </c>
      <c r="H324" s="229">
        <v>20</v>
      </c>
      <c r="I324" s="229"/>
      <c r="J324" s="322"/>
      <c r="K324" s="425"/>
      <c r="L324" s="1544"/>
      <c r="M324" s="1544"/>
      <c r="N324" s="208"/>
    </row>
    <row r="325" spans="1:30" ht="72">
      <c r="A325" s="414"/>
      <c r="B325" s="493"/>
      <c r="C325" s="379"/>
      <c r="D325" s="401" t="s">
        <v>683</v>
      </c>
      <c r="E325" s="229" t="s">
        <v>453</v>
      </c>
      <c r="F325" s="150" t="s">
        <v>379</v>
      </c>
      <c r="G325" s="150" t="s">
        <v>1098</v>
      </c>
      <c r="H325" s="229">
        <v>2</v>
      </c>
      <c r="I325" s="229"/>
      <c r="J325" s="322"/>
      <c r="K325" s="425"/>
      <c r="L325" s="1544"/>
      <c r="M325" s="1544"/>
      <c r="N325" s="208"/>
    </row>
    <row r="326" spans="1:30" ht="57.75">
      <c r="A326" s="414"/>
      <c r="B326" s="493"/>
      <c r="C326" s="379"/>
      <c r="D326" s="401" t="s">
        <v>986</v>
      </c>
      <c r="E326" s="229" t="s">
        <v>1069</v>
      </c>
      <c r="F326" s="150" t="s">
        <v>1070</v>
      </c>
      <c r="G326" s="150" t="s">
        <v>989</v>
      </c>
      <c r="H326" s="229">
        <v>23</v>
      </c>
      <c r="I326" s="229"/>
      <c r="J326" s="322"/>
      <c r="K326" s="425"/>
      <c r="L326" s="1544"/>
      <c r="M326" s="1544"/>
      <c r="N326" s="208"/>
    </row>
    <row r="327" spans="1:30" ht="72">
      <c r="A327" s="414"/>
      <c r="B327" s="493"/>
      <c r="C327" s="379"/>
      <c r="D327" s="401" t="s">
        <v>1099</v>
      </c>
      <c r="E327" s="337">
        <v>45917</v>
      </c>
      <c r="F327" s="150" t="s">
        <v>1100</v>
      </c>
      <c r="G327" s="150" t="s">
        <v>1101</v>
      </c>
      <c r="H327" s="229">
        <v>6</v>
      </c>
      <c r="I327" s="229"/>
      <c r="J327" s="322"/>
      <c r="K327" s="425"/>
      <c r="L327" s="1544"/>
      <c r="M327" s="1544"/>
      <c r="N327" s="208"/>
    </row>
    <row r="328" spans="1:30" ht="57.75">
      <c r="A328" s="414"/>
      <c r="B328" s="493"/>
      <c r="C328" s="168" t="s">
        <v>742</v>
      </c>
      <c r="D328" s="401" t="s">
        <v>999</v>
      </c>
      <c r="E328" s="229" t="s">
        <v>1000</v>
      </c>
      <c r="F328" s="150" t="s">
        <v>488</v>
      </c>
      <c r="G328" s="150" t="s">
        <v>1102</v>
      </c>
      <c r="H328" s="229">
        <v>2</v>
      </c>
      <c r="I328" s="229"/>
      <c r="J328" s="322"/>
      <c r="K328" s="425"/>
      <c r="L328" s="1544"/>
      <c r="M328" s="1544"/>
      <c r="N328" s="208"/>
    </row>
    <row r="329" spans="1:30" ht="57.75">
      <c r="A329" s="414"/>
      <c r="B329" s="493"/>
      <c r="C329" s="286"/>
      <c r="D329" s="401" t="s">
        <v>1103</v>
      </c>
      <c r="E329" s="229" t="s">
        <v>1042</v>
      </c>
      <c r="F329" s="150" t="s">
        <v>488</v>
      </c>
      <c r="G329" s="150" t="s">
        <v>1104</v>
      </c>
      <c r="H329" s="229">
        <v>2</v>
      </c>
      <c r="I329" s="229"/>
      <c r="J329" s="322"/>
      <c r="K329" s="425"/>
      <c r="L329" s="1537"/>
      <c r="M329" s="1537"/>
      <c r="N329" s="208"/>
    </row>
    <row r="330" spans="1:30" ht="86.25" customHeight="1">
      <c r="A330" s="412">
        <v>46</v>
      </c>
      <c r="B330" s="518" t="s">
        <v>1105</v>
      </c>
      <c r="C330" s="511" t="s">
        <v>992</v>
      </c>
      <c r="D330" s="133" t="s">
        <v>1106</v>
      </c>
      <c r="E330" s="136" t="s">
        <v>662</v>
      </c>
      <c r="F330" s="135" t="s">
        <v>413</v>
      </c>
      <c r="G330" s="135" t="s">
        <v>1107</v>
      </c>
      <c r="H330" s="136">
        <v>4</v>
      </c>
      <c r="I330" s="166">
        <f>SUM(H330:H333)</f>
        <v>29</v>
      </c>
      <c r="J330" s="179" t="str">
        <f>IF(I330&gt;=20,"Memenuhi","Tidak Memenuhi")</f>
        <v>Memenuhi</v>
      </c>
      <c r="K330" s="179" t="s">
        <v>381</v>
      </c>
      <c r="L330" s="1536" t="s">
        <v>382</v>
      </c>
      <c r="M330" s="1536" t="s">
        <v>1026</v>
      </c>
      <c r="N330" s="148" t="s">
        <v>1108</v>
      </c>
    </row>
    <row r="331" spans="1:30" ht="72">
      <c r="A331" s="414"/>
      <c r="B331" s="493"/>
      <c r="C331" s="494" t="s">
        <v>1008</v>
      </c>
      <c r="D331" s="401" t="s">
        <v>1109</v>
      </c>
      <c r="E331" s="153" t="s">
        <v>657</v>
      </c>
      <c r="F331" s="147" t="s">
        <v>379</v>
      </c>
      <c r="G331" s="147" t="s">
        <v>1110</v>
      </c>
      <c r="H331" s="153">
        <v>3</v>
      </c>
      <c r="I331" s="153"/>
      <c r="J331" s="224"/>
      <c r="K331" s="422"/>
      <c r="L331" s="1544"/>
      <c r="M331" s="1544"/>
      <c r="N331" s="148" t="s">
        <v>1111</v>
      </c>
    </row>
    <row r="332" spans="1:30" ht="55.5" customHeight="1">
      <c r="A332" s="414"/>
      <c r="B332" s="493"/>
      <c r="C332" s="379"/>
      <c r="D332" s="401" t="s">
        <v>1090</v>
      </c>
      <c r="E332" s="153" t="s">
        <v>1064</v>
      </c>
      <c r="F332" s="147" t="s">
        <v>418</v>
      </c>
      <c r="G332" s="147" t="s">
        <v>1065</v>
      </c>
      <c r="H332" s="153">
        <v>20</v>
      </c>
      <c r="I332" s="153"/>
      <c r="J332" s="224"/>
      <c r="K332" s="422"/>
      <c r="L332" s="1544"/>
      <c r="M332" s="1544"/>
      <c r="N332" s="148" t="s">
        <v>1112</v>
      </c>
    </row>
    <row r="333" spans="1:30" ht="72">
      <c r="A333" s="414"/>
      <c r="B333" s="493"/>
      <c r="C333" s="286"/>
      <c r="D333" s="401" t="s">
        <v>1113</v>
      </c>
      <c r="E333" s="153" t="s">
        <v>453</v>
      </c>
      <c r="F333" s="147" t="s">
        <v>379</v>
      </c>
      <c r="G333" s="147" t="s">
        <v>1114</v>
      </c>
      <c r="H333" s="153">
        <v>2</v>
      </c>
      <c r="I333" s="153"/>
      <c r="J333" s="224"/>
      <c r="K333" s="422"/>
      <c r="L333" s="1537"/>
      <c r="M333" s="1544"/>
      <c r="N333" s="148" t="s">
        <v>1115</v>
      </c>
    </row>
    <row r="334" spans="1:30" ht="76.5" customHeight="1">
      <c r="A334" s="490">
        <v>47</v>
      </c>
      <c r="B334" s="523" t="s">
        <v>1116</v>
      </c>
      <c r="C334" s="513" t="s">
        <v>992</v>
      </c>
      <c r="D334" s="174" t="s">
        <v>1037</v>
      </c>
      <c r="E334" s="175" t="s">
        <v>662</v>
      </c>
      <c r="F334" s="176" t="s">
        <v>413</v>
      </c>
      <c r="G334" s="176" t="s">
        <v>1117</v>
      </c>
      <c r="H334" s="175">
        <v>4</v>
      </c>
      <c r="I334" s="175">
        <f>H334+H335</f>
        <v>24</v>
      </c>
      <c r="J334" s="525" t="str">
        <f>IF(I334&gt;=20,"Memenuhi","Tidak Memenuhi")</f>
        <v>Memenuhi</v>
      </c>
      <c r="K334" s="526" t="s">
        <v>381</v>
      </c>
      <c r="L334" s="1548" t="s">
        <v>626</v>
      </c>
      <c r="M334" s="1548" t="s">
        <v>1040</v>
      </c>
      <c r="N334" s="524"/>
      <c r="O334" s="177"/>
      <c r="P334" s="177"/>
      <c r="Q334" s="177"/>
      <c r="R334" s="177"/>
      <c r="S334" s="177"/>
      <c r="T334" s="177"/>
      <c r="U334" s="177"/>
      <c r="V334" s="177"/>
      <c r="W334" s="177"/>
      <c r="X334" s="177"/>
      <c r="Y334" s="177"/>
      <c r="Z334" s="177"/>
      <c r="AA334" s="177"/>
      <c r="AB334" s="177"/>
      <c r="AC334" s="177"/>
      <c r="AD334" s="177"/>
    </row>
    <row r="335" spans="1:30" ht="94.5" customHeight="1">
      <c r="A335" s="414"/>
      <c r="B335" s="528"/>
      <c r="C335" s="489" t="s">
        <v>1008</v>
      </c>
      <c r="D335" s="150" t="s">
        <v>417</v>
      </c>
      <c r="E335" s="153" t="s">
        <v>1118</v>
      </c>
      <c r="F335" s="147" t="s">
        <v>1009</v>
      </c>
      <c r="G335" s="147" t="s">
        <v>552</v>
      </c>
      <c r="H335" s="153">
        <v>20</v>
      </c>
      <c r="I335" s="153"/>
      <c r="J335" s="153"/>
      <c r="K335" s="437"/>
      <c r="L335" s="1549"/>
      <c r="M335" s="1549"/>
      <c r="N335" s="255"/>
    </row>
    <row r="336" spans="1:30" ht="72" customHeight="1">
      <c r="A336" s="490">
        <v>48</v>
      </c>
      <c r="B336" s="492" t="s">
        <v>1119</v>
      </c>
      <c r="C336" s="497" t="s">
        <v>992</v>
      </c>
      <c r="D336" s="174" t="s">
        <v>1017</v>
      </c>
      <c r="E336" s="175" t="s">
        <v>662</v>
      </c>
      <c r="F336" s="176" t="s">
        <v>413</v>
      </c>
      <c r="G336" s="176" t="s">
        <v>1120</v>
      </c>
      <c r="H336" s="175">
        <v>4</v>
      </c>
      <c r="I336" s="175">
        <f>SUM(H336:H339)</f>
        <v>41</v>
      </c>
      <c r="J336" s="525" t="str">
        <f>IF(I336&gt;=20,"Memenuhi","Tidak Memenuhi")</f>
        <v>Memenuhi</v>
      </c>
      <c r="K336" s="526" t="s">
        <v>381</v>
      </c>
      <c r="L336" s="1548" t="s">
        <v>382</v>
      </c>
      <c r="M336" s="1548" t="s">
        <v>554</v>
      </c>
      <c r="N336" s="187" t="s">
        <v>1121</v>
      </c>
    </row>
    <row r="337" spans="1:14" ht="57" customHeight="1">
      <c r="A337" s="414"/>
      <c r="B337" s="380"/>
      <c r="C337" s="494" t="s">
        <v>1008</v>
      </c>
      <c r="D337" s="401" t="s">
        <v>417</v>
      </c>
      <c r="E337" s="153" t="s">
        <v>597</v>
      </c>
      <c r="F337" s="147" t="s">
        <v>1009</v>
      </c>
      <c r="G337" s="147" t="s">
        <v>423</v>
      </c>
      <c r="H337" s="153">
        <v>20</v>
      </c>
      <c r="I337" s="153"/>
      <c r="J337" s="224"/>
      <c r="K337" s="422"/>
      <c r="L337" s="1550"/>
      <c r="M337" s="1550"/>
      <c r="N337" s="208"/>
    </row>
    <row r="338" spans="1:14" ht="57.75">
      <c r="A338" s="414"/>
      <c r="B338" s="380"/>
      <c r="C338" s="379"/>
      <c r="D338" s="401" t="s">
        <v>636</v>
      </c>
      <c r="E338" s="153" t="s">
        <v>453</v>
      </c>
      <c r="F338" s="147" t="s">
        <v>632</v>
      </c>
      <c r="G338" s="147" t="s">
        <v>1122</v>
      </c>
      <c r="H338" s="153">
        <v>4</v>
      </c>
      <c r="I338" s="153"/>
      <c r="J338" s="224"/>
      <c r="K338" s="422"/>
      <c r="L338" s="1550"/>
      <c r="M338" s="1550"/>
      <c r="N338" s="208"/>
    </row>
    <row r="339" spans="1:14" ht="28.5">
      <c r="A339" s="414"/>
      <c r="B339" s="380"/>
      <c r="C339" s="379"/>
      <c r="D339" s="401" t="s">
        <v>422</v>
      </c>
      <c r="E339" s="178">
        <v>45908</v>
      </c>
      <c r="F339" s="147" t="s">
        <v>1009</v>
      </c>
      <c r="G339" s="147" t="s">
        <v>423</v>
      </c>
      <c r="H339" s="153">
        <v>13</v>
      </c>
      <c r="I339" s="153"/>
      <c r="J339" s="224"/>
      <c r="K339" s="422"/>
      <c r="L339" s="1550"/>
      <c r="M339" s="1550"/>
      <c r="N339" s="208"/>
    </row>
    <row r="340" spans="1:14" ht="57.75">
      <c r="A340" s="415"/>
      <c r="B340" s="371"/>
      <c r="C340" s="150" t="s">
        <v>742</v>
      </c>
      <c r="D340" s="401" t="s">
        <v>999</v>
      </c>
      <c r="E340" s="153" t="s">
        <v>1000</v>
      </c>
      <c r="F340" s="147" t="s">
        <v>488</v>
      </c>
      <c r="G340" s="147" t="s">
        <v>1123</v>
      </c>
      <c r="H340" s="153">
        <v>2</v>
      </c>
      <c r="I340" s="153"/>
      <c r="J340" s="224"/>
      <c r="K340" s="422"/>
      <c r="L340" s="1549"/>
      <c r="M340" s="1549"/>
      <c r="N340" s="208"/>
    </row>
    <row r="341" spans="1:14" ht="48.75" customHeight="1">
      <c r="A341" s="527">
        <v>49</v>
      </c>
      <c r="B341" s="529" t="s">
        <v>1124</v>
      </c>
      <c r="C341" s="511" t="s">
        <v>992</v>
      </c>
      <c r="D341" s="250" t="s">
        <v>993</v>
      </c>
      <c r="E341" s="250" t="s">
        <v>662</v>
      </c>
      <c r="F341" s="250" t="s">
        <v>413</v>
      </c>
      <c r="G341" s="250" t="s">
        <v>1095</v>
      </c>
      <c r="H341" s="227">
        <v>4</v>
      </c>
      <c r="I341" s="247">
        <f>SUM($H$341:$H$346)</f>
        <v>35</v>
      </c>
      <c r="J341" s="339" t="str">
        <f>IF(I341&gt;=20,"Memenuhi","Tidak Memenuhi")</f>
        <v>Memenuhi</v>
      </c>
      <c r="K341" s="339" t="s">
        <v>381</v>
      </c>
      <c r="L341" s="1536" t="s">
        <v>382</v>
      </c>
      <c r="M341" s="1536" t="s">
        <v>1125</v>
      </c>
      <c r="N341" s="208"/>
    </row>
    <row r="342" spans="1:14" ht="57.75" customHeight="1">
      <c r="A342" s="414"/>
      <c r="B342" s="381"/>
      <c r="C342" s="495" t="s">
        <v>1008</v>
      </c>
      <c r="D342" s="501" t="s">
        <v>678</v>
      </c>
      <c r="E342" s="240" t="s">
        <v>657</v>
      </c>
      <c r="F342" s="240" t="s">
        <v>379</v>
      </c>
      <c r="G342" s="240" t="s">
        <v>1126</v>
      </c>
      <c r="H342" s="229">
        <v>3</v>
      </c>
      <c r="I342" s="253"/>
      <c r="J342" s="240"/>
      <c r="K342" s="347"/>
      <c r="L342" s="1544"/>
      <c r="M342" s="1544"/>
      <c r="N342" s="208"/>
    </row>
    <row r="343" spans="1:14" ht="57.75">
      <c r="A343" s="414"/>
      <c r="B343" s="381"/>
      <c r="C343" s="404"/>
      <c r="D343" s="501" t="s">
        <v>417</v>
      </c>
      <c r="E343" s="240" t="s">
        <v>597</v>
      </c>
      <c r="F343" s="240" t="s">
        <v>1009</v>
      </c>
      <c r="G343" s="240" t="s">
        <v>598</v>
      </c>
      <c r="H343" s="229">
        <v>20</v>
      </c>
      <c r="I343" s="253"/>
      <c r="J343" s="240"/>
      <c r="K343" s="347"/>
      <c r="L343" s="1544"/>
      <c r="M343" s="1544"/>
      <c r="N343" s="208"/>
    </row>
    <row r="344" spans="1:14" ht="74.25" customHeight="1">
      <c r="A344" s="414"/>
      <c r="B344" s="381"/>
      <c r="C344" s="281"/>
      <c r="D344" s="501" t="s">
        <v>683</v>
      </c>
      <c r="E344" s="240" t="s">
        <v>453</v>
      </c>
      <c r="F344" s="240" t="s">
        <v>379</v>
      </c>
      <c r="G344" s="240" t="s">
        <v>1127</v>
      </c>
      <c r="H344" s="229">
        <v>2</v>
      </c>
      <c r="I344" s="253"/>
      <c r="J344" s="240"/>
      <c r="K344" s="347"/>
      <c r="L344" s="1544"/>
      <c r="M344" s="1544"/>
      <c r="N344" s="208"/>
    </row>
    <row r="345" spans="1:14" ht="57.75">
      <c r="A345" s="414"/>
      <c r="B345" s="381"/>
      <c r="C345" s="404" t="s">
        <v>742</v>
      </c>
      <c r="D345" s="501" t="s">
        <v>999</v>
      </c>
      <c r="E345" s="240" t="s">
        <v>1000</v>
      </c>
      <c r="F345" s="240" t="s">
        <v>488</v>
      </c>
      <c r="G345" s="240" t="s">
        <v>1128</v>
      </c>
      <c r="H345" s="229">
        <v>2</v>
      </c>
      <c r="I345" s="253"/>
      <c r="J345" s="240"/>
      <c r="K345" s="347"/>
      <c r="L345" s="1544"/>
      <c r="M345" s="1544"/>
      <c r="N345" s="208"/>
    </row>
    <row r="346" spans="1:14" ht="106.5" customHeight="1">
      <c r="A346" s="415"/>
      <c r="B346" s="382"/>
      <c r="C346" s="281"/>
      <c r="D346" s="501" t="s">
        <v>1129</v>
      </c>
      <c r="E346" s="240" t="s">
        <v>1130</v>
      </c>
      <c r="F346" s="240" t="s">
        <v>502</v>
      </c>
      <c r="G346" s="240" t="s">
        <v>1131</v>
      </c>
      <c r="H346" s="229">
        <v>4</v>
      </c>
      <c r="I346" s="253"/>
      <c r="J346" s="240"/>
      <c r="K346" s="348"/>
      <c r="L346" s="1537"/>
      <c r="M346" s="1537"/>
      <c r="N346" s="208"/>
    </row>
    <row r="347" spans="1:14" ht="72" customHeight="1">
      <c r="A347" s="521">
        <v>50</v>
      </c>
      <c r="B347" s="522" t="s">
        <v>1132</v>
      </c>
      <c r="C347" s="519" t="s">
        <v>992</v>
      </c>
      <c r="D347" s="500" t="s">
        <v>1037</v>
      </c>
      <c r="E347" s="239" t="s">
        <v>662</v>
      </c>
      <c r="F347" s="239" t="s">
        <v>413</v>
      </c>
      <c r="G347" s="239" t="s">
        <v>1133</v>
      </c>
      <c r="H347" s="244">
        <v>4</v>
      </c>
      <c r="I347" s="244">
        <f>SUM(H347:H354)</f>
        <v>700</v>
      </c>
      <c r="J347" s="515" t="str">
        <f>IF(I347&gt;=20,"Memenuhi","Tidak Memenuhi")</f>
        <v>Memenuhi</v>
      </c>
      <c r="K347" s="1551" t="s">
        <v>381</v>
      </c>
      <c r="L347" s="1544" t="s">
        <v>626</v>
      </c>
      <c r="M347" s="1536" t="s">
        <v>1134</v>
      </c>
      <c r="N347" s="487" t="s">
        <v>1135</v>
      </c>
    </row>
    <row r="348" spans="1:14" ht="43.5">
      <c r="A348" s="414"/>
      <c r="B348" s="493"/>
      <c r="C348" s="379"/>
      <c r="D348" s="501" t="s">
        <v>1136</v>
      </c>
      <c r="E348" s="243">
        <v>45975</v>
      </c>
      <c r="F348" s="245" t="s">
        <v>1137</v>
      </c>
      <c r="G348" s="240" t="s">
        <v>1138</v>
      </c>
      <c r="H348" s="229">
        <v>647</v>
      </c>
      <c r="I348" s="229"/>
      <c r="J348" s="229"/>
      <c r="K348" s="1552"/>
      <c r="L348" s="1544"/>
      <c r="M348" s="1544"/>
      <c r="N348" s="486"/>
    </row>
    <row r="349" spans="1:14" ht="72" customHeight="1">
      <c r="A349" s="414"/>
      <c r="B349" s="493"/>
      <c r="C349" s="1545" t="s">
        <v>1008</v>
      </c>
      <c r="D349" s="501" t="s">
        <v>636</v>
      </c>
      <c r="E349" s="240" t="s">
        <v>453</v>
      </c>
      <c r="F349" s="240" t="s">
        <v>632</v>
      </c>
      <c r="G349" s="240" t="s">
        <v>1139</v>
      </c>
      <c r="H349" s="229">
        <v>4</v>
      </c>
      <c r="I349" s="229"/>
      <c r="J349" s="229"/>
      <c r="K349" s="1552"/>
      <c r="L349" s="1544"/>
      <c r="M349" s="1544"/>
      <c r="N349" s="485"/>
    </row>
    <row r="350" spans="1:14" ht="57.75">
      <c r="A350" s="414"/>
      <c r="B350" s="493"/>
      <c r="C350" s="1546"/>
      <c r="D350" s="501" t="s">
        <v>417</v>
      </c>
      <c r="E350" s="240" t="s">
        <v>1140</v>
      </c>
      <c r="F350" s="240" t="s">
        <v>1009</v>
      </c>
      <c r="G350" s="240" t="s">
        <v>552</v>
      </c>
      <c r="H350" s="229">
        <v>20</v>
      </c>
      <c r="I350" s="229"/>
      <c r="J350" s="229"/>
      <c r="K350" s="1552"/>
      <c r="L350" s="1544"/>
      <c r="M350" s="1544"/>
      <c r="N350" s="485"/>
    </row>
    <row r="351" spans="1:14" ht="15">
      <c r="A351" s="414"/>
      <c r="B351" s="493"/>
      <c r="C351" s="1546"/>
      <c r="D351" s="501" t="s">
        <v>1141</v>
      </c>
      <c r="E351" s="241">
        <v>45918</v>
      </c>
      <c r="F351" s="240" t="s">
        <v>1142</v>
      </c>
      <c r="G351" s="240"/>
      <c r="H351" s="229">
        <v>10</v>
      </c>
      <c r="I351" s="229"/>
      <c r="J351" s="229"/>
      <c r="K351" s="1552"/>
      <c r="L351" s="1544"/>
      <c r="M351" s="1544"/>
      <c r="N351" s="485"/>
    </row>
    <row r="352" spans="1:14" ht="28.5">
      <c r="A352" s="414"/>
      <c r="B352" s="493"/>
      <c r="C352" s="1546"/>
      <c r="D352" s="501" t="s">
        <v>1143</v>
      </c>
      <c r="E352" s="240" t="s">
        <v>1144</v>
      </c>
      <c r="F352" s="240" t="s">
        <v>1145</v>
      </c>
      <c r="G352" s="240"/>
      <c r="H352" s="229">
        <v>2</v>
      </c>
      <c r="I352" s="229"/>
      <c r="J352" s="229"/>
      <c r="K352" s="1552"/>
      <c r="L352" s="1544"/>
      <c r="M352" s="1544"/>
      <c r="N352" s="485"/>
    </row>
    <row r="353" spans="1:30" ht="28.5">
      <c r="A353" s="415"/>
      <c r="B353" s="504"/>
      <c r="C353" s="1547"/>
      <c r="D353" s="501" t="s">
        <v>1146</v>
      </c>
      <c r="E353" s="240" t="s">
        <v>519</v>
      </c>
      <c r="F353" s="240" t="s">
        <v>1147</v>
      </c>
      <c r="G353" s="240" t="s">
        <v>1148</v>
      </c>
      <c r="H353" s="229">
        <v>13</v>
      </c>
      <c r="I353" s="229"/>
      <c r="J353" s="229"/>
      <c r="K353" s="1552"/>
      <c r="L353" s="1544"/>
      <c r="M353" s="1544"/>
      <c r="N353" s="485"/>
    </row>
    <row r="354" spans="1:30" ht="15" hidden="1" customHeight="1">
      <c r="A354" s="411"/>
      <c r="B354" s="382"/>
      <c r="C354" s="286"/>
      <c r="D354" s="240" t="s">
        <v>1149</v>
      </c>
      <c r="E354" s="242"/>
      <c r="F354" s="242"/>
      <c r="G354" s="240"/>
      <c r="H354" s="229"/>
      <c r="I354" s="229"/>
      <c r="J354" s="229"/>
      <c r="K354" s="433"/>
      <c r="L354" s="346"/>
      <c r="M354" s="379"/>
      <c r="N354" s="485"/>
    </row>
    <row r="355" spans="1:30" ht="22.5" customHeight="1">
      <c r="A355" s="480" t="s">
        <v>1150</v>
      </c>
      <c r="B355" s="481"/>
      <c r="C355" s="373"/>
      <c r="D355" s="342"/>
      <c r="E355" s="342"/>
      <c r="F355" s="342"/>
      <c r="G355" s="342"/>
      <c r="H355" s="342"/>
      <c r="I355" s="342"/>
      <c r="J355" s="342"/>
      <c r="K355" s="342"/>
      <c r="L355" s="364"/>
      <c r="M355" s="342"/>
      <c r="N355" s="343"/>
    </row>
    <row r="356" spans="1:30" ht="43.5" customHeight="1">
      <c r="A356" s="471">
        <v>51</v>
      </c>
      <c r="B356" s="465" t="s">
        <v>337</v>
      </c>
      <c r="C356" s="233" t="s">
        <v>742</v>
      </c>
      <c r="D356" s="233" t="s">
        <v>1151</v>
      </c>
      <c r="E356" s="234" t="s">
        <v>1152</v>
      </c>
      <c r="F356" s="233" t="s">
        <v>1153</v>
      </c>
      <c r="G356" s="233" t="s">
        <v>1154</v>
      </c>
      <c r="H356" s="344">
        <v>3</v>
      </c>
      <c r="I356" s="345">
        <v>5</v>
      </c>
      <c r="J356" s="345" t="s">
        <v>381</v>
      </c>
      <c r="K356" s="345" t="s">
        <v>381</v>
      </c>
      <c r="L356" s="1554" t="s">
        <v>1155</v>
      </c>
      <c r="M356" s="1554" t="s">
        <v>1156</v>
      </c>
      <c r="N356" s="191" t="s">
        <v>1157</v>
      </c>
      <c r="O356" s="146"/>
      <c r="P356" s="146"/>
      <c r="Q356" s="146"/>
      <c r="R356" s="146"/>
      <c r="S356" s="146"/>
      <c r="T356" s="146"/>
      <c r="U356" s="146"/>
      <c r="V356" s="146"/>
      <c r="W356" s="146"/>
      <c r="X356" s="146"/>
      <c r="Y356" s="146"/>
      <c r="Z356" s="146"/>
      <c r="AA356" s="146"/>
      <c r="AB356" s="146"/>
      <c r="AC356" s="146"/>
      <c r="AD356" s="146"/>
    </row>
    <row r="357" spans="1:30" ht="78.75" customHeight="1">
      <c r="A357" s="463"/>
      <c r="B357" s="482"/>
      <c r="C357" s="484" t="s">
        <v>583</v>
      </c>
      <c r="D357" s="237" t="s">
        <v>661</v>
      </c>
      <c r="E357" s="259" t="s">
        <v>590</v>
      </c>
      <c r="F357" s="237" t="s">
        <v>591</v>
      </c>
      <c r="G357" s="258" t="s">
        <v>77</v>
      </c>
      <c r="H357" s="270">
        <v>2</v>
      </c>
      <c r="I357" s="271"/>
      <c r="J357" s="271"/>
      <c r="K357" s="271"/>
      <c r="L357" s="1555"/>
      <c r="M357" s="1556"/>
      <c r="N357" s="192"/>
      <c r="O357" s="146"/>
      <c r="P357" s="146"/>
      <c r="Q357" s="146"/>
      <c r="R357" s="146"/>
      <c r="S357" s="146"/>
      <c r="T357" s="146"/>
      <c r="U357" s="146"/>
      <c r="V357" s="146"/>
      <c r="W357" s="146"/>
      <c r="X357" s="146"/>
      <c r="Y357" s="146"/>
      <c r="Z357" s="146"/>
      <c r="AA357" s="146"/>
      <c r="AB357" s="146"/>
      <c r="AC357" s="146"/>
      <c r="AD357" s="146"/>
    </row>
    <row r="358" spans="1:30" ht="94.5" customHeight="1">
      <c r="A358" s="470">
        <v>52</v>
      </c>
      <c r="B358" s="473" t="s">
        <v>339</v>
      </c>
      <c r="C358" s="464" t="s">
        <v>583</v>
      </c>
      <c r="D358" s="233" t="s">
        <v>661</v>
      </c>
      <c r="E358" s="236" t="s">
        <v>590</v>
      </c>
      <c r="F358" s="233" t="s">
        <v>591</v>
      </c>
      <c r="G358" s="234" t="s">
        <v>77</v>
      </c>
      <c r="H358" s="344">
        <v>2</v>
      </c>
      <c r="I358" s="345">
        <v>2</v>
      </c>
      <c r="J358" s="345" t="s">
        <v>381</v>
      </c>
      <c r="K358" s="345" t="s">
        <v>381</v>
      </c>
      <c r="L358" s="483" t="s">
        <v>1155</v>
      </c>
      <c r="M358" s="237" t="s">
        <v>1158</v>
      </c>
      <c r="N358" s="192"/>
      <c r="O358" s="146"/>
      <c r="P358" s="146"/>
      <c r="Q358" s="146"/>
      <c r="R358" s="146"/>
      <c r="S358" s="146"/>
      <c r="T358" s="146"/>
      <c r="U358" s="146"/>
      <c r="V358" s="146"/>
      <c r="W358" s="146"/>
      <c r="X358" s="146"/>
      <c r="Y358" s="146"/>
      <c r="Z358" s="146"/>
      <c r="AA358" s="146"/>
      <c r="AB358" s="146"/>
      <c r="AC358" s="146"/>
      <c r="AD358" s="146"/>
    </row>
    <row r="359" spans="1:30" ht="48.75" customHeight="1">
      <c r="A359" s="471">
        <v>53</v>
      </c>
      <c r="B359" s="465" t="s">
        <v>342</v>
      </c>
      <c r="C359" s="464" t="s">
        <v>583</v>
      </c>
      <c r="D359" s="233" t="s">
        <v>1159</v>
      </c>
      <c r="E359" s="236" t="s">
        <v>1160</v>
      </c>
      <c r="F359" s="233" t="s">
        <v>1161</v>
      </c>
      <c r="G359" s="233" t="s">
        <v>1162</v>
      </c>
      <c r="H359" s="344">
        <v>3</v>
      </c>
      <c r="I359" s="345">
        <v>18</v>
      </c>
      <c r="J359" s="345" t="s">
        <v>381</v>
      </c>
      <c r="K359" s="477" t="s">
        <v>381</v>
      </c>
      <c r="L359" s="1554" t="s">
        <v>1155</v>
      </c>
      <c r="M359" s="1554" t="s">
        <v>1163</v>
      </c>
      <c r="N359" s="191" t="s">
        <v>1164</v>
      </c>
      <c r="O359" s="146"/>
      <c r="P359" s="146"/>
      <c r="Q359" s="146"/>
      <c r="R359" s="146"/>
      <c r="S359" s="146"/>
      <c r="T359" s="146"/>
      <c r="U359" s="146"/>
      <c r="V359" s="146"/>
      <c r="W359" s="146"/>
      <c r="X359" s="146"/>
      <c r="Y359" s="146"/>
      <c r="Z359" s="146"/>
      <c r="AA359" s="146"/>
      <c r="AB359" s="146"/>
      <c r="AC359" s="146"/>
      <c r="AD359" s="146"/>
    </row>
    <row r="360" spans="1:30" ht="40.5" customHeight="1">
      <c r="A360" s="472"/>
      <c r="B360" s="474"/>
      <c r="C360" s="366" t="s">
        <v>742</v>
      </c>
      <c r="D360" s="237" t="s">
        <v>1165</v>
      </c>
      <c r="E360" s="259" t="s">
        <v>1166</v>
      </c>
      <c r="F360" s="237" t="s">
        <v>1167</v>
      </c>
      <c r="G360" s="237" t="s">
        <v>1168</v>
      </c>
      <c r="H360" s="270">
        <v>3</v>
      </c>
      <c r="I360" s="271"/>
      <c r="J360" s="271"/>
      <c r="K360" s="478"/>
      <c r="L360" s="1555"/>
      <c r="M360" s="1555"/>
      <c r="N360" s="261"/>
      <c r="O360" s="146"/>
      <c r="P360" s="146"/>
      <c r="Q360" s="146"/>
      <c r="R360" s="146"/>
      <c r="S360" s="146"/>
      <c r="T360" s="146"/>
      <c r="U360" s="146"/>
      <c r="V360" s="146"/>
      <c r="W360" s="146"/>
      <c r="X360" s="146"/>
      <c r="Y360" s="146"/>
      <c r="Z360" s="146"/>
      <c r="AA360" s="146"/>
      <c r="AB360" s="146"/>
      <c r="AC360" s="146"/>
      <c r="AD360" s="146"/>
    </row>
    <row r="361" spans="1:30" ht="42" customHeight="1">
      <c r="A361" s="472"/>
      <c r="B361" s="474"/>
      <c r="C361" s="367"/>
      <c r="D361" s="237" t="s">
        <v>1169</v>
      </c>
      <c r="E361" s="259" t="s">
        <v>1170</v>
      </c>
      <c r="F361" s="237" t="s">
        <v>1167</v>
      </c>
      <c r="G361" s="237" t="s">
        <v>1171</v>
      </c>
      <c r="H361" s="270">
        <v>3</v>
      </c>
      <c r="I361" s="271"/>
      <c r="J361" s="271"/>
      <c r="K361" s="478"/>
      <c r="L361" s="1555"/>
      <c r="M361" s="1555"/>
      <c r="N361" s="261"/>
      <c r="O361" s="146"/>
      <c r="P361" s="146"/>
      <c r="Q361" s="146"/>
      <c r="R361" s="146"/>
      <c r="S361" s="146"/>
      <c r="T361" s="146"/>
      <c r="U361" s="146"/>
      <c r="V361" s="146"/>
      <c r="W361" s="146"/>
      <c r="X361" s="146"/>
      <c r="Y361" s="146"/>
      <c r="Z361" s="146"/>
      <c r="AA361" s="146"/>
      <c r="AB361" s="146"/>
      <c r="AC361" s="146"/>
      <c r="AD361" s="146"/>
    </row>
    <row r="362" spans="1:30" ht="42" customHeight="1">
      <c r="A362" s="472"/>
      <c r="B362" s="474"/>
      <c r="C362" s="367"/>
      <c r="D362" s="237" t="s">
        <v>1172</v>
      </c>
      <c r="E362" s="259" t="s">
        <v>1173</v>
      </c>
      <c r="F362" s="237" t="s">
        <v>1167</v>
      </c>
      <c r="G362" s="237" t="s">
        <v>1174</v>
      </c>
      <c r="H362" s="270">
        <v>3</v>
      </c>
      <c r="I362" s="271"/>
      <c r="J362" s="271"/>
      <c r="K362" s="478"/>
      <c r="L362" s="1555"/>
      <c r="M362" s="1555"/>
      <c r="N362" s="261"/>
      <c r="O362" s="146"/>
      <c r="P362" s="146"/>
      <c r="Q362" s="146"/>
      <c r="R362" s="146"/>
      <c r="S362" s="146"/>
      <c r="T362" s="146"/>
      <c r="U362" s="146"/>
      <c r="V362" s="146"/>
      <c r="W362" s="146"/>
      <c r="X362" s="146"/>
      <c r="Y362" s="146"/>
      <c r="Z362" s="146"/>
      <c r="AA362" s="146"/>
      <c r="AB362" s="146"/>
      <c r="AC362" s="146"/>
      <c r="AD362" s="146"/>
    </row>
    <row r="363" spans="1:30" ht="42.75" customHeight="1">
      <c r="A363" s="472"/>
      <c r="B363" s="474"/>
      <c r="C363" s="367"/>
      <c r="D363" s="237" t="s">
        <v>1175</v>
      </c>
      <c r="E363" s="259" t="s">
        <v>1152</v>
      </c>
      <c r="F363" s="237" t="s">
        <v>1167</v>
      </c>
      <c r="G363" s="237" t="s">
        <v>1176</v>
      </c>
      <c r="H363" s="270">
        <v>3</v>
      </c>
      <c r="I363" s="271"/>
      <c r="J363" s="271"/>
      <c r="K363" s="478"/>
      <c r="L363" s="1555"/>
      <c r="M363" s="1555"/>
      <c r="N363" s="261"/>
      <c r="O363" s="146"/>
      <c r="P363" s="146"/>
      <c r="Q363" s="146"/>
      <c r="R363" s="146"/>
      <c r="S363" s="146"/>
      <c r="T363" s="146"/>
      <c r="U363" s="146"/>
      <c r="V363" s="146"/>
      <c r="W363" s="146"/>
      <c r="X363" s="146"/>
      <c r="Y363" s="146"/>
      <c r="Z363" s="146"/>
      <c r="AA363" s="146"/>
      <c r="AB363" s="146"/>
      <c r="AC363" s="146"/>
      <c r="AD363" s="146"/>
    </row>
    <row r="364" spans="1:30" ht="72">
      <c r="A364" s="463"/>
      <c r="B364" s="475"/>
      <c r="C364" s="368"/>
      <c r="D364" s="237" t="s">
        <v>1177</v>
      </c>
      <c r="E364" s="259" t="s">
        <v>1178</v>
      </c>
      <c r="F364" s="237" t="s">
        <v>1179</v>
      </c>
      <c r="G364" s="237" t="s">
        <v>1180</v>
      </c>
      <c r="H364" s="270">
        <v>3</v>
      </c>
      <c r="I364" s="271"/>
      <c r="J364" s="271"/>
      <c r="K364" s="479"/>
      <c r="L364" s="1556"/>
      <c r="M364" s="1556"/>
      <c r="N364" s="261"/>
      <c r="O364" s="146"/>
      <c r="P364" s="146"/>
      <c r="Q364" s="146"/>
      <c r="R364" s="146"/>
      <c r="S364" s="146"/>
      <c r="T364" s="146"/>
      <c r="U364" s="146"/>
      <c r="V364" s="146"/>
      <c r="W364" s="146"/>
      <c r="X364" s="146"/>
      <c r="Y364" s="146"/>
      <c r="Z364" s="146"/>
      <c r="AA364" s="146"/>
      <c r="AB364" s="146"/>
      <c r="AC364" s="146"/>
      <c r="AD364" s="146"/>
    </row>
    <row r="365" spans="1:30" ht="49.5" customHeight="1">
      <c r="A365" s="470">
        <v>54</v>
      </c>
      <c r="B365" s="473" t="s">
        <v>344</v>
      </c>
      <c r="C365" s="476" t="s">
        <v>583</v>
      </c>
      <c r="D365" s="233" t="s">
        <v>1181</v>
      </c>
      <c r="E365" s="236" t="s">
        <v>1182</v>
      </c>
      <c r="F365" s="233" t="s">
        <v>1183</v>
      </c>
      <c r="G365" s="233" t="s">
        <v>1184</v>
      </c>
      <c r="H365" s="344">
        <v>3</v>
      </c>
      <c r="I365" s="345">
        <v>15</v>
      </c>
      <c r="J365" s="345" t="s">
        <v>381</v>
      </c>
      <c r="K365" s="439" t="s">
        <v>381</v>
      </c>
      <c r="L365" s="1555" t="s">
        <v>1155</v>
      </c>
      <c r="M365" s="1554" t="s">
        <v>1185</v>
      </c>
      <c r="N365" s="192"/>
      <c r="O365" s="146"/>
      <c r="P365" s="146"/>
      <c r="Q365" s="146"/>
      <c r="R365" s="146"/>
      <c r="S365" s="146"/>
      <c r="T365" s="146"/>
      <c r="U365" s="146"/>
      <c r="V365" s="146"/>
      <c r="W365" s="146"/>
      <c r="X365" s="146"/>
      <c r="Y365" s="146"/>
      <c r="Z365" s="146"/>
      <c r="AA365" s="146"/>
      <c r="AB365" s="146"/>
      <c r="AC365" s="146"/>
      <c r="AD365" s="146"/>
    </row>
    <row r="366" spans="1:30" ht="60.75" customHeight="1">
      <c r="A366" s="467"/>
      <c r="B366" s="466"/>
      <c r="C366" s="468"/>
      <c r="D366" s="237" t="s">
        <v>398</v>
      </c>
      <c r="E366" s="259" t="s">
        <v>962</v>
      </c>
      <c r="F366" s="237" t="s">
        <v>400</v>
      </c>
      <c r="G366" s="237" t="s">
        <v>1186</v>
      </c>
      <c r="H366" s="270">
        <v>3</v>
      </c>
      <c r="I366" s="271"/>
      <c r="J366" s="271"/>
      <c r="K366" s="440"/>
      <c r="L366" s="1555"/>
      <c r="M366" s="1555"/>
      <c r="N366" s="260"/>
      <c r="O366" s="146"/>
      <c r="P366" s="146"/>
      <c r="Q366" s="146"/>
      <c r="R366" s="146"/>
      <c r="S366" s="146"/>
      <c r="T366" s="146"/>
      <c r="U366" s="146"/>
      <c r="V366" s="146"/>
      <c r="W366" s="146"/>
      <c r="X366" s="146"/>
      <c r="Y366" s="146"/>
      <c r="Z366" s="146"/>
      <c r="AA366" s="146"/>
      <c r="AB366" s="146"/>
      <c r="AC366" s="146"/>
      <c r="AD366" s="146"/>
    </row>
    <row r="367" spans="1:30" ht="47.25" customHeight="1">
      <c r="A367" s="467"/>
      <c r="B367" s="462"/>
      <c r="C367" s="366" t="s">
        <v>742</v>
      </c>
      <c r="D367" s="237" t="s">
        <v>1187</v>
      </c>
      <c r="E367" s="259" t="s">
        <v>1188</v>
      </c>
      <c r="F367" s="237" t="s">
        <v>1167</v>
      </c>
      <c r="G367" s="237" t="s">
        <v>1189</v>
      </c>
      <c r="H367" s="270">
        <v>3</v>
      </c>
      <c r="I367" s="271"/>
      <c r="J367" s="271"/>
      <c r="K367" s="440"/>
      <c r="L367" s="1555"/>
      <c r="M367" s="1555"/>
      <c r="N367" s="260"/>
      <c r="O367" s="146"/>
      <c r="P367" s="146"/>
      <c r="Q367" s="146"/>
      <c r="R367" s="146"/>
      <c r="S367" s="146"/>
      <c r="T367" s="146"/>
      <c r="U367" s="146"/>
      <c r="V367" s="146"/>
      <c r="W367" s="146"/>
      <c r="X367" s="146"/>
      <c r="Y367" s="146"/>
      <c r="Z367" s="146"/>
      <c r="AA367" s="146"/>
      <c r="AB367" s="146"/>
      <c r="AC367" s="146"/>
      <c r="AD367" s="146"/>
    </row>
    <row r="368" spans="1:30" ht="47.25" customHeight="1">
      <c r="A368" s="467"/>
      <c r="B368" s="462"/>
      <c r="C368" s="469"/>
      <c r="D368" s="237" t="s">
        <v>1190</v>
      </c>
      <c r="E368" s="259" t="s">
        <v>1191</v>
      </c>
      <c r="F368" s="237" t="s">
        <v>1167</v>
      </c>
      <c r="G368" s="237" t="s">
        <v>1192</v>
      </c>
      <c r="H368" s="270">
        <v>3</v>
      </c>
      <c r="I368" s="271"/>
      <c r="J368" s="271"/>
      <c r="K368" s="440"/>
      <c r="L368" s="1555"/>
      <c r="M368" s="1555"/>
      <c r="N368" s="260"/>
      <c r="O368" s="146"/>
      <c r="P368" s="146"/>
      <c r="Q368" s="146"/>
      <c r="R368" s="146"/>
      <c r="S368" s="146"/>
      <c r="T368" s="146"/>
      <c r="U368" s="146"/>
      <c r="V368" s="146"/>
      <c r="W368" s="146"/>
      <c r="X368" s="146"/>
      <c r="Y368" s="146"/>
      <c r="Z368" s="146"/>
      <c r="AA368" s="146"/>
      <c r="AB368" s="146"/>
      <c r="AC368" s="146"/>
      <c r="AD368" s="146"/>
    </row>
    <row r="369" spans="1:30" ht="28.5">
      <c r="A369" s="256"/>
      <c r="B369" s="460"/>
      <c r="C369" s="461"/>
      <c r="D369" s="237" t="s">
        <v>1193</v>
      </c>
      <c r="E369" s="259" t="s">
        <v>543</v>
      </c>
      <c r="F369" s="237" t="s">
        <v>1194</v>
      </c>
      <c r="G369" s="237" t="s">
        <v>1195</v>
      </c>
      <c r="H369" s="270">
        <v>3</v>
      </c>
      <c r="I369" s="271"/>
      <c r="J369" s="271"/>
      <c r="K369" s="271"/>
      <c r="L369" s="1556"/>
      <c r="M369" s="1556"/>
      <c r="N369" s="260"/>
      <c r="O369" s="146"/>
      <c r="P369" s="146"/>
      <c r="Q369" s="146"/>
      <c r="R369" s="146"/>
      <c r="S369" s="146"/>
      <c r="T369" s="146"/>
      <c r="U369" s="146"/>
      <c r="V369" s="146"/>
      <c r="W369" s="146"/>
      <c r="X369" s="146"/>
      <c r="Y369" s="146"/>
      <c r="Z369" s="146"/>
      <c r="AA369" s="146"/>
      <c r="AB369" s="146"/>
      <c r="AC369" s="146"/>
      <c r="AD369" s="146"/>
    </row>
    <row r="370" spans="1:30" ht="118.5" customHeight="1">
      <c r="A370" s="235">
        <v>55</v>
      </c>
      <c r="B370" s="340" t="s">
        <v>1196</v>
      </c>
      <c r="C370" s="233" t="s">
        <v>583</v>
      </c>
      <c r="D370" s="233" t="s">
        <v>417</v>
      </c>
      <c r="E370" s="233" t="s">
        <v>1197</v>
      </c>
      <c r="F370" s="233" t="s">
        <v>418</v>
      </c>
      <c r="G370" s="233" t="s">
        <v>610</v>
      </c>
      <c r="H370" s="344">
        <v>20</v>
      </c>
      <c r="I370" s="345">
        <v>20</v>
      </c>
      <c r="J370" s="345" t="s">
        <v>381</v>
      </c>
      <c r="K370" s="345" t="s">
        <v>381</v>
      </c>
      <c r="L370" s="458" t="s">
        <v>1155</v>
      </c>
      <c r="M370" s="237" t="s">
        <v>1198</v>
      </c>
      <c r="N370" s="190" t="s">
        <v>1199</v>
      </c>
      <c r="O370" s="146"/>
      <c r="P370" s="146"/>
      <c r="Q370" s="146"/>
      <c r="R370" s="146"/>
      <c r="S370" s="146"/>
      <c r="T370" s="146"/>
      <c r="U370" s="146"/>
      <c r="V370" s="146"/>
      <c r="W370" s="146"/>
      <c r="X370" s="146"/>
      <c r="Y370" s="146"/>
      <c r="Z370" s="146"/>
      <c r="AA370" s="146"/>
      <c r="AB370" s="146"/>
      <c r="AC370" s="146"/>
      <c r="AD370" s="146"/>
    </row>
    <row r="371" spans="1:30" ht="60.75" hidden="1" customHeight="1">
      <c r="A371" s="256"/>
      <c r="B371" s="341"/>
      <c r="C371" s="341"/>
      <c r="D371" s="237" t="s">
        <v>398</v>
      </c>
      <c r="E371" s="258" t="s">
        <v>962</v>
      </c>
      <c r="F371" s="237" t="s">
        <v>1200</v>
      </c>
      <c r="G371" s="237" t="s">
        <v>1201</v>
      </c>
      <c r="H371" s="270">
        <v>3</v>
      </c>
      <c r="I371" s="271"/>
      <c r="J371" s="271"/>
      <c r="K371" s="271"/>
      <c r="L371" s="459"/>
      <c r="M371" s="238"/>
      <c r="N371" s="257"/>
      <c r="O371" s="146"/>
      <c r="P371" s="146"/>
      <c r="Q371" s="146"/>
      <c r="R371" s="146"/>
      <c r="S371" s="146"/>
      <c r="T371" s="146"/>
      <c r="U371" s="146"/>
      <c r="V371" s="146"/>
      <c r="W371" s="146"/>
      <c r="X371" s="146"/>
      <c r="Y371" s="146"/>
      <c r="Z371" s="146"/>
      <c r="AA371" s="146"/>
      <c r="AB371" s="146"/>
      <c r="AC371" s="146"/>
      <c r="AD371" s="146"/>
    </row>
    <row r="372" spans="1:30" ht="60.75" hidden="1" customHeight="1">
      <c r="A372" s="256"/>
      <c r="B372" s="341"/>
      <c r="C372" s="341"/>
      <c r="D372" s="237" t="s">
        <v>961</v>
      </c>
      <c r="E372" s="258" t="s">
        <v>962</v>
      </c>
      <c r="F372" s="237" t="s">
        <v>409</v>
      </c>
      <c r="G372" s="237" t="s">
        <v>1202</v>
      </c>
      <c r="H372" s="270">
        <v>2</v>
      </c>
      <c r="I372" s="271"/>
      <c r="J372" s="271"/>
      <c r="K372" s="271"/>
      <c r="L372" s="459"/>
      <c r="M372" s="238"/>
      <c r="N372" s="257"/>
      <c r="O372" s="146"/>
      <c r="P372" s="146"/>
      <c r="Q372" s="146"/>
      <c r="R372" s="146"/>
      <c r="S372" s="146"/>
      <c r="T372" s="146"/>
      <c r="U372" s="146"/>
      <c r="V372" s="146"/>
      <c r="W372" s="146"/>
      <c r="X372" s="146"/>
      <c r="Y372" s="146"/>
      <c r="Z372" s="146"/>
      <c r="AA372" s="146"/>
      <c r="AB372" s="146"/>
      <c r="AC372" s="146"/>
      <c r="AD372" s="146"/>
    </row>
    <row r="373" spans="1:30" ht="174" customHeight="1">
      <c r="A373" s="235">
        <v>56</v>
      </c>
      <c r="B373" s="340" t="s">
        <v>1203</v>
      </c>
      <c r="C373" s="233" t="s">
        <v>583</v>
      </c>
      <c r="D373" s="233" t="s">
        <v>661</v>
      </c>
      <c r="E373" s="236" t="s">
        <v>590</v>
      </c>
      <c r="F373" s="233" t="s">
        <v>591</v>
      </c>
      <c r="G373" s="234" t="s">
        <v>77</v>
      </c>
      <c r="H373" s="344">
        <v>2</v>
      </c>
      <c r="I373" s="345">
        <v>2</v>
      </c>
      <c r="J373" s="345" t="s">
        <v>381</v>
      </c>
      <c r="K373" s="345" t="s">
        <v>381</v>
      </c>
      <c r="L373" s="458" t="s">
        <v>1155</v>
      </c>
      <c r="M373" s="237" t="s">
        <v>554</v>
      </c>
      <c r="N373" s="192"/>
      <c r="O373" s="146"/>
      <c r="P373" s="146"/>
      <c r="Q373" s="146"/>
      <c r="R373" s="146"/>
      <c r="S373" s="146"/>
      <c r="T373" s="146"/>
      <c r="U373" s="146"/>
      <c r="V373" s="146"/>
      <c r="W373" s="146"/>
      <c r="X373" s="146"/>
      <c r="Y373" s="146"/>
      <c r="Z373" s="146"/>
      <c r="AA373" s="146"/>
      <c r="AB373" s="146"/>
      <c r="AC373" s="146"/>
      <c r="AD373" s="146"/>
    </row>
    <row r="374" spans="1:30" ht="15">
      <c r="D374" s="225"/>
      <c r="E374" s="225"/>
      <c r="F374" s="225"/>
      <c r="G374" s="225"/>
      <c r="H374" s="225"/>
      <c r="I374" s="225"/>
      <c r="J374" s="225"/>
      <c r="K374" s="225"/>
      <c r="L374" s="357"/>
    </row>
    <row r="375" spans="1:30" ht="15">
      <c r="D375" s="225"/>
      <c r="E375" s="225"/>
      <c r="F375" s="225"/>
      <c r="G375" s="225"/>
      <c r="H375" s="225"/>
      <c r="I375" s="225"/>
      <c r="J375" s="225"/>
      <c r="K375" s="225"/>
      <c r="L375" s="357"/>
    </row>
    <row r="376" spans="1:30" ht="15">
      <c r="D376" s="225"/>
      <c r="E376" s="225"/>
      <c r="F376" s="225"/>
      <c r="G376" s="225"/>
      <c r="H376" s="225"/>
      <c r="I376" s="225"/>
      <c r="J376" s="225"/>
      <c r="K376" s="225"/>
      <c r="L376" s="357"/>
    </row>
    <row r="377" spans="1:30" ht="15">
      <c r="D377" s="225"/>
      <c r="E377" s="225"/>
      <c r="F377" s="225"/>
      <c r="G377" s="225"/>
      <c r="H377" s="225"/>
      <c r="I377" s="225"/>
      <c r="J377" s="225"/>
      <c r="K377" s="225"/>
      <c r="L377" s="357"/>
    </row>
    <row r="378" spans="1:30" ht="15">
      <c r="D378" s="225"/>
      <c r="E378" s="225"/>
      <c r="F378" s="225"/>
      <c r="G378" s="225"/>
      <c r="H378" s="225"/>
      <c r="I378" s="225"/>
      <c r="J378" s="225"/>
      <c r="K378" s="225"/>
      <c r="L378" s="357"/>
    </row>
    <row r="379" spans="1:30" ht="15">
      <c r="D379" s="225"/>
      <c r="E379" s="225"/>
      <c r="F379" s="225"/>
      <c r="G379" s="225"/>
      <c r="H379" s="225"/>
      <c r="I379" s="225"/>
      <c r="J379" s="225"/>
      <c r="K379" s="225"/>
      <c r="L379" s="357"/>
    </row>
    <row r="380" spans="1:30" ht="15">
      <c r="D380" s="225"/>
      <c r="E380" s="225"/>
      <c r="F380" s="225"/>
      <c r="G380" s="225"/>
      <c r="H380" s="225"/>
      <c r="I380" s="225"/>
      <c r="J380" s="225"/>
      <c r="K380" s="225"/>
      <c r="L380" s="357"/>
    </row>
    <row r="381" spans="1:30" ht="15">
      <c r="D381" s="225"/>
      <c r="E381" s="225"/>
      <c r="F381" s="225"/>
      <c r="G381" s="225"/>
      <c r="H381" s="225"/>
      <c r="I381" s="225"/>
      <c r="J381" s="225"/>
      <c r="K381" s="225"/>
      <c r="L381" s="357"/>
    </row>
    <row r="382" spans="1:30" ht="15">
      <c r="D382" s="225"/>
    </row>
    <row r="383" spans="1:30" ht="15">
      <c r="D383" s="225"/>
    </row>
    <row r="384" spans="1:30" ht="15">
      <c r="D384" s="225"/>
    </row>
    <row r="385" ht="15"/>
    <row r="386" ht="15"/>
    <row r="387" ht="15"/>
    <row r="388" ht="15"/>
    <row r="389" ht="15"/>
    <row r="390" ht="15"/>
    <row r="391" ht="15"/>
    <row r="392" ht="15"/>
    <row r="393" ht="15"/>
    <row r="394" ht="15"/>
    <row r="395" ht="15"/>
    <row r="396" ht="15"/>
    <row r="397" ht="15"/>
    <row r="398" ht="15"/>
    <row r="399" ht="15"/>
    <row r="400" ht="15"/>
    <row r="401" ht="15"/>
    <row r="402" ht="15"/>
    <row r="403" ht="15"/>
    <row r="404" ht="15"/>
    <row r="405" ht="15"/>
    <row r="406" ht="15"/>
    <row r="407" ht="15"/>
    <row r="408" ht="15"/>
    <row r="409" ht="15"/>
    <row r="410" ht="15"/>
    <row r="411" ht="15"/>
    <row r="412" ht="15"/>
    <row r="413" ht="15"/>
    <row r="414" ht="15"/>
    <row r="415" ht="15"/>
    <row r="416" ht="15"/>
    <row r="417" ht="15"/>
    <row r="418" ht="15"/>
    <row r="419" ht="15"/>
    <row r="420" ht="15"/>
    <row r="421" ht="15"/>
    <row r="422" ht="15"/>
    <row r="423" ht="15"/>
    <row r="424" ht="15"/>
    <row r="425" ht="15"/>
    <row r="426" ht="15"/>
    <row r="427" ht="15"/>
    <row r="428" ht="15"/>
    <row r="429" ht="15"/>
    <row r="430" ht="15"/>
    <row r="431" ht="15"/>
    <row r="432" ht="15"/>
    <row r="433" ht="15"/>
    <row r="434" ht="15"/>
    <row r="435" ht="15"/>
    <row r="436" ht="15"/>
    <row r="437" ht="15"/>
    <row r="438" ht="15"/>
    <row r="439" ht="15"/>
    <row r="440" ht="15"/>
    <row r="441" ht="15"/>
    <row r="442" ht="15"/>
    <row r="443" ht="15"/>
    <row r="444" ht="15"/>
    <row r="445" ht="15"/>
    <row r="446" ht="15"/>
    <row r="447" ht="15"/>
    <row r="448" ht="15"/>
    <row r="449" ht="15"/>
    <row r="450" ht="15"/>
    <row r="451" ht="15"/>
    <row r="452" ht="15"/>
    <row r="453" ht="15"/>
    <row r="454" ht="15"/>
    <row r="455" ht="15"/>
    <row r="456" ht="15"/>
    <row r="457" ht="15"/>
    <row r="458" ht="15"/>
    <row r="459" ht="15"/>
    <row r="460" ht="15"/>
    <row r="461" ht="15"/>
    <row r="462" ht="15"/>
    <row r="463" ht="15"/>
    <row r="464" ht="15"/>
    <row r="465" ht="15"/>
    <row r="466" ht="15"/>
    <row r="467" ht="15"/>
    <row r="468" ht="15"/>
    <row r="469" ht="15"/>
    <row r="470" ht="15"/>
    <row r="471" ht="15"/>
    <row r="472" ht="15"/>
    <row r="473" ht="15"/>
    <row r="474" ht="15"/>
    <row r="475" ht="15"/>
    <row r="476" ht="15"/>
    <row r="477" ht="15"/>
    <row r="478" ht="15"/>
    <row r="479" ht="15"/>
    <row r="480" ht="15"/>
    <row r="481" ht="15"/>
    <row r="482" ht="15"/>
    <row r="483" ht="15"/>
    <row r="484" ht="15"/>
    <row r="485" ht="15"/>
    <row r="486" ht="15"/>
    <row r="487" ht="15"/>
    <row r="488" ht="15"/>
    <row r="489" ht="15"/>
    <row r="490" ht="15"/>
    <row r="491" ht="15"/>
    <row r="492" ht="15"/>
    <row r="493" ht="15"/>
    <row r="494" ht="15"/>
    <row r="495" ht="15"/>
    <row r="496" ht="15"/>
    <row r="497" ht="15"/>
    <row r="498" ht="15"/>
    <row r="499" ht="15"/>
    <row r="500" ht="15"/>
    <row r="501" ht="15"/>
    <row r="502" ht="15"/>
    <row r="503" ht="15"/>
    <row r="504" ht="15"/>
    <row r="505" ht="15"/>
    <row r="506" ht="15"/>
    <row r="507" ht="15"/>
    <row r="508" ht="15"/>
    <row r="509" ht="15"/>
    <row r="510" ht="15"/>
    <row r="511" ht="15"/>
    <row r="512" ht="15"/>
    <row r="513" ht="15"/>
    <row r="514" ht="15"/>
    <row r="515" ht="15"/>
    <row r="516" ht="15"/>
    <row r="517" ht="15"/>
    <row r="518" ht="15"/>
    <row r="519" ht="15"/>
    <row r="520" ht="15"/>
    <row r="521" ht="15"/>
    <row r="522" ht="15"/>
    <row r="523" ht="15"/>
    <row r="524" ht="15"/>
    <row r="525" ht="15"/>
    <row r="526" ht="15"/>
    <row r="527" ht="15"/>
    <row r="528" ht="15"/>
    <row r="529" ht="15"/>
    <row r="530" ht="15"/>
    <row r="531" ht="15"/>
    <row r="532" ht="15"/>
    <row r="533" ht="15"/>
    <row r="534" ht="15"/>
    <row r="535" ht="15"/>
    <row r="536" ht="15"/>
    <row r="537" ht="15"/>
    <row r="538" ht="15"/>
    <row r="539" ht="15"/>
    <row r="540" ht="15"/>
    <row r="541" ht="15"/>
    <row r="542" ht="15"/>
    <row r="543" ht="15"/>
    <row r="544" ht="15"/>
    <row r="545" ht="15"/>
    <row r="546" ht="15"/>
    <row r="547" ht="15"/>
    <row r="548" ht="15"/>
    <row r="549" ht="15"/>
    <row r="550" ht="15"/>
    <row r="551" ht="15"/>
    <row r="552" ht="15"/>
    <row r="553" ht="15"/>
    <row r="554" ht="15"/>
    <row r="555" ht="15"/>
    <row r="556" ht="15"/>
    <row r="557" ht="15"/>
    <row r="558" ht="15"/>
    <row r="559" ht="15"/>
    <row r="560" ht="15"/>
    <row r="561" ht="15"/>
    <row r="562" ht="15"/>
    <row r="563" ht="15"/>
    <row r="564" ht="15"/>
    <row r="565" ht="15"/>
    <row r="566" ht="15"/>
    <row r="567" ht="15"/>
    <row r="568" ht="15"/>
    <row r="569" ht="15"/>
    <row r="570" ht="15"/>
    <row r="571" ht="15"/>
    <row r="572" ht="15"/>
    <row r="573" ht="15"/>
    <row r="574" ht="15"/>
    <row r="575" ht="15"/>
    <row r="576" ht="15"/>
    <row r="577" ht="15"/>
    <row r="578" ht="15"/>
    <row r="579" ht="15"/>
    <row r="580" ht="15"/>
    <row r="581" ht="15"/>
    <row r="582" ht="15"/>
    <row r="583" ht="15"/>
    <row r="584" ht="15"/>
    <row r="585" ht="15"/>
    <row r="586" ht="15"/>
    <row r="587" ht="15"/>
    <row r="588" ht="15"/>
    <row r="589" ht="15"/>
    <row r="590" ht="15"/>
    <row r="591" ht="15"/>
    <row r="592" ht="15"/>
    <row r="593" ht="15"/>
    <row r="594" ht="15"/>
    <row r="595" ht="15"/>
    <row r="596" ht="15"/>
    <row r="597" ht="15"/>
    <row r="598" ht="15"/>
    <row r="599" ht="15"/>
    <row r="600" ht="15"/>
    <row r="601" ht="15"/>
    <row r="602" ht="15"/>
    <row r="603" ht="15"/>
    <row r="604" ht="15"/>
    <row r="605" ht="15"/>
    <row r="606" ht="15"/>
    <row r="607" ht="15"/>
    <row r="608" ht="15"/>
    <row r="609" ht="15"/>
    <row r="610" ht="15"/>
    <row r="611" ht="15"/>
    <row r="612" ht="15"/>
    <row r="613" ht="15"/>
    <row r="614" ht="15"/>
    <row r="615" ht="15"/>
    <row r="616" ht="15"/>
    <row r="617" ht="15"/>
    <row r="618" ht="15"/>
    <row r="619" ht="15"/>
    <row r="620" ht="15"/>
    <row r="621" ht="15"/>
    <row r="622" ht="15"/>
    <row r="623" ht="15"/>
    <row r="624" ht="15"/>
    <row r="625" ht="15"/>
    <row r="626" ht="15"/>
    <row r="627" ht="15"/>
    <row r="628" ht="15"/>
    <row r="629" ht="15"/>
    <row r="630" ht="15"/>
    <row r="631" ht="15"/>
    <row r="632" ht="15"/>
    <row r="633" ht="15"/>
    <row r="634" ht="15"/>
    <row r="635" ht="15"/>
    <row r="636" ht="15"/>
    <row r="637" ht="15"/>
    <row r="638" ht="15"/>
    <row r="639" ht="15"/>
    <row r="640" ht="15"/>
    <row r="641" ht="15"/>
    <row r="642" ht="15"/>
    <row r="643" ht="15"/>
    <row r="644" ht="15"/>
    <row r="645" ht="15"/>
    <row r="646" ht="15"/>
    <row r="647" ht="15"/>
    <row r="648" ht="15"/>
    <row r="649" ht="15"/>
    <row r="650" ht="15"/>
    <row r="651" ht="15"/>
    <row r="652" ht="15"/>
    <row r="653" ht="15"/>
    <row r="654" ht="15"/>
    <row r="655" ht="15"/>
    <row r="656" ht="15"/>
    <row r="657" ht="15"/>
    <row r="658" ht="15"/>
    <row r="659" ht="15"/>
    <row r="660" ht="15"/>
    <row r="661" ht="15"/>
    <row r="662" ht="15"/>
    <row r="663" ht="15"/>
    <row r="664" ht="15"/>
    <row r="665" ht="15"/>
    <row r="666" ht="15"/>
    <row r="667" ht="15"/>
    <row r="668" ht="15"/>
    <row r="669" ht="15"/>
    <row r="670" ht="15"/>
    <row r="671" ht="15"/>
    <row r="672" ht="15"/>
    <row r="673" ht="15"/>
    <row r="674" ht="15"/>
    <row r="675" ht="15"/>
    <row r="676" ht="15"/>
    <row r="677" ht="15"/>
    <row r="678" ht="15"/>
    <row r="679" ht="15"/>
    <row r="680" ht="15"/>
    <row r="681" ht="15"/>
    <row r="682" ht="15"/>
    <row r="683" ht="15"/>
    <row r="684" ht="15"/>
    <row r="685" ht="15"/>
    <row r="686" ht="15"/>
    <row r="687" ht="15"/>
    <row r="688" ht="15"/>
    <row r="689" ht="15"/>
    <row r="690" ht="15"/>
    <row r="691" ht="15"/>
    <row r="692" ht="15"/>
    <row r="693" ht="15"/>
    <row r="694" ht="15"/>
    <row r="695" ht="15"/>
    <row r="696" ht="15"/>
    <row r="697" ht="15"/>
    <row r="698" ht="15"/>
    <row r="699" ht="15"/>
    <row r="700" ht="15"/>
    <row r="701" ht="15"/>
    <row r="702" ht="15"/>
    <row r="703" ht="15"/>
    <row r="704" ht="15"/>
    <row r="705" ht="15"/>
    <row r="706" ht="15"/>
    <row r="707" ht="15"/>
    <row r="708" ht="15"/>
    <row r="709" ht="15"/>
    <row r="710" ht="15"/>
    <row r="711" ht="15"/>
    <row r="712" ht="15"/>
    <row r="713" ht="15"/>
    <row r="714" ht="15"/>
    <row r="715" ht="15"/>
    <row r="716" ht="15"/>
    <row r="717" ht="15"/>
    <row r="718" ht="15"/>
    <row r="719" ht="15"/>
    <row r="720" ht="15"/>
    <row r="721" ht="15"/>
    <row r="722" ht="15"/>
    <row r="723" ht="15"/>
    <row r="724" ht="15"/>
    <row r="725" ht="15"/>
    <row r="726" ht="15"/>
    <row r="727" ht="15"/>
    <row r="728" ht="15"/>
    <row r="729" ht="15"/>
    <row r="730" ht="15"/>
    <row r="731" ht="15"/>
    <row r="732" ht="15"/>
    <row r="733" ht="15"/>
    <row r="734" ht="15"/>
    <row r="735" ht="15"/>
    <row r="736" ht="15"/>
    <row r="737" ht="15"/>
    <row r="738" ht="15"/>
    <row r="739" ht="15"/>
    <row r="740" ht="15"/>
    <row r="741" ht="15"/>
    <row r="742" ht="15"/>
    <row r="743" ht="15"/>
    <row r="744" ht="15"/>
    <row r="745" ht="15"/>
    <row r="746" ht="15"/>
    <row r="747" ht="15"/>
    <row r="748" ht="15"/>
    <row r="749" ht="15"/>
    <row r="750" ht="15"/>
    <row r="751" ht="15"/>
    <row r="752" ht="15"/>
    <row r="753" ht="15"/>
    <row r="754" ht="15"/>
    <row r="755" ht="15"/>
    <row r="756" ht="15"/>
    <row r="757" ht="15"/>
    <row r="758" ht="15"/>
    <row r="759" ht="15"/>
    <row r="760" ht="15"/>
    <row r="761" ht="15"/>
    <row r="762" ht="15"/>
    <row r="763" ht="15"/>
    <row r="764" ht="15"/>
    <row r="765" ht="15"/>
    <row r="766" ht="15"/>
    <row r="767" ht="15"/>
    <row r="768" ht="15"/>
    <row r="769" ht="15"/>
    <row r="770" ht="15"/>
    <row r="771" ht="15"/>
    <row r="772" ht="15"/>
    <row r="773" ht="15"/>
    <row r="774" ht="15"/>
    <row r="775" ht="15"/>
    <row r="776" ht="15"/>
    <row r="777" ht="15"/>
    <row r="778" ht="15"/>
    <row r="779" ht="15"/>
    <row r="780" ht="15"/>
    <row r="781" ht="15"/>
    <row r="782" ht="15"/>
    <row r="783" ht="15"/>
    <row r="784" ht="15"/>
    <row r="785" ht="15"/>
    <row r="786" ht="15"/>
    <row r="787" ht="15"/>
    <row r="788" ht="15"/>
    <row r="789" ht="15"/>
    <row r="790" ht="15"/>
    <row r="791" ht="15"/>
    <row r="792" ht="15"/>
    <row r="793" ht="15"/>
    <row r="794" ht="15"/>
    <row r="795" ht="15"/>
    <row r="796" ht="15"/>
    <row r="797" ht="15"/>
    <row r="798" ht="15"/>
    <row r="799" ht="15"/>
    <row r="800" ht="15"/>
    <row r="801" ht="15"/>
    <row r="802" ht="15"/>
    <row r="803" ht="15"/>
    <row r="804" ht="15"/>
    <row r="805" ht="15"/>
    <row r="806" ht="15"/>
    <row r="807" ht="15"/>
    <row r="808" ht="15"/>
    <row r="809" ht="15"/>
    <row r="810" ht="15"/>
    <row r="811" ht="15"/>
    <row r="812" ht="15"/>
    <row r="813" ht="15"/>
    <row r="814" ht="15"/>
    <row r="815" ht="15"/>
    <row r="816" ht="15"/>
    <row r="817" ht="15"/>
    <row r="818" ht="15"/>
    <row r="819" ht="15"/>
    <row r="820" ht="15"/>
    <row r="821" ht="15"/>
    <row r="822" ht="15"/>
    <row r="823" ht="15"/>
    <row r="824" ht="15"/>
    <row r="825" ht="15"/>
    <row r="826" ht="15"/>
    <row r="827" ht="15"/>
    <row r="828" ht="15"/>
    <row r="829" ht="15"/>
    <row r="830" ht="15"/>
    <row r="831" ht="15"/>
    <row r="832" ht="15"/>
    <row r="833" ht="15"/>
    <row r="834" ht="15"/>
    <row r="835" ht="15"/>
    <row r="836" ht="15"/>
    <row r="837" ht="15"/>
    <row r="838" ht="15"/>
    <row r="839" ht="15"/>
    <row r="840" ht="15"/>
    <row r="841" ht="15"/>
    <row r="842" ht="15"/>
    <row r="843" ht="15"/>
    <row r="844" ht="15"/>
    <row r="845" ht="15"/>
    <row r="846" ht="15"/>
    <row r="847" ht="15"/>
    <row r="848" ht="15"/>
    <row r="849" ht="15"/>
    <row r="850" ht="15"/>
    <row r="851" ht="15"/>
    <row r="852" ht="15"/>
    <row r="853" ht="15"/>
    <row r="854" ht="15"/>
    <row r="855" ht="15"/>
    <row r="856" ht="15"/>
    <row r="857" ht="15"/>
    <row r="858" ht="15"/>
    <row r="859" ht="15"/>
    <row r="860" ht="15"/>
    <row r="861" ht="15"/>
    <row r="862" ht="15"/>
    <row r="863" ht="15"/>
    <row r="864" ht="15"/>
    <row r="865" ht="15"/>
    <row r="866" ht="15"/>
    <row r="867" ht="15"/>
    <row r="868" ht="15"/>
    <row r="869" ht="15"/>
    <row r="870" ht="15"/>
    <row r="871" ht="15"/>
    <row r="872" ht="15"/>
    <row r="873" ht="15"/>
    <row r="874" ht="15"/>
    <row r="875" ht="15"/>
    <row r="876" ht="15"/>
    <row r="877" ht="15"/>
    <row r="878" ht="15"/>
    <row r="879" ht="15"/>
    <row r="880" ht="15"/>
    <row r="881" ht="15"/>
    <row r="882" ht="15"/>
    <row r="883" ht="15"/>
    <row r="884" ht="15"/>
    <row r="885" ht="15"/>
    <row r="886" ht="15"/>
    <row r="887" ht="15"/>
    <row r="888" ht="15"/>
    <row r="889" ht="15"/>
    <row r="890" ht="15"/>
    <row r="891" ht="15"/>
    <row r="892" ht="15"/>
    <row r="893" ht="15"/>
    <row r="894" ht="15"/>
    <row r="895" ht="15"/>
    <row r="896" ht="15"/>
    <row r="897" ht="15"/>
    <row r="898" ht="15"/>
    <row r="899" ht="15"/>
    <row r="900" ht="15"/>
    <row r="901" ht="15"/>
    <row r="902" ht="15"/>
    <row r="903" ht="15"/>
    <row r="904" ht="15"/>
    <row r="905" ht="15"/>
    <row r="906" ht="15"/>
    <row r="907" ht="15"/>
    <row r="908" ht="15"/>
    <row r="909" ht="15"/>
    <row r="910" ht="15"/>
    <row r="911" ht="15"/>
    <row r="912" ht="15"/>
    <row r="913" ht="15"/>
    <row r="914" ht="15"/>
    <row r="915" ht="15"/>
    <row r="916" ht="15"/>
    <row r="917" ht="15"/>
    <row r="918" ht="15"/>
    <row r="919" ht="15"/>
    <row r="920" ht="15"/>
    <row r="921" ht="15"/>
    <row r="922" ht="15"/>
    <row r="923" ht="15"/>
    <row r="924" ht="15"/>
    <row r="925" ht="15"/>
    <row r="926" ht="15"/>
    <row r="927" ht="15"/>
    <row r="928" ht="15"/>
    <row r="929" ht="15"/>
    <row r="930" ht="15"/>
    <row r="931" ht="15"/>
    <row r="932" ht="15"/>
    <row r="933" ht="15"/>
    <row r="934" ht="15"/>
    <row r="935" ht="15"/>
    <row r="936" ht="15"/>
    <row r="937" ht="15"/>
    <row r="938" ht="15"/>
    <row r="939" ht="15"/>
    <row r="940" ht="15"/>
    <row r="941" ht="15"/>
    <row r="942" ht="15"/>
    <row r="943" ht="15"/>
    <row r="944" ht="15"/>
    <row r="945" ht="15"/>
    <row r="946" ht="15"/>
    <row r="947" ht="15"/>
    <row r="948" ht="15"/>
    <row r="949" ht="15"/>
    <row r="950" ht="15"/>
    <row r="951" ht="15"/>
    <row r="952" ht="15"/>
    <row r="953" ht="15"/>
    <row r="954" ht="15"/>
    <row r="955" ht="15"/>
    <row r="956" ht="15"/>
    <row r="957" ht="15"/>
    <row r="958" ht="15"/>
    <row r="959" ht="15"/>
    <row r="960" ht="15"/>
    <row r="961" ht="15"/>
    <row r="962" ht="15"/>
    <row r="963" ht="15"/>
    <row r="964" ht="15"/>
    <row r="965" ht="15"/>
    <row r="966" ht="15"/>
    <row r="967" ht="15"/>
    <row r="968" ht="15"/>
    <row r="969" ht="15"/>
    <row r="970" ht="15"/>
    <row r="971" ht="15"/>
    <row r="972" ht="15"/>
    <row r="973" ht="15"/>
    <row r="974" ht="15"/>
    <row r="975" ht="15"/>
    <row r="976" ht="15"/>
    <row r="977" ht="15"/>
    <row r="978" ht="15"/>
    <row r="979" ht="15"/>
    <row r="980" ht="15"/>
    <row r="981" ht="15"/>
    <row r="982" ht="15"/>
    <row r="983" ht="15"/>
    <row r="984" ht="15"/>
    <row r="985" ht="15"/>
    <row r="986" ht="15"/>
    <row r="987" ht="15"/>
    <row r="988" ht="15"/>
    <row r="989" ht="15"/>
    <row r="990" ht="15"/>
    <row r="991" ht="15"/>
    <row r="992" ht="15"/>
    <row r="993" ht="15"/>
    <row r="994" ht="15"/>
    <row r="995" ht="15"/>
    <row r="996" ht="15"/>
    <row r="997" ht="15"/>
    <row r="998" ht="15"/>
    <row r="999" ht="15"/>
    <row r="1000" ht="15"/>
    <row r="1001" ht="15"/>
    <row r="1002" ht="15"/>
    <row r="1003" ht="15"/>
    <row r="1004" ht="15"/>
    <row r="1005" ht="15"/>
    <row r="1006" ht="15"/>
    <row r="1007" ht="15"/>
    <row r="1008" ht="15"/>
    <row r="1009" ht="15"/>
    <row r="1010" ht="15"/>
    <row r="1011" ht="15"/>
    <row r="1012" ht="15"/>
    <row r="1013" ht="15"/>
    <row r="1014" ht="15"/>
    <row r="1015" ht="15"/>
    <row r="1016" ht="15"/>
    <row r="1017" ht="15"/>
    <row r="1018" ht="15"/>
    <row r="1019" ht="15"/>
    <row r="1020" ht="15"/>
    <row r="1021" ht="15"/>
    <row r="1022" ht="15"/>
    <row r="1023" ht="15"/>
    <row r="1024" ht="15"/>
    <row r="1025" ht="15"/>
    <row r="1026" ht="15"/>
    <row r="1027" ht="15"/>
    <row r="1028" ht="15"/>
    <row r="1029" ht="15"/>
    <row r="1030" ht="15"/>
    <row r="1031" ht="15"/>
    <row r="1032" ht="15"/>
    <row r="1033" ht="15"/>
    <row r="1034" ht="15"/>
    <row r="1035" ht="15"/>
    <row r="1036" ht="15"/>
    <row r="1037" ht="15"/>
    <row r="1038" ht="15"/>
    <row r="1039" ht="15"/>
    <row r="1040" ht="15"/>
    <row r="1041" ht="15"/>
    <row r="1042" ht="15"/>
    <row r="1043" ht="15"/>
    <row r="1044" ht="15"/>
    <row r="1045" ht="15"/>
    <row r="1046" ht="15"/>
    <row r="1047" ht="15"/>
    <row r="1048" ht="15"/>
    <row r="1049" ht="15"/>
    <row r="1050" ht="15"/>
    <row r="1051" ht="15"/>
    <row r="1052" ht="15"/>
    <row r="1053" ht="15"/>
    <row r="1054" ht="15"/>
    <row r="1055" ht="15"/>
    <row r="1056" ht="15"/>
    <row r="1057" ht="15"/>
    <row r="1058" ht="15"/>
    <row r="1059" ht="15"/>
    <row r="1060" ht="15"/>
    <row r="1061" ht="15"/>
    <row r="1062" ht="15"/>
    <row r="1063" ht="15"/>
    <row r="1064" ht="15"/>
    <row r="1065" ht="15"/>
    <row r="1066" ht="15"/>
    <row r="1067" ht="15"/>
    <row r="1068" ht="15"/>
    <row r="1069" ht="15"/>
    <row r="1070" ht="15"/>
    <row r="1071" ht="15"/>
    <row r="1072" ht="15"/>
    <row r="1073" ht="15"/>
    <row r="1074" ht="15"/>
    <row r="1075" ht="15"/>
    <row r="1076" ht="15"/>
    <row r="1077" ht="15"/>
    <row r="1078" ht="15"/>
    <row r="1079" ht="15"/>
    <row r="1080" ht="15"/>
    <row r="1081" ht="15"/>
    <row r="1082" ht="15"/>
    <row r="1083" ht="15"/>
    <row r="1084" ht="15"/>
    <row r="1085" ht="15"/>
    <row r="1086" ht="15"/>
    <row r="1087" ht="15"/>
    <row r="1088" ht="15"/>
    <row r="1089" ht="15"/>
    <row r="1090" ht="15"/>
    <row r="1091" ht="15"/>
    <row r="1092" ht="15"/>
    <row r="1093" ht="15"/>
    <row r="1094" ht="15"/>
    <row r="1095" ht="15"/>
    <row r="1096" ht="15"/>
    <row r="1097" ht="15"/>
    <row r="1098" ht="15"/>
    <row r="1099" ht="15"/>
    <row r="1100" ht="15"/>
    <row r="1101" ht="15"/>
    <row r="1102" ht="15"/>
    <row r="1103" ht="15"/>
    <row r="1104" ht="15"/>
    <row r="1105" ht="15"/>
    <row r="1106" ht="15"/>
    <row r="1107" ht="15"/>
    <row r="1108" ht="15"/>
    <row r="1109" ht="15"/>
    <row r="1110" ht="15"/>
    <row r="1111" ht="15"/>
    <row r="1112" ht="15"/>
    <row r="1113" ht="15"/>
    <row r="1114" ht="15"/>
    <row r="1115" ht="15"/>
    <row r="1116" ht="15"/>
    <row r="1117" ht="15"/>
    <row r="1118" ht="15"/>
    <row r="1119" ht="15"/>
    <row r="1120" ht="15"/>
    <row r="1121" ht="15"/>
    <row r="1122" ht="15"/>
    <row r="1123" ht="15"/>
    <row r="1124" ht="15"/>
    <row r="1125" ht="15"/>
    <row r="1126" ht="15"/>
    <row r="1127" ht="15"/>
    <row r="1128" ht="15"/>
    <row r="1129" ht="15"/>
    <row r="1130" ht="15"/>
    <row r="1131" ht="15"/>
    <row r="1132" ht="15"/>
    <row r="1133" ht="15"/>
    <row r="1134" ht="15"/>
    <row r="1135" ht="15"/>
    <row r="1136" ht="15"/>
    <row r="1137" ht="15"/>
    <row r="1138" ht="15"/>
    <row r="1139" ht="15"/>
    <row r="1140" ht="15"/>
    <row r="1141" ht="15"/>
    <row r="1142" ht="15"/>
    <row r="1143" ht="15"/>
    <row r="1144" ht="15"/>
    <row r="1145" ht="15"/>
    <row r="1146" ht="15"/>
    <row r="1147" ht="15"/>
    <row r="1148" ht="15"/>
    <row r="1149" ht="15"/>
    <row r="1150" ht="15"/>
    <row r="1151" ht="15"/>
    <row r="1152" ht="15"/>
    <row r="1153" ht="15"/>
    <row r="1154" ht="15"/>
    <row r="1155" ht="15"/>
    <row r="1156" ht="15"/>
    <row r="1157" ht="15"/>
    <row r="1158" ht="15"/>
    <row r="1159" ht="15"/>
    <row r="1160" ht="15"/>
    <row r="1161" ht="15"/>
    <row r="1162" ht="15"/>
    <row r="1163" ht="15"/>
    <row r="1164" ht="15"/>
    <row r="1165" ht="15"/>
    <row r="1166" ht="15"/>
    <row r="1167" ht="15"/>
    <row r="1168" ht="15"/>
    <row r="1169" ht="15"/>
    <row r="1170" ht="15"/>
    <row r="1171" ht="15"/>
    <row r="1172" ht="15"/>
    <row r="1173" ht="15"/>
    <row r="1174" ht="15"/>
    <row r="1175" ht="15"/>
    <row r="1176" ht="15"/>
    <row r="1177" ht="15"/>
    <row r="1178" ht="15"/>
    <row r="1179" ht="15"/>
    <row r="1180" ht="15"/>
    <row r="1181" ht="15"/>
    <row r="1182" ht="15"/>
    <row r="1183" ht="15"/>
    <row r="1184" ht="15"/>
    <row r="1185" ht="15"/>
    <row r="1186" ht="15"/>
    <row r="1187" ht="15"/>
    <row r="1188" ht="15"/>
    <row r="1189" ht="15"/>
    <row r="1190" ht="15"/>
    <row r="1191" ht="15"/>
    <row r="1192" ht="15"/>
    <row r="1193" ht="15"/>
    <row r="1194" ht="15"/>
    <row r="1195" ht="15"/>
    <row r="1196" ht="15"/>
    <row r="1197" ht="15"/>
    <row r="1198" ht="15"/>
    <row r="1199" ht="15"/>
    <row r="1200" ht="15"/>
    <row r="1201" ht="15"/>
    <row r="1202" ht="15"/>
    <row r="1203" ht="15"/>
    <row r="1204" ht="15"/>
    <row r="1205" ht="15"/>
    <row r="1206" ht="15"/>
    <row r="1207" ht="15"/>
    <row r="1208" ht="15"/>
    <row r="1209" ht="15"/>
    <row r="1210" ht="15"/>
    <row r="1211" ht="15"/>
    <row r="1212" ht="15"/>
    <row r="1213" ht="15"/>
    <row r="1214" ht="15"/>
    <row r="1215" ht="15"/>
    <row r="1216" ht="15"/>
    <row r="1217" ht="15"/>
    <row r="1218" ht="15"/>
    <row r="1219" ht="15"/>
    <row r="1220" ht="15"/>
    <row r="1221" ht="15"/>
    <row r="1222" ht="15"/>
    <row r="1223" ht="15"/>
    <row r="1224" ht="15"/>
    <row r="1225" ht="15"/>
    <row r="1226" ht="15"/>
    <row r="1227" ht="15"/>
  </sheetData>
  <autoFilter ref="A4:N55" xr:uid="{00000000-0009-0000-0000-000000000000}"/>
  <mergeCells count="119">
    <mergeCell ref="L74:L76"/>
    <mergeCell ref="M77:M78"/>
    <mergeCell ref="L77:L78"/>
    <mergeCell ref="L57:L59"/>
    <mergeCell ref="L29:L56"/>
    <mergeCell ref="L61:L63"/>
    <mergeCell ref="L72:L73"/>
    <mergeCell ref="M72:M73"/>
    <mergeCell ref="L138:L140"/>
    <mergeCell ref="M138:M140"/>
    <mergeCell ref="M29:M56"/>
    <mergeCell ref="M57:M60"/>
    <mergeCell ref="M74:M76"/>
    <mergeCell ref="M115:M123"/>
    <mergeCell ref="L115:L123"/>
    <mergeCell ref="M110:M114"/>
    <mergeCell ref="L110:L114"/>
    <mergeCell ref="M103:M109"/>
    <mergeCell ref="L103:L109"/>
    <mergeCell ref="L365:L369"/>
    <mergeCell ref="M365:M369"/>
    <mergeCell ref="L359:L364"/>
    <mergeCell ref="M359:M364"/>
    <mergeCell ref="M356:M357"/>
    <mergeCell ref="L356:L357"/>
    <mergeCell ref="L272:L277"/>
    <mergeCell ref="M272:M277"/>
    <mergeCell ref="L278:L282"/>
    <mergeCell ref="M278:M282"/>
    <mergeCell ref="L283:L286"/>
    <mergeCell ref="M283:M286"/>
    <mergeCell ref="L287:L293"/>
    <mergeCell ref="M287:M293"/>
    <mergeCell ref="L294:L295"/>
    <mergeCell ref="M296:M299"/>
    <mergeCell ref="L296:L299"/>
    <mergeCell ref="M300:M304"/>
    <mergeCell ref="L300:L304"/>
    <mergeCell ref="M305:M316"/>
    <mergeCell ref="L305:L316"/>
    <mergeCell ref="L317:L321"/>
    <mergeCell ref="M317:M321"/>
    <mergeCell ref="M322:M329"/>
    <mergeCell ref="A1:J1"/>
    <mergeCell ref="M5:M14"/>
    <mergeCell ref="N255:N262"/>
    <mergeCell ref="N278:N282"/>
    <mergeCell ref="N300:N304"/>
    <mergeCell ref="M15:M28"/>
    <mergeCell ref="L15:L17"/>
    <mergeCell ref="M265:M271"/>
    <mergeCell ref="L265:L271"/>
    <mergeCell ref="M255:M262"/>
    <mergeCell ref="L255:L262"/>
    <mergeCell ref="M247:M254"/>
    <mergeCell ref="L247:L254"/>
    <mergeCell ref="M240:M246"/>
    <mergeCell ref="L240:L246"/>
    <mergeCell ref="M3:M4"/>
    <mergeCell ref="N3:N4"/>
    <mergeCell ref="L5:L14"/>
    <mergeCell ref="K3:L3"/>
    <mergeCell ref="A3:A4"/>
    <mergeCell ref="B3:B4"/>
    <mergeCell ref="C3:C4"/>
    <mergeCell ref="D3:J3"/>
    <mergeCell ref="M294:M295"/>
    <mergeCell ref="C349:C353"/>
    <mergeCell ref="L341:L346"/>
    <mergeCell ref="M341:M346"/>
    <mergeCell ref="M330:M333"/>
    <mergeCell ref="L330:L333"/>
    <mergeCell ref="M334:M335"/>
    <mergeCell ref="L334:L335"/>
    <mergeCell ref="M336:M340"/>
    <mergeCell ref="L336:L340"/>
    <mergeCell ref="K347:K353"/>
    <mergeCell ref="L347:L353"/>
    <mergeCell ref="M347:M353"/>
    <mergeCell ref="L322:L329"/>
    <mergeCell ref="M204:M206"/>
    <mergeCell ref="L204:L206"/>
    <mergeCell ref="M193:M203"/>
    <mergeCell ref="L193:L203"/>
    <mergeCell ref="M223:M239"/>
    <mergeCell ref="L223:L239"/>
    <mergeCell ref="M216:M222"/>
    <mergeCell ref="L216:L222"/>
    <mergeCell ref="M207:M214"/>
    <mergeCell ref="L207:L214"/>
    <mergeCell ref="M163:M174"/>
    <mergeCell ref="L163:L174"/>
    <mergeCell ref="M161:M162"/>
    <mergeCell ref="L161:L162"/>
    <mergeCell ref="M150:M160"/>
    <mergeCell ref="L150:L160"/>
    <mergeCell ref="M191:M192"/>
    <mergeCell ref="L191:L192"/>
    <mergeCell ref="M181:M190"/>
    <mergeCell ref="L181:L190"/>
    <mergeCell ref="M175:M180"/>
    <mergeCell ref="L175:L180"/>
    <mergeCell ref="M141:M149"/>
    <mergeCell ref="L141:L149"/>
    <mergeCell ref="M131:M137"/>
    <mergeCell ref="L131:L137"/>
    <mergeCell ref="M124:M130"/>
    <mergeCell ref="L124:L130"/>
    <mergeCell ref="M81:M85"/>
    <mergeCell ref="L81:L85"/>
    <mergeCell ref="C79:C80"/>
    <mergeCell ref="M79:M80"/>
    <mergeCell ref="L79:L80"/>
    <mergeCell ref="M100:M102"/>
    <mergeCell ref="L100:L102"/>
    <mergeCell ref="M89:M99"/>
    <mergeCell ref="L89:L99"/>
    <mergeCell ref="M86:M88"/>
    <mergeCell ref="L86:L88"/>
  </mergeCells>
  <hyperlinks>
    <hyperlink ref="N15" r:id="rId1" xr:uid="{ACA93AE2-384E-44DD-9915-985840B8ADD7}"/>
    <hyperlink ref="N19" r:id="rId2" xr:uid="{38294F71-C161-421B-89D4-42EEA51D50F2}"/>
    <hyperlink ref="N20" r:id="rId3" xr:uid="{3388715D-060D-49D6-B8DE-F3B0901EF5AD}"/>
    <hyperlink ref="N21" r:id="rId4" xr:uid="{7E1B647D-FE8E-4719-BBD3-92F2E697FE80}"/>
    <hyperlink ref="N22" r:id="rId5" xr:uid="{1B966716-9162-401B-B0D9-406E096871DF}"/>
    <hyperlink ref="N23" r:id="rId6" xr:uid="{A31D52BA-134A-46B2-B515-CCA0BC6C0B24}"/>
    <hyperlink ref="N24" r:id="rId7" xr:uid="{97B9AA8A-EBC0-45D4-95B6-5E3218BA924A}"/>
    <hyperlink ref="N29" r:id="rId8" xr:uid="{A66E38BC-9889-45CF-9049-3B36E83928DD}"/>
    <hyperlink ref="N74" r:id="rId9" xr:uid="{AD60270E-F052-455A-B0DE-A1157EC0A1F0}"/>
    <hyperlink ref="N223" r:id="rId10" xr:uid="{FAB727F3-6838-46CE-8D47-A230EEBF82F8}"/>
    <hyperlink ref="N240" r:id="rId11" xr:uid="{8043BD8C-6522-400B-84E6-88DC7B21351D}"/>
    <hyperlink ref="N247" r:id="rId12" xr:uid="{48885035-0991-4EE3-A14E-D3223E305625}"/>
    <hyperlink ref="N255" r:id="rId13" xr:uid="{3F93293D-78C7-4CE6-AE06-979A5660DC76}"/>
    <hyperlink ref="N265" r:id="rId14" xr:uid="{5208C708-0B87-48F8-B4DD-AD99548F8E55}"/>
    <hyperlink ref="N266" location="null!A1" display="Diklat Total" xr:uid="{E480FE04-CB17-4BB1-B01C-53D5C1126FAA}"/>
    <hyperlink ref="N272" r:id="rId15" xr:uid="{8636C9FE-0EA6-412F-A32D-87B5283704B1}"/>
    <hyperlink ref="N275" r:id="rId16" xr:uid="{2098C204-0AAB-44C6-8E4B-3668455F6279}"/>
    <hyperlink ref="N274" r:id="rId17" xr:uid="{E8403B5E-5495-411C-AA38-5FC498BA9B3C}"/>
    <hyperlink ref="N276" r:id="rId18" xr:uid="{0A6E4E6E-0F01-4B51-BCC7-9B8DF1D66992}"/>
    <hyperlink ref="N277" r:id="rId19" xr:uid="{92544AD1-7FC6-48AD-9B95-5D8B09E601FD}"/>
    <hyperlink ref="N273" r:id="rId20" xr:uid="{E2401E41-D539-48F4-AB6D-FD2B9D2C6B9F}"/>
    <hyperlink ref="N278" r:id="rId21" xr:uid="{DC0AC4E8-C67F-4654-85D1-3F40BB2DEB11}"/>
    <hyperlink ref="N287" r:id="rId22" xr:uid="{5F6824CA-2A3B-4B32-9D43-1A7D774D2672}"/>
    <hyperlink ref="N296" r:id="rId23" xr:uid="{D9E1933F-E355-4F90-9378-66F5D5EEB1AB}"/>
    <hyperlink ref="N300" r:id="rId24" xr:uid="{33470F5D-32F6-4286-9340-3A2EA8ABB8FC}"/>
    <hyperlink ref="N305" r:id="rId25" xr:uid="{EADE8723-6A23-4BBD-A25E-EEE51C946527}"/>
    <hyperlink ref="N317" r:id="rId26" xr:uid="{8BE2B333-BCFE-423F-AE3D-C37A75F97F37}"/>
    <hyperlink ref="N330" r:id="rId27" xr:uid="{42B021A1-3F34-4501-845D-4B7D60AF918F}"/>
    <hyperlink ref="N331" r:id="rId28" xr:uid="{D7E170F6-C731-403B-86B1-A1D59A700E99}"/>
    <hyperlink ref="N332" r:id="rId29" xr:uid="{0EF3ACD4-9695-4BA5-B618-D6C8B9C31A08}"/>
    <hyperlink ref="N333" r:id="rId30" xr:uid="{16E4337E-4851-4C57-B2EA-1E9D3AB84B53}"/>
    <hyperlink ref="N336" r:id="rId31" xr:uid="{998FFBBA-DAED-451D-81EA-724BD60DBA76}"/>
    <hyperlink ref="N347" r:id="rId32" xr:uid="{39E89768-E7E8-49D5-821A-DBF710989AF6}"/>
    <hyperlink ref="N204" r:id="rId33" xr:uid="{80F01BD3-5E79-448C-B1E0-FFD3515B6708}"/>
    <hyperlink ref="N207" r:id="rId34" xr:uid="{1FDD5149-0F55-40C1-A1D0-A1322FD6AC5D}"/>
    <hyperlink ref="N370" r:id="rId35" xr:uid="{2B47D6E4-2A4D-4A33-B834-F580E01E4015}"/>
    <hyperlink ref="N356" r:id="rId36" xr:uid="{E674197D-F952-43A8-852C-0DC7A801CFF6}"/>
    <hyperlink ref="N359" r:id="rId37" xr:uid="{83CEED35-A9C2-4D2B-8978-C072512D7FFB}"/>
  </hyperlinks>
  <pageMargins left="0.7" right="0.7" top="0.75" bottom="0.75" header="0" footer="0"/>
  <pageSetup paperSize="5" fitToHeight="0"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B6080-6F5D-4AA3-BFE7-0CACCC972B4E}">
  <dimension ref="A1:S75"/>
  <sheetViews>
    <sheetView zoomScale="90" zoomScaleNormal="90" workbookViewId="0">
      <pane xSplit="2" ySplit="5" topLeftCell="C6" activePane="bottomRight" state="frozen"/>
      <selection pane="bottomRight" activeCell="P6" sqref="P6"/>
      <selection pane="bottomLeft"/>
      <selection pane="topRight"/>
    </sheetView>
  </sheetViews>
  <sheetFormatPr defaultColWidth="8.85546875" defaultRowHeight="14.25" customHeight="1"/>
  <cols>
    <col min="1" max="1" width="4.140625" style="94" customWidth="1"/>
    <col min="2" max="2" width="19.85546875" style="95" customWidth="1"/>
    <col min="3" max="3" width="22.7109375" style="94" customWidth="1"/>
    <col min="4" max="4" width="7.28515625" style="94" customWidth="1"/>
    <col min="5" max="5" width="18.140625" style="96" customWidth="1"/>
    <col min="6" max="6" width="34.7109375" style="96" customWidth="1"/>
    <col min="7" max="7" width="22.7109375" style="97" customWidth="1"/>
    <col min="8" max="8" width="9.7109375" style="98" customWidth="1"/>
    <col min="9" max="9" width="8" style="98" customWidth="1"/>
    <col min="10" max="10" width="6.28515625" style="98" customWidth="1"/>
    <col min="11" max="11" width="6.42578125" style="98" customWidth="1"/>
    <col min="12" max="12" width="6.5703125" style="98" customWidth="1"/>
    <col min="13" max="13" width="6.28515625" style="98" customWidth="1"/>
    <col min="14" max="14" width="17.85546875" style="99" hidden="1" customWidth="1"/>
    <col min="15" max="15" width="10.7109375" style="95" customWidth="1"/>
    <col min="16" max="16" width="26.28515625" style="97" customWidth="1"/>
    <col min="17" max="17" width="50.7109375" style="97" customWidth="1"/>
    <col min="18" max="18" width="8.7109375" style="86" customWidth="1"/>
    <col min="19" max="16384" width="8.85546875" style="86"/>
  </cols>
  <sheetData>
    <row r="1" spans="1:18" ht="15">
      <c r="A1" s="1581" t="s">
        <v>1204</v>
      </c>
      <c r="B1" s="1581"/>
      <c r="C1" s="1581"/>
      <c r="D1" s="1581"/>
      <c r="E1" s="1581"/>
      <c r="F1" s="1581"/>
      <c r="G1" s="1581"/>
      <c r="H1" s="1581"/>
      <c r="I1" s="1581"/>
      <c r="J1" s="1581"/>
      <c r="K1" s="1581"/>
      <c r="L1" s="1581"/>
      <c r="M1" s="1581"/>
      <c r="N1" s="1581"/>
      <c r="O1" s="1581"/>
      <c r="P1" s="1581"/>
      <c r="Q1" s="1581"/>
      <c r="R1" s="85"/>
    </row>
    <row r="2" spans="1:18" ht="14.25" customHeight="1">
      <c r="A2" s="1581"/>
      <c r="B2" s="1581"/>
      <c r="C2" s="1581"/>
      <c r="D2" s="1581"/>
      <c r="E2" s="1581"/>
      <c r="F2" s="1581"/>
      <c r="G2" s="1581"/>
      <c r="H2" s="1581"/>
      <c r="I2" s="1581"/>
      <c r="J2" s="1581"/>
      <c r="K2" s="1581"/>
      <c r="L2" s="1581"/>
      <c r="M2" s="1581"/>
      <c r="N2" s="1581"/>
      <c r="O2" s="1581"/>
      <c r="P2" s="1581"/>
      <c r="Q2" s="1581"/>
    </row>
    <row r="3" spans="1:18" ht="15">
      <c r="A3" s="87"/>
      <c r="B3" s="88"/>
      <c r="C3" s="87"/>
      <c r="D3" s="87"/>
      <c r="E3" s="87"/>
      <c r="F3" s="84"/>
      <c r="G3" s="88"/>
      <c r="H3" s="88"/>
      <c r="I3" s="88"/>
      <c r="J3" s="88"/>
      <c r="K3" s="88"/>
      <c r="L3" s="88"/>
      <c r="M3" s="88"/>
      <c r="N3" s="88"/>
      <c r="O3" s="89"/>
      <c r="P3" s="88"/>
      <c r="Q3" s="90"/>
    </row>
    <row r="4" spans="1:18" ht="30" customHeight="1">
      <c r="A4" s="1582" t="s">
        <v>0</v>
      </c>
      <c r="B4" s="1582" t="s">
        <v>366</v>
      </c>
      <c r="C4" s="1582" t="s">
        <v>2</v>
      </c>
      <c r="D4" s="1582" t="s">
        <v>1205</v>
      </c>
      <c r="E4" s="1578" t="s">
        <v>1206</v>
      </c>
      <c r="F4" s="1580" t="s">
        <v>1207</v>
      </c>
      <c r="G4" s="1583" t="s">
        <v>1208</v>
      </c>
      <c r="H4" s="1578" t="s">
        <v>1209</v>
      </c>
      <c r="I4" s="1584"/>
      <c r="J4" s="1584"/>
      <c r="K4" s="1584"/>
      <c r="L4" s="1584"/>
      <c r="M4" s="1583"/>
      <c r="N4" s="1585" t="s">
        <v>1210</v>
      </c>
      <c r="O4" s="1575" t="s">
        <v>1211</v>
      </c>
      <c r="P4" s="1577" t="s">
        <v>1212</v>
      </c>
      <c r="Q4" s="1579" t="s">
        <v>9</v>
      </c>
      <c r="R4" s="92"/>
    </row>
    <row r="5" spans="1:18" ht="15">
      <c r="A5" s="1582"/>
      <c r="B5" s="1582"/>
      <c r="C5" s="1582"/>
      <c r="D5" s="1582"/>
      <c r="E5" s="1578"/>
      <c r="F5" s="1580"/>
      <c r="G5" s="1583"/>
      <c r="H5" s="91" t="s">
        <v>1213</v>
      </c>
      <c r="I5" s="93">
        <v>2021</v>
      </c>
      <c r="J5" s="93">
        <v>2022</v>
      </c>
      <c r="K5" s="93">
        <v>2023</v>
      </c>
      <c r="L5" s="93">
        <v>2024</v>
      </c>
      <c r="M5" s="93">
        <v>2025</v>
      </c>
      <c r="N5" s="1585"/>
      <c r="O5" s="1576"/>
      <c r="P5" s="1578"/>
      <c r="Q5" s="1580"/>
      <c r="R5" s="92"/>
    </row>
    <row r="6" spans="1:18" ht="165.75" customHeight="1">
      <c r="A6" s="123">
        <v>1</v>
      </c>
      <c r="B6" s="124" t="s">
        <v>1214</v>
      </c>
      <c r="C6" s="125" t="s">
        <v>1215</v>
      </c>
      <c r="D6" s="123" t="s">
        <v>1216</v>
      </c>
      <c r="E6" s="127" t="s">
        <v>105</v>
      </c>
      <c r="F6" s="110" t="s">
        <v>1217</v>
      </c>
      <c r="G6" s="111" t="s">
        <v>1218</v>
      </c>
      <c r="H6" s="112">
        <v>19</v>
      </c>
      <c r="I6" s="112">
        <v>0</v>
      </c>
      <c r="J6" s="112">
        <v>3</v>
      </c>
      <c r="K6" s="112">
        <v>4</v>
      </c>
      <c r="L6" s="112">
        <v>3</v>
      </c>
      <c r="M6" s="112">
        <v>10</v>
      </c>
      <c r="N6" s="113"/>
      <c r="O6" s="112" t="s">
        <v>1219</v>
      </c>
      <c r="P6" s="114" t="s">
        <v>1220</v>
      </c>
      <c r="Q6" s="110" t="s">
        <v>1221</v>
      </c>
    </row>
    <row r="7" spans="1:18" ht="201.75">
      <c r="A7" s="123">
        <v>2</v>
      </c>
      <c r="B7" s="124" t="s">
        <v>168</v>
      </c>
      <c r="C7" s="125" t="s">
        <v>1222</v>
      </c>
      <c r="D7" s="123" t="s">
        <v>84</v>
      </c>
      <c r="E7" s="127" t="s">
        <v>1223</v>
      </c>
      <c r="F7" s="115" t="s">
        <v>1224</v>
      </c>
      <c r="G7" s="116" t="s">
        <v>1218</v>
      </c>
      <c r="H7" s="112">
        <v>9</v>
      </c>
      <c r="I7" s="112">
        <v>16</v>
      </c>
      <c r="J7" s="112">
        <v>5</v>
      </c>
      <c r="K7" s="112">
        <v>7</v>
      </c>
      <c r="L7" s="112">
        <v>9</v>
      </c>
      <c r="M7" s="112">
        <v>13</v>
      </c>
      <c r="N7" s="113"/>
      <c r="O7" s="112" t="s">
        <v>1225</v>
      </c>
      <c r="P7" s="114" t="s">
        <v>1226</v>
      </c>
      <c r="Q7" s="117" t="s">
        <v>1227</v>
      </c>
    </row>
    <row r="8" spans="1:18" ht="144">
      <c r="A8" s="123">
        <v>3</v>
      </c>
      <c r="B8" s="124" t="s">
        <v>115</v>
      </c>
      <c r="C8" s="125" t="s">
        <v>1228</v>
      </c>
      <c r="D8" s="123" t="s">
        <v>84</v>
      </c>
      <c r="E8" s="127" t="s">
        <v>117</v>
      </c>
      <c r="F8" s="115" t="s">
        <v>1229</v>
      </c>
      <c r="G8" s="116" t="s">
        <v>1218</v>
      </c>
      <c r="H8" s="112">
        <v>1</v>
      </c>
      <c r="I8" s="112">
        <v>0</v>
      </c>
      <c r="J8" s="112">
        <v>1</v>
      </c>
      <c r="K8" s="112">
        <v>2</v>
      </c>
      <c r="L8" s="112">
        <v>1</v>
      </c>
      <c r="M8" s="112">
        <v>27</v>
      </c>
      <c r="N8" s="113"/>
      <c r="O8" s="112" t="s">
        <v>1219</v>
      </c>
      <c r="P8" s="114" t="s">
        <v>1230</v>
      </c>
      <c r="Q8" s="117" t="s">
        <v>1231</v>
      </c>
    </row>
    <row r="9" spans="1:18" ht="144">
      <c r="A9" s="123">
        <v>4</v>
      </c>
      <c r="B9" s="124" t="s">
        <v>123</v>
      </c>
      <c r="C9" s="125" t="s">
        <v>1232</v>
      </c>
      <c r="D9" s="123" t="s">
        <v>84</v>
      </c>
      <c r="E9" s="127" t="s">
        <v>1233</v>
      </c>
      <c r="F9" s="115" t="s">
        <v>1229</v>
      </c>
      <c r="G9" s="116" t="s">
        <v>1218</v>
      </c>
      <c r="H9" s="112">
        <v>1</v>
      </c>
      <c r="I9" s="112">
        <v>0</v>
      </c>
      <c r="J9" s="112">
        <v>0</v>
      </c>
      <c r="K9" s="112">
        <v>0</v>
      </c>
      <c r="L9" s="112">
        <v>2</v>
      </c>
      <c r="M9" s="112">
        <v>1</v>
      </c>
      <c r="N9" s="113"/>
      <c r="O9" s="112" t="s">
        <v>1225</v>
      </c>
      <c r="P9" s="114" t="s">
        <v>1230</v>
      </c>
      <c r="Q9" s="117" t="s">
        <v>1234</v>
      </c>
    </row>
    <row r="10" spans="1:18" ht="159" customHeight="1">
      <c r="A10" s="123">
        <v>5</v>
      </c>
      <c r="B10" s="124" t="s">
        <v>128</v>
      </c>
      <c r="C10" s="125" t="s">
        <v>1235</v>
      </c>
      <c r="D10" s="123" t="s">
        <v>91</v>
      </c>
      <c r="E10" s="127" t="s">
        <v>1236</v>
      </c>
      <c r="F10" s="115" t="s">
        <v>1237</v>
      </c>
      <c r="G10" s="116" t="s">
        <v>1218</v>
      </c>
      <c r="H10" s="112">
        <v>1</v>
      </c>
      <c r="I10" s="112">
        <v>0</v>
      </c>
      <c r="J10" s="112">
        <v>0</v>
      </c>
      <c r="K10" s="112">
        <v>0</v>
      </c>
      <c r="L10" s="112">
        <v>1</v>
      </c>
      <c r="M10" s="112">
        <v>1</v>
      </c>
      <c r="N10" s="113"/>
      <c r="O10" s="112" t="s">
        <v>1219</v>
      </c>
      <c r="P10" s="114" t="s">
        <v>1238</v>
      </c>
      <c r="Q10" s="117" t="s">
        <v>1239</v>
      </c>
    </row>
    <row r="11" spans="1:18" ht="183.75" customHeight="1">
      <c r="A11" s="123">
        <v>6</v>
      </c>
      <c r="B11" s="124" t="s">
        <v>136</v>
      </c>
      <c r="C11" s="125" t="s">
        <v>1240</v>
      </c>
      <c r="D11" s="123" t="s">
        <v>84</v>
      </c>
      <c r="E11" s="127" t="s">
        <v>1241</v>
      </c>
      <c r="F11" s="115" t="s">
        <v>1242</v>
      </c>
      <c r="G11" s="116" t="s">
        <v>1218</v>
      </c>
      <c r="H11" s="112">
        <v>1</v>
      </c>
      <c r="I11" s="112">
        <v>0</v>
      </c>
      <c r="J11" s="112">
        <v>0</v>
      </c>
      <c r="K11" s="112">
        <v>0</v>
      </c>
      <c r="L11" s="112">
        <v>1</v>
      </c>
      <c r="M11" s="112">
        <v>1</v>
      </c>
      <c r="N11" s="113"/>
      <c r="O11" s="112" t="s">
        <v>1219</v>
      </c>
      <c r="P11" s="114" t="s">
        <v>1243</v>
      </c>
      <c r="Q11" s="117" t="s">
        <v>1244</v>
      </c>
    </row>
    <row r="12" spans="1:18" ht="148.5" customHeight="1">
      <c r="A12" s="123">
        <v>7</v>
      </c>
      <c r="B12" s="124" t="s">
        <v>143</v>
      </c>
      <c r="C12" s="125" t="s">
        <v>1245</v>
      </c>
      <c r="D12" s="123" t="s">
        <v>84</v>
      </c>
      <c r="E12" s="127" t="s">
        <v>1246</v>
      </c>
      <c r="F12" s="115" t="s">
        <v>1229</v>
      </c>
      <c r="G12" s="116" t="s">
        <v>1218</v>
      </c>
      <c r="H12" s="112">
        <v>1</v>
      </c>
      <c r="I12" s="112">
        <v>1</v>
      </c>
      <c r="J12" s="112">
        <v>0</v>
      </c>
      <c r="K12" s="112">
        <v>0</v>
      </c>
      <c r="L12" s="112">
        <v>1</v>
      </c>
      <c r="M12" s="112">
        <v>1</v>
      </c>
      <c r="N12" s="113"/>
      <c r="O12" s="112" t="s">
        <v>1225</v>
      </c>
      <c r="P12" s="114" t="s">
        <v>1230</v>
      </c>
      <c r="Q12" s="117" t="s">
        <v>1247</v>
      </c>
    </row>
    <row r="13" spans="1:18" ht="143.25" customHeight="1">
      <c r="A13" s="123">
        <v>8</v>
      </c>
      <c r="B13" s="124" t="s">
        <v>149</v>
      </c>
      <c r="C13" s="125" t="s">
        <v>1248</v>
      </c>
      <c r="D13" s="123" t="s">
        <v>151</v>
      </c>
      <c r="E13" s="127" t="s">
        <v>130</v>
      </c>
      <c r="F13" s="115" t="s">
        <v>1229</v>
      </c>
      <c r="G13" s="116" t="s">
        <v>1218</v>
      </c>
      <c r="H13" s="112">
        <v>2</v>
      </c>
      <c r="I13" s="112">
        <v>0</v>
      </c>
      <c r="J13" s="112">
        <v>1</v>
      </c>
      <c r="K13" s="112">
        <v>0</v>
      </c>
      <c r="L13" s="112">
        <v>1</v>
      </c>
      <c r="M13" s="112">
        <v>1</v>
      </c>
      <c r="N13" s="113"/>
      <c r="O13" s="112" t="s">
        <v>1219</v>
      </c>
      <c r="P13" s="114" t="s">
        <v>1230</v>
      </c>
      <c r="Q13" s="117" t="s">
        <v>1249</v>
      </c>
    </row>
    <row r="14" spans="1:18" ht="132.75" customHeight="1">
      <c r="A14" s="123">
        <v>9</v>
      </c>
      <c r="B14" s="124" t="s">
        <v>10</v>
      </c>
      <c r="C14" s="125" t="s">
        <v>11</v>
      </c>
      <c r="D14" s="123" t="s">
        <v>91</v>
      </c>
      <c r="E14" s="127" t="s">
        <v>13</v>
      </c>
      <c r="F14" s="115" t="s">
        <v>1250</v>
      </c>
      <c r="G14" s="116" t="s">
        <v>1218</v>
      </c>
      <c r="H14" s="112">
        <v>1</v>
      </c>
      <c r="I14" s="112">
        <v>0</v>
      </c>
      <c r="J14" s="112">
        <v>0</v>
      </c>
      <c r="K14" s="112">
        <v>0</v>
      </c>
      <c r="L14" s="112">
        <v>1</v>
      </c>
      <c r="M14" s="112">
        <v>2</v>
      </c>
      <c r="N14" s="113"/>
      <c r="O14" s="112" t="s">
        <v>1219</v>
      </c>
      <c r="P14" s="114" t="s">
        <v>1251</v>
      </c>
      <c r="Q14" s="117" t="s">
        <v>1252</v>
      </c>
    </row>
    <row r="15" spans="1:18" ht="132.75" customHeight="1">
      <c r="A15" s="123">
        <v>10</v>
      </c>
      <c r="B15" s="124" t="s">
        <v>15</v>
      </c>
      <c r="C15" s="125" t="s">
        <v>16</v>
      </c>
      <c r="D15" s="123" t="s">
        <v>91</v>
      </c>
      <c r="E15" s="127" t="s">
        <v>13</v>
      </c>
      <c r="F15" s="115" t="s">
        <v>1250</v>
      </c>
      <c r="G15" s="116" t="s">
        <v>1218</v>
      </c>
      <c r="H15" s="112">
        <v>1</v>
      </c>
      <c r="I15" s="112">
        <v>1</v>
      </c>
      <c r="J15" s="112">
        <v>0</v>
      </c>
      <c r="K15" s="112">
        <v>0</v>
      </c>
      <c r="L15" s="112">
        <v>0</v>
      </c>
      <c r="M15" s="112">
        <v>5</v>
      </c>
      <c r="N15" s="113"/>
      <c r="O15" s="112" t="s">
        <v>1219</v>
      </c>
      <c r="P15" s="114" t="s">
        <v>1251</v>
      </c>
      <c r="Q15" s="117" t="s">
        <v>1252</v>
      </c>
    </row>
    <row r="16" spans="1:18" ht="132.75" customHeight="1">
      <c r="A16" s="123">
        <v>11</v>
      </c>
      <c r="B16" s="124" t="s">
        <v>160</v>
      </c>
      <c r="C16" s="125" t="s">
        <v>1253</v>
      </c>
      <c r="D16" s="123" t="s">
        <v>1254</v>
      </c>
      <c r="E16" s="127" t="s">
        <v>162</v>
      </c>
      <c r="F16" s="115" t="s">
        <v>1250</v>
      </c>
      <c r="G16" s="116" t="s">
        <v>1218</v>
      </c>
      <c r="H16" s="112">
        <v>7</v>
      </c>
      <c r="I16" s="112">
        <v>1</v>
      </c>
      <c r="J16" s="112">
        <v>1</v>
      </c>
      <c r="K16" s="112">
        <v>1</v>
      </c>
      <c r="L16" s="112">
        <v>2</v>
      </c>
      <c r="M16" s="112">
        <v>3</v>
      </c>
      <c r="N16" s="113"/>
      <c r="O16" s="112" t="s">
        <v>1225</v>
      </c>
      <c r="P16" s="114" t="s">
        <v>1251</v>
      </c>
      <c r="Q16" s="117" t="s">
        <v>1252</v>
      </c>
    </row>
    <row r="17" spans="1:17" ht="132.75" customHeight="1">
      <c r="A17" s="123">
        <v>12</v>
      </c>
      <c r="B17" s="124" t="s">
        <v>19</v>
      </c>
      <c r="C17" s="125" t="s">
        <v>20</v>
      </c>
      <c r="D17" s="123" t="s">
        <v>84</v>
      </c>
      <c r="E17" s="127" t="s">
        <v>22</v>
      </c>
      <c r="F17" s="115" t="s">
        <v>1250</v>
      </c>
      <c r="G17" s="116" t="s">
        <v>1218</v>
      </c>
      <c r="H17" s="112">
        <v>1</v>
      </c>
      <c r="I17" s="112">
        <v>0</v>
      </c>
      <c r="J17" s="112">
        <v>0</v>
      </c>
      <c r="K17" s="112">
        <v>1</v>
      </c>
      <c r="L17" s="112">
        <v>1</v>
      </c>
      <c r="M17" s="112">
        <v>11</v>
      </c>
      <c r="N17" s="113"/>
      <c r="O17" s="112" t="s">
        <v>1219</v>
      </c>
      <c r="P17" s="114" t="s">
        <v>1251</v>
      </c>
      <c r="Q17" s="117" t="s">
        <v>1252</v>
      </c>
    </row>
    <row r="18" spans="1:17" ht="132.75" customHeight="1">
      <c r="A18" s="123">
        <v>13</v>
      </c>
      <c r="B18" s="124" t="s">
        <v>24</v>
      </c>
      <c r="C18" s="125" t="s">
        <v>1255</v>
      </c>
      <c r="D18" s="123" t="s">
        <v>101</v>
      </c>
      <c r="E18" s="127" t="s">
        <v>13</v>
      </c>
      <c r="F18" s="115" t="s">
        <v>1250</v>
      </c>
      <c r="G18" s="116" t="s">
        <v>1218</v>
      </c>
      <c r="H18" s="112">
        <v>2</v>
      </c>
      <c r="I18" s="112">
        <v>0</v>
      </c>
      <c r="J18" s="112">
        <v>1</v>
      </c>
      <c r="K18" s="112">
        <v>2</v>
      </c>
      <c r="L18" s="112">
        <v>1</v>
      </c>
      <c r="M18" s="112">
        <v>3</v>
      </c>
      <c r="N18" s="113"/>
      <c r="O18" s="112" t="s">
        <v>1219</v>
      </c>
      <c r="P18" s="114" t="s">
        <v>1251</v>
      </c>
      <c r="Q18" s="117" t="s">
        <v>1252</v>
      </c>
    </row>
    <row r="19" spans="1:17" ht="132.75" customHeight="1">
      <c r="A19" s="123">
        <v>14</v>
      </c>
      <c r="B19" s="124" t="s">
        <v>27</v>
      </c>
      <c r="C19" s="125" t="s">
        <v>1256</v>
      </c>
      <c r="D19" s="123" t="s">
        <v>91</v>
      </c>
      <c r="E19" s="127" t="s">
        <v>13</v>
      </c>
      <c r="F19" s="115" t="s">
        <v>1250</v>
      </c>
      <c r="G19" s="116" t="s">
        <v>1218</v>
      </c>
      <c r="H19" s="112">
        <v>5</v>
      </c>
      <c r="I19" s="112">
        <v>1</v>
      </c>
      <c r="J19" s="112">
        <v>1</v>
      </c>
      <c r="K19" s="112">
        <v>1</v>
      </c>
      <c r="L19" s="112">
        <v>0</v>
      </c>
      <c r="M19" s="112">
        <v>7</v>
      </c>
      <c r="N19" s="113"/>
      <c r="O19" s="112" t="s">
        <v>1225</v>
      </c>
      <c r="P19" s="114" t="s">
        <v>1251</v>
      </c>
      <c r="Q19" s="117" t="s">
        <v>1252</v>
      </c>
    </row>
    <row r="20" spans="1:17" ht="131.25" customHeight="1">
      <c r="A20" s="123">
        <v>15</v>
      </c>
      <c r="B20" s="124" t="s">
        <v>187</v>
      </c>
      <c r="C20" s="125" t="s">
        <v>1257</v>
      </c>
      <c r="D20" s="123" t="s">
        <v>91</v>
      </c>
      <c r="E20" s="127" t="s">
        <v>13</v>
      </c>
      <c r="F20" s="115" t="s">
        <v>1250</v>
      </c>
      <c r="G20" s="116" t="s">
        <v>1218</v>
      </c>
      <c r="H20" s="112">
        <v>1</v>
      </c>
      <c r="I20" s="112">
        <v>0</v>
      </c>
      <c r="J20" s="112">
        <v>0</v>
      </c>
      <c r="K20" s="112">
        <v>0</v>
      </c>
      <c r="L20" s="112">
        <v>1</v>
      </c>
      <c r="M20" s="112">
        <v>5</v>
      </c>
      <c r="N20" s="113"/>
      <c r="O20" s="112" t="s">
        <v>1225</v>
      </c>
      <c r="P20" s="114" t="s">
        <v>1251</v>
      </c>
      <c r="Q20" s="117" t="s">
        <v>1252</v>
      </c>
    </row>
    <row r="21" spans="1:17" ht="131.25" customHeight="1">
      <c r="A21" s="123">
        <v>16</v>
      </c>
      <c r="B21" s="124" t="s">
        <v>29</v>
      </c>
      <c r="C21" s="125" t="s">
        <v>1258</v>
      </c>
      <c r="D21" s="123" t="s">
        <v>84</v>
      </c>
      <c r="E21" s="127" t="s">
        <v>22</v>
      </c>
      <c r="F21" s="115" t="s">
        <v>1250</v>
      </c>
      <c r="G21" s="116" t="s">
        <v>1218</v>
      </c>
      <c r="H21" s="112">
        <v>53</v>
      </c>
      <c r="I21" s="112">
        <v>1</v>
      </c>
      <c r="J21" s="112">
        <v>0</v>
      </c>
      <c r="K21" s="112">
        <v>3</v>
      </c>
      <c r="L21" s="112">
        <v>4</v>
      </c>
      <c r="M21" s="112">
        <v>9</v>
      </c>
      <c r="N21" s="113"/>
      <c r="O21" s="112" t="s">
        <v>1225</v>
      </c>
      <c r="P21" s="114" t="s">
        <v>1251</v>
      </c>
      <c r="Q21" s="117" t="s">
        <v>1252</v>
      </c>
    </row>
    <row r="22" spans="1:17" ht="177" customHeight="1">
      <c r="A22" s="123">
        <v>17</v>
      </c>
      <c r="B22" s="124" t="s">
        <v>31</v>
      </c>
      <c r="C22" s="125" t="s">
        <v>1259</v>
      </c>
      <c r="D22" s="123" t="s">
        <v>91</v>
      </c>
      <c r="E22" s="127" t="s">
        <v>13</v>
      </c>
      <c r="F22" s="115" t="s">
        <v>1260</v>
      </c>
      <c r="G22" s="116" t="s">
        <v>1218</v>
      </c>
      <c r="H22" s="112">
        <v>1</v>
      </c>
      <c r="I22" s="112">
        <v>2</v>
      </c>
      <c r="J22" s="112">
        <v>1</v>
      </c>
      <c r="K22" s="112">
        <v>0</v>
      </c>
      <c r="L22" s="112">
        <v>1</v>
      </c>
      <c r="M22" s="112">
        <v>7</v>
      </c>
      <c r="N22" s="113"/>
      <c r="O22" s="112" t="s">
        <v>1225</v>
      </c>
      <c r="P22" s="114" t="s">
        <v>1251</v>
      </c>
      <c r="Q22" s="117" t="s">
        <v>1261</v>
      </c>
    </row>
    <row r="23" spans="1:17" ht="131.25" customHeight="1">
      <c r="A23" s="123">
        <v>18</v>
      </c>
      <c r="B23" s="124" t="s">
        <v>33</v>
      </c>
      <c r="C23" s="125" t="s">
        <v>1262</v>
      </c>
      <c r="D23" s="123" t="s">
        <v>91</v>
      </c>
      <c r="E23" s="127" t="s">
        <v>13</v>
      </c>
      <c r="F23" s="115" t="s">
        <v>1250</v>
      </c>
      <c r="G23" s="116" t="s">
        <v>1218</v>
      </c>
      <c r="H23" s="112">
        <v>3</v>
      </c>
      <c r="I23" s="112">
        <v>3</v>
      </c>
      <c r="J23" s="112">
        <v>1</v>
      </c>
      <c r="K23" s="112">
        <v>0</v>
      </c>
      <c r="L23" s="112">
        <v>2</v>
      </c>
      <c r="M23" s="112">
        <v>4</v>
      </c>
      <c r="N23" s="113"/>
      <c r="O23" s="112" t="s">
        <v>1225</v>
      </c>
      <c r="P23" s="114" t="s">
        <v>1251</v>
      </c>
      <c r="Q23" s="117" t="s">
        <v>1252</v>
      </c>
    </row>
    <row r="24" spans="1:17" ht="133.5" customHeight="1">
      <c r="A24" s="123">
        <v>19</v>
      </c>
      <c r="B24" s="124" t="s">
        <v>35</v>
      </c>
      <c r="C24" s="125" t="s">
        <v>1263</v>
      </c>
      <c r="D24" s="123" t="s">
        <v>101</v>
      </c>
      <c r="E24" s="127" t="s">
        <v>13</v>
      </c>
      <c r="F24" s="115" t="s">
        <v>1250</v>
      </c>
      <c r="G24" s="116" t="s">
        <v>1218</v>
      </c>
      <c r="H24" s="112">
        <v>1</v>
      </c>
      <c r="I24" s="112">
        <v>0</v>
      </c>
      <c r="J24" s="112">
        <v>0</v>
      </c>
      <c r="K24" s="112">
        <v>0</v>
      </c>
      <c r="L24" s="112">
        <v>1</v>
      </c>
      <c r="M24" s="112">
        <v>2</v>
      </c>
      <c r="N24" s="113"/>
      <c r="O24" s="112" t="s">
        <v>1219</v>
      </c>
      <c r="P24" s="114" t="s">
        <v>1251</v>
      </c>
      <c r="Q24" s="117" t="s">
        <v>1252</v>
      </c>
    </row>
    <row r="25" spans="1:17" ht="133.5" customHeight="1">
      <c r="A25" s="123">
        <v>20</v>
      </c>
      <c r="B25" s="124" t="s">
        <v>38</v>
      </c>
      <c r="C25" s="125" t="s">
        <v>1264</v>
      </c>
      <c r="D25" s="123" t="s">
        <v>91</v>
      </c>
      <c r="E25" s="127" t="s">
        <v>13</v>
      </c>
      <c r="F25" s="115" t="s">
        <v>1250</v>
      </c>
      <c r="G25" s="116" t="s">
        <v>1218</v>
      </c>
      <c r="H25" s="112">
        <v>4</v>
      </c>
      <c r="I25" s="112">
        <v>2</v>
      </c>
      <c r="J25" s="112">
        <v>2</v>
      </c>
      <c r="K25" s="112">
        <v>0</v>
      </c>
      <c r="L25" s="112">
        <v>1</v>
      </c>
      <c r="M25" s="112">
        <v>9</v>
      </c>
      <c r="N25" s="113"/>
      <c r="O25" s="112" t="s">
        <v>1225</v>
      </c>
      <c r="P25" s="114" t="s">
        <v>1251</v>
      </c>
      <c r="Q25" s="117" t="s">
        <v>1252</v>
      </c>
    </row>
    <row r="26" spans="1:17" ht="133.5" customHeight="1">
      <c r="A26" s="123">
        <v>21</v>
      </c>
      <c r="B26" s="124" t="s">
        <v>222</v>
      </c>
      <c r="C26" s="125" t="s">
        <v>1265</v>
      </c>
      <c r="D26" s="123" t="s">
        <v>84</v>
      </c>
      <c r="E26" s="127" t="s">
        <v>1241</v>
      </c>
      <c r="F26" s="115" t="s">
        <v>1250</v>
      </c>
      <c r="G26" s="116" t="s">
        <v>1218</v>
      </c>
      <c r="H26" s="112">
        <v>1</v>
      </c>
      <c r="I26" s="112">
        <v>0</v>
      </c>
      <c r="J26" s="112">
        <v>0</v>
      </c>
      <c r="K26" s="112">
        <v>0</v>
      </c>
      <c r="L26" s="112">
        <v>1</v>
      </c>
      <c r="M26" s="112">
        <v>1</v>
      </c>
      <c r="N26" s="113"/>
      <c r="O26" s="112" t="s">
        <v>1219</v>
      </c>
      <c r="P26" s="114" t="s">
        <v>1251</v>
      </c>
      <c r="Q26" s="117" t="s">
        <v>1252</v>
      </c>
    </row>
    <row r="27" spans="1:17" ht="133.5" customHeight="1">
      <c r="A27" s="123">
        <v>22</v>
      </c>
      <c r="B27" s="126" t="s">
        <v>1266</v>
      </c>
      <c r="C27" s="125" t="s">
        <v>1267</v>
      </c>
      <c r="D27" s="123" t="s">
        <v>91</v>
      </c>
      <c r="E27" s="127" t="s">
        <v>13</v>
      </c>
      <c r="F27" s="115" t="s">
        <v>1250</v>
      </c>
      <c r="G27" s="116" t="s">
        <v>1218</v>
      </c>
      <c r="H27" s="112">
        <v>0</v>
      </c>
      <c r="I27" s="112">
        <v>2</v>
      </c>
      <c r="J27" s="112">
        <v>2</v>
      </c>
      <c r="K27" s="112">
        <v>2</v>
      </c>
      <c r="L27" s="112">
        <v>0</v>
      </c>
      <c r="M27" s="112">
        <v>2</v>
      </c>
      <c r="N27" s="113"/>
      <c r="O27" s="112" t="s">
        <v>1225</v>
      </c>
      <c r="P27" s="114" t="s">
        <v>1251</v>
      </c>
      <c r="Q27" s="117" t="s">
        <v>1252</v>
      </c>
    </row>
    <row r="28" spans="1:17" ht="132" customHeight="1">
      <c r="A28" s="123">
        <v>23</v>
      </c>
      <c r="B28" s="124" t="s">
        <v>42</v>
      </c>
      <c r="C28" s="125" t="s">
        <v>1268</v>
      </c>
      <c r="D28" s="123" t="s">
        <v>91</v>
      </c>
      <c r="E28" s="127" t="s">
        <v>22</v>
      </c>
      <c r="F28" s="115" t="s">
        <v>1250</v>
      </c>
      <c r="G28" s="116" t="s">
        <v>1218</v>
      </c>
      <c r="H28" s="112">
        <v>0</v>
      </c>
      <c r="I28" s="112">
        <v>3</v>
      </c>
      <c r="J28" s="112">
        <v>7</v>
      </c>
      <c r="K28" s="112">
        <v>2</v>
      </c>
      <c r="L28" s="112">
        <v>3</v>
      </c>
      <c r="M28" s="112">
        <v>12</v>
      </c>
      <c r="N28" s="113"/>
      <c r="O28" s="112" t="s">
        <v>1225</v>
      </c>
      <c r="P28" s="114" t="s">
        <v>1251</v>
      </c>
      <c r="Q28" s="117" t="s">
        <v>1252</v>
      </c>
    </row>
    <row r="29" spans="1:17" ht="132" customHeight="1">
      <c r="A29" s="123">
        <v>24</v>
      </c>
      <c r="B29" s="124" t="s">
        <v>44</v>
      </c>
      <c r="C29" s="125" t="s">
        <v>1269</v>
      </c>
      <c r="D29" s="123" t="s">
        <v>91</v>
      </c>
      <c r="E29" s="127" t="s">
        <v>13</v>
      </c>
      <c r="F29" s="115" t="s">
        <v>1250</v>
      </c>
      <c r="G29" s="116" t="s">
        <v>1218</v>
      </c>
      <c r="H29" s="112">
        <v>0</v>
      </c>
      <c r="I29" s="112">
        <v>2</v>
      </c>
      <c r="J29" s="112">
        <v>1</v>
      </c>
      <c r="K29" s="112">
        <v>0</v>
      </c>
      <c r="L29" s="112">
        <v>0</v>
      </c>
      <c r="M29" s="112">
        <v>6</v>
      </c>
      <c r="N29" s="113"/>
      <c r="O29" s="112" t="s">
        <v>1225</v>
      </c>
      <c r="P29" s="114" t="s">
        <v>1251</v>
      </c>
      <c r="Q29" s="117" t="s">
        <v>1252</v>
      </c>
    </row>
    <row r="30" spans="1:17" ht="132" customHeight="1">
      <c r="A30" s="123">
        <v>25</v>
      </c>
      <c r="B30" s="124" t="s">
        <v>46</v>
      </c>
      <c r="C30" s="125" t="s">
        <v>1270</v>
      </c>
      <c r="D30" s="123" t="s">
        <v>91</v>
      </c>
      <c r="E30" s="127" t="s">
        <v>13</v>
      </c>
      <c r="F30" s="115" t="s">
        <v>1250</v>
      </c>
      <c r="G30" s="116" t="s">
        <v>1218</v>
      </c>
      <c r="H30" s="112">
        <v>0</v>
      </c>
      <c r="I30" s="112">
        <v>3</v>
      </c>
      <c r="J30" s="112">
        <v>15</v>
      </c>
      <c r="K30" s="112">
        <v>0</v>
      </c>
      <c r="L30" s="112">
        <v>1</v>
      </c>
      <c r="M30" s="112">
        <v>10</v>
      </c>
      <c r="N30" s="113"/>
      <c r="O30" s="112" t="s">
        <v>1225</v>
      </c>
      <c r="P30" s="114" t="s">
        <v>1251</v>
      </c>
      <c r="Q30" s="117" t="s">
        <v>1252</v>
      </c>
    </row>
    <row r="31" spans="1:17" ht="132" customHeight="1">
      <c r="A31" s="123">
        <v>26</v>
      </c>
      <c r="B31" s="124" t="s">
        <v>48</v>
      </c>
      <c r="C31" s="125" t="s">
        <v>1271</v>
      </c>
      <c r="D31" s="123" t="s">
        <v>91</v>
      </c>
      <c r="E31" s="127" t="s">
        <v>13</v>
      </c>
      <c r="F31" s="115" t="s">
        <v>1250</v>
      </c>
      <c r="G31" s="116" t="s">
        <v>1218</v>
      </c>
      <c r="H31" s="112">
        <v>0</v>
      </c>
      <c r="I31" s="112">
        <v>2</v>
      </c>
      <c r="J31" s="112">
        <v>1</v>
      </c>
      <c r="K31" s="112">
        <v>0</v>
      </c>
      <c r="L31" s="112">
        <v>0</v>
      </c>
      <c r="M31" s="112">
        <v>2</v>
      </c>
      <c r="N31" s="113"/>
      <c r="O31" s="112" t="s">
        <v>1219</v>
      </c>
      <c r="P31" s="114" t="s">
        <v>1251</v>
      </c>
      <c r="Q31" s="117" t="s">
        <v>1252</v>
      </c>
    </row>
    <row r="32" spans="1:17" ht="132.75" customHeight="1">
      <c r="A32" s="123">
        <v>27</v>
      </c>
      <c r="B32" s="124" t="s">
        <v>50</v>
      </c>
      <c r="C32" s="125" t="s">
        <v>1272</v>
      </c>
      <c r="D32" s="123" t="s">
        <v>91</v>
      </c>
      <c r="E32" s="127" t="s">
        <v>13</v>
      </c>
      <c r="F32" s="115" t="s">
        <v>1250</v>
      </c>
      <c r="G32" s="116" t="s">
        <v>1218</v>
      </c>
      <c r="H32" s="112">
        <v>0</v>
      </c>
      <c r="I32" s="112">
        <v>3</v>
      </c>
      <c r="J32" s="112">
        <v>4</v>
      </c>
      <c r="K32" s="112">
        <v>0</v>
      </c>
      <c r="L32" s="112">
        <v>2</v>
      </c>
      <c r="M32" s="112">
        <v>10</v>
      </c>
      <c r="N32" s="113"/>
      <c r="O32" s="112" t="s">
        <v>1225</v>
      </c>
      <c r="P32" s="114" t="s">
        <v>1251</v>
      </c>
      <c r="Q32" s="117" t="s">
        <v>1252</v>
      </c>
    </row>
    <row r="33" spans="1:17" ht="132.75" customHeight="1">
      <c r="A33" s="123">
        <v>28</v>
      </c>
      <c r="B33" s="124" t="s">
        <v>52</v>
      </c>
      <c r="C33" s="125" t="s">
        <v>1240</v>
      </c>
      <c r="D33" s="123" t="s">
        <v>84</v>
      </c>
      <c r="E33" s="127" t="s">
        <v>22</v>
      </c>
      <c r="F33" s="115" t="s">
        <v>1250</v>
      </c>
      <c r="G33" s="116" t="s">
        <v>1218</v>
      </c>
      <c r="H33" s="112">
        <v>4</v>
      </c>
      <c r="I33" s="112">
        <v>0</v>
      </c>
      <c r="J33" s="112">
        <v>1</v>
      </c>
      <c r="K33" s="112">
        <v>0</v>
      </c>
      <c r="L33" s="112">
        <v>2</v>
      </c>
      <c r="M33" s="112">
        <v>3</v>
      </c>
      <c r="N33" s="113"/>
      <c r="O33" s="112" t="s">
        <v>1219</v>
      </c>
      <c r="P33" s="114" t="s">
        <v>1251</v>
      </c>
      <c r="Q33" s="117" t="s">
        <v>1252</v>
      </c>
    </row>
    <row r="34" spans="1:17" ht="103.5" hidden="1" customHeight="1">
      <c r="A34" s="123">
        <v>27</v>
      </c>
      <c r="B34" s="124" t="s">
        <v>154</v>
      </c>
      <c r="C34" s="125" t="s">
        <v>1273</v>
      </c>
      <c r="D34" s="123" t="s">
        <v>84</v>
      </c>
      <c r="E34" s="127" t="s">
        <v>22</v>
      </c>
      <c r="F34" s="117" t="s">
        <v>1274</v>
      </c>
      <c r="G34" s="116" t="s">
        <v>1218</v>
      </c>
      <c r="H34" s="112">
        <v>4</v>
      </c>
      <c r="I34" s="112">
        <v>0</v>
      </c>
      <c r="J34" s="112">
        <v>1</v>
      </c>
      <c r="K34" s="112">
        <v>1</v>
      </c>
      <c r="L34" s="112">
        <v>2</v>
      </c>
      <c r="M34" s="112"/>
      <c r="N34" s="113"/>
      <c r="O34" s="112"/>
      <c r="P34" s="114" t="s">
        <v>1275</v>
      </c>
      <c r="Q34" s="117"/>
    </row>
    <row r="35" spans="1:17" ht="103.5" hidden="1" customHeight="1">
      <c r="A35" s="123">
        <v>28</v>
      </c>
      <c r="B35" s="124" t="s">
        <v>226</v>
      </c>
      <c r="C35" s="125" t="s">
        <v>1276</v>
      </c>
      <c r="D35" s="123" t="s">
        <v>91</v>
      </c>
      <c r="E35" s="127" t="s">
        <v>13</v>
      </c>
      <c r="F35" s="117" t="s">
        <v>1274</v>
      </c>
      <c r="G35" s="116" t="s">
        <v>1218</v>
      </c>
      <c r="H35" s="112">
        <v>1</v>
      </c>
      <c r="I35" s="112">
        <v>2</v>
      </c>
      <c r="J35" s="112">
        <v>2</v>
      </c>
      <c r="K35" s="112">
        <v>2</v>
      </c>
      <c r="L35" s="112">
        <v>3</v>
      </c>
      <c r="M35" s="112"/>
      <c r="N35" s="113"/>
      <c r="O35" s="112"/>
      <c r="P35" s="114" t="s">
        <v>1275</v>
      </c>
      <c r="Q35" s="117"/>
    </row>
    <row r="36" spans="1:17" ht="132" customHeight="1">
      <c r="A36" s="123">
        <v>29</v>
      </c>
      <c r="B36" s="124" t="s">
        <v>54</v>
      </c>
      <c r="C36" s="125" t="s">
        <v>1277</v>
      </c>
      <c r="D36" s="123" t="s">
        <v>91</v>
      </c>
      <c r="E36" s="127" t="s">
        <v>13</v>
      </c>
      <c r="F36" s="115" t="s">
        <v>1250</v>
      </c>
      <c r="G36" s="116" t="s">
        <v>1218</v>
      </c>
      <c r="H36" s="112">
        <v>0</v>
      </c>
      <c r="I36" s="112">
        <v>2</v>
      </c>
      <c r="J36" s="112">
        <v>1</v>
      </c>
      <c r="K36" s="112">
        <v>2</v>
      </c>
      <c r="L36" s="112">
        <v>4</v>
      </c>
      <c r="M36" s="112">
        <v>9</v>
      </c>
      <c r="N36" s="113"/>
      <c r="O36" s="112" t="s">
        <v>1219</v>
      </c>
      <c r="P36" s="114" t="s">
        <v>1251</v>
      </c>
      <c r="Q36" s="117" t="s">
        <v>1252</v>
      </c>
    </row>
    <row r="37" spans="1:17" ht="132" customHeight="1">
      <c r="A37" s="123">
        <v>30</v>
      </c>
      <c r="B37" s="124" t="s">
        <v>56</v>
      </c>
      <c r="C37" s="125" t="s">
        <v>1278</v>
      </c>
      <c r="D37" s="123" t="s">
        <v>91</v>
      </c>
      <c r="E37" s="127" t="s">
        <v>13</v>
      </c>
      <c r="F37" s="115" t="s">
        <v>1250</v>
      </c>
      <c r="G37" s="116" t="s">
        <v>1218</v>
      </c>
      <c r="H37" s="118">
        <v>0</v>
      </c>
      <c r="I37" s="112">
        <v>2</v>
      </c>
      <c r="J37" s="112">
        <v>1</v>
      </c>
      <c r="K37" s="112">
        <v>1</v>
      </c>
      <c r="L37" s="112">
        <v>4</v>
      </c>
      <c r="M37" s="112">
        <v>7</v>
      </c>
      <c r="N37" s="113"/>
      <c r="O37" s="112" t="s">
        <v>1219</v>
      </c>
      <c r="P37" s="114" t="s">
        <v>1251</v>
      </c>
      <c r="Q37" s="117" t="s">
        <v>1252</v>
      </c>
    </row>
    <row r="38" spans="1:17" ht="132" customHeight="1">
      <c r="A38" s="123">
        <v>31</v>
      </c>
      <c r="B38" s="124" t="s">
        <v>259</v>
      </c>
      <c r="C38" s="125" t="s">
        <v>1279</v>
      </c>
      <c r="D38" s="123" t="s">
        <v>1280</v>
      </c>
      <c r="E38" s="127" t="s">
        <v>13</v>
      </c>
      <c r="F38" s="115" t="s">
        <v>1250</v>
      </c>
      <c r="G38" s="116" t="s">
        <v>1218</v>
      </c>
      <c r="H38" s="112">
        <v>0</v>
      </c>
      <c r="I38" s="112">
        <v>0</v>
      </c>
      <c r="J38" s="112">
        <v>1</v>
      </c>
      <c r="K38" s="112">
        <v>0</v>
      </c>
      <c r="L38" s="112">
        <v>4</v>
      </c>
      <c r="M38" s="112">
        <v>17</v>
      </c>
      <c r="N38" s="113"/>
      <c r="O38" s="112" t="s">
        <v>1219</v>
      </c>
      <c r="P38" s="114" t="s">
        <v>1251</v>
      </c>
      <c r="Q38" s="117" t="s">
        <v>1252</v>
      </c>
    </row>
    <row r="39" spans="1:17" ht="132" customHeight="1">
      <c r="A39" s="123">
        <v>32</v>
      </c>
      <c r="B39" s="124" t="s">
        <v>268</v>
      </c>
      <c r="C39" s="125" t="s">
        <v>1281</v>
      </c>
      <c r="D39" s="123" t="s">
        <v>1280</v>
      </c>
      <c r="E39" s="127" t="s">
        <v>13</v>
      </c>
      <c r="F39" s="115" t="s">
        <v>1250</v>
      </c>
      <c r="G39" s="116" t="s">
        <v>1218</v>
      </c>
      <c r="H39" s="112">
        <v>0</v>
      </c>
      <c r="I39" s="112">
        <v>0</v>
      </c>
      <c r="J39" s="112">
        <v>0</v>
      </c>
      <c r="K39" s="112">
        <v>0</v>
      </c>
      <c r="L39" s="112">
        <v>5</v>
      </c>
      <c r="M39" s="112">
        <v>7</v>
      </c>
      <c r="N39" s="113"/>
      <c r="O39" s="112" t="s">
        <v>1219</v>
      </c>
      <c r="P39" s="114" t="s">
        <v>1251</v>
      </c>
      <c r="Q39" s="117" t="s">
        <v>1252</v>
      </c>
    </row>
    <row r="40" spans="1:17" ht="103.5" customHeight="1">
      <c r="A40" s="123">
        <v>33</v>
      </c>
      <c r="B40" s="124" t="s">
        <v>279</v>
      </c>
      <c r="C40" s="125" t="s">
        <v>1282</v>
      </c>
      <c r="D40" s="123" t="s">
        <v>1280</v>
      </c>
      <c r="E40" s="127" t="s">
        <v>13</v>
      </c>
      <c r="F40" s="115" t="s">
        <v>1250</v>
      </c>
      <c r="G40" s="116" t="s">
        <v>1218</v>
      </c>
      <c r="H40" s="112">
        <v>0</v>
      </c>
      <c r="I40" s="112">
        <v>0</v>
      </c>
      <c r="J40" s="112">
        <v>0</v>
      </c>
      <c r="K40" s="112">
        <v>0</v>
      </c>
      <c r="L40" s="112">
        <v>5</v>
      </c>
      <c r="M40" s="112">
        <v>8</v>
      </c>
      <c r="N40" s="113"/>
      <c r="O40" s="112" t="s">
        <v>1219</v>
      </c>
      <c r="P40" s="114" t="s">
        <v>1251</v>
      </c>
      <c r="Q40" s="117" t="s">
        <v>1252</v>
      </c>
    </row>
    <row r="41" spans="1:17" ht="129.75">
      <c r="A41" s="123">
        <v>34</v>
      </c>
      <c r="B41" s="124" t="s">
        <v>286</v>
      </c>
      <c r="C41" s="125" t="s">
        <v>1283</v>
      </c>
      <c r="D41" s="123" t="s">
        <v>1280</v>
      </c>
      <c r="E41" s="127" t="s">
        <v>288</v>
      </c>
      <c r="F41" s="117" t="s">
        <v>1284</v>
      </c>
      <c r="G41" s="116" t="s">
        <v>1218</v>
      </c>
      <c r="H41" s="112">
        <v>0</v>
      </c>
      <c r="I41" s="112">
        <v>0</v>
      </c>
      <c r="J41" s="112">
        <v>0</v>
      </c>
      <c r="K41" s="112">
        <v>1</v>
      </c>
      <c r="L41" s="112">
        <v>2</v>
      </c>
      <c r="M41" s="112">
        <v>7</v>
      </c>
      <c r="N41" s="113"/>
      <c r="O41" s="112" t="s">
        <v>1219</v>
      </c>
      <c r="P41" s="114" t="s">
        <v>1285</v>
      </c>
      <c r="Q41" s="119" t="s">
        <v>1286</v>
      </c>
    </row>
    <row r="42" spans="1:17" ht="129.75">
      <c r="A42" s="123">
        <v>35</v>
      </c>
      <c r="B42" s="124" t="s">
        <v>328</v>
      </c>
      <c r="C42" s="125" t="s">
        <v>1287</v>
      </c>
      <c r="D42" s="123" t="s">
        <v>1280</v>
      </c>
      <c r="E42" s="127" t="s">
        <v>13</v>
      </c>
      <c r="F42" s="115" t="s">
        <v>1250</v>
      </c>
      <c r="G42" s="116" t="s">
        <v>1218</v>
      </c>
      <c r="H42" s="112">
        <v>0</v>
      </c>
      <c r="I42" s="112">
        <v>0</v>
      </c>
      <c r="J42" s="112">
        <v>0</v>
      </c>
      <c r="K42" s="112">
        <v>0</v>
      </c>
      <c r="L42" s="112">
        <v>2</v>
      </c>
      <c r="M42" s="112">
        <v>7</v>
      </c>
      <c r="N42" s="113"/>
      <c r="O42" s="112" t="s">
        <v>1219</v>
      </c>
      <c r="P42" s="114" t="s">
        <v>1251</v>
      </c>
      <c r="Q42" s="117" t="s">
        <v>1252</v>
      </c>
    </row>
    <row r="43" spans="1:17" ht="135" customHeight="1">
      <c r="A43" s="123">
        <v>36</v>
      </c>
      <c r="B43" s="124" t="s">
        <v>982</v>
      </c>
      <c r="C43" s="125" t="s">
        <v>1288</v>
      </c>
      <c r="D43" s="123" t="s">
        <v>101</v>
      </c>
      <c r="E43" s="127" t="s">
        <v>13</v>
      </c>
      <c r="F43" s="115" t="s">
        <v>1250</v>
      </c>
      <c r="G43" s="116" t="s">
        <v>1218</v>
      </c>
      <c r="H43" s="112">
        <v>0</v>
      </c>
      <c r="I43" s="112">
        <v>0</v>
      </c>
      <c r="J43" s="112">
        <v>0</v>
      </c>
      <c r="K43" s="112">
        <v>0</v>
      </c>
      <c r="L43" s="112">
        <v>0</v>
      </c>
      <c r="M43" s="112">
        <v>6</v>
      </c>
      <c r="N43" s="113"/>
      <c r="O43" s="112" t="s">
        <v>1219</v>
      </c>
      <c r="P43" s="114" t="s">
        <v>1251</v>
      </c>
      <c r="Q43" s="119" t="s">
        <v>1289</v>
      </c>
    </row>
    <row r="44" spans="1:17" ht="164.25" customHeight="1">
      <c r="A44" s="123">
        <v>37</v>
      </c>
      <c r="B44" s="124" t="s">
        <v>1002</v>
      </c>
      <c r="C44" s="125" t="s">
        <v>1290</v>
      </c>
      <c r="D44" s="123" t="s">
        <v>101</v>
      </c>
      <c r="E44" s="127" t="s">
        <v>1291</v>
      </c>
      <c r="F44" s="117" t="s">
        <v>1284</v>
      </c>
      <c r="G44" s="116" t="s">
        <v>1218</v>
      </c>
      <c r="H44" s="112">
        <v>0</v>
      </c>
      <c r="I44" s="112">
        <v>0</v>
      </c>
      <c r="J44" s="112">
        <v>0</v>
      </c>
      <c r="K44" s="112">
        <v>0</v>
      </c>
      <c r="L44" s="112">
        <v>0</v>
      </c>
      <c r="M44" s="112">
        <v>5</v>
      </c>
      <c r="N44" s="113"/>
      <c r="O44" s="112" t="s">
        <v>1219</v>
      </c>
      <c r="P44" s="114" t="s">
        <v>1292</v>
      </c>
      <c r="Q44" s="119" t="s">
        <v>1293</v>
      </c>
    </row>
    <row r="45" spans="1:17" ht="233.25" customHeight="1">
      <c r="A45" s="123">
        <v>38</v>
      </c>
      <c r="B45" s="124" t="s">
        <v>1016</v>
      </c>
      <c r="C45" s="125" t="s">
        <v>1294</v>
      </c>
      <c r="D45" s="123" t="s">
        <v>101</v>
      </c>
      <c r="E45" s="127" t="s">
        <v>1295</v>
      </c>
      <c r="F45" s="117" t="s">
        <v>1284</v>
      </c>
      <c r="G45" s="116" t="s">
        <v>1218</v>
      </c>
      <c r="H45" s="112">
        <v>0</v>
      </c>
      <c r="I45" s="112">
        <v>0</v>
      </c>
      <c r="J45" s="112">
        <v>0</v>
      </c>
      <c r="K45" s="112">
        <v>0</v>
      </c>
      <c r="L45" s="112">
        <v>0</v>
      </c>
      <c r="M45" s="112">
        <v>4</v>
      </c>
      <c r="N45" s="113"/>
      <c r="O45" s="112" t="s">
        <v>1219</v>
      </c>
      <c r="P45" s="120" t="s">
        <v>1296</v>
      </c>
      <c r="Q45" s="121" t="s">
        <v>1297</v>
      </c>
    </row>
    <row r="46" spans="1:17" ht="139.5" customHeight="1">
      <c r="A46" s="123">
        <v>39</v>
      </c>
      <c r="B46" s="124" t="s">
        <v>1023</v>
      </c>
      <c r="C46" s="125" t="s">
        <v>1298</v>
      </c>
      <c r="D46" s="123" t="s">
        <v>101</v>
      </c>
      <c r="E46" s="127" t="s">
        <v>13</v>
      </c>
      <c r="F46" s="115" t="s">
        <v>1250</v>
      </c>
      <c r="G46" s="116" t="s">
        <v>1218</v>
      </c>
      <c r="H46" s="112">
        <v>0</v>
      </c>
      <c r="I46" s="112">
        <v>0</v>
      </c>
      <c r="J46" s="112">
        <v>0</v>
      </c>
      <c r="K46" s="112">
        <v>0</v>
      </c>
      <c r="L46" s="112">
        <v>0</v>
      </c>
      <c r="M46" s="112">
        <v>7</v>
      </c>
      <c r="N46" s="113"/>
      <c r="O46" s="112" t="s">
        <v>1219</v>
      </c>
      <c r="P46" s="114" t="s">
        <v>1251</v>
      </c>
      <c r="Q46" s="119" t="s">
        <v>1289</v>
      </c>
    </row>
    <row r="47" spans="1:17" ht="135" customHeight="1">
      <c r="A47" s="123">
        <v>40</v>
      </c>
      <c r="B47" s="124" t="s">
        <v>1036</v>
      </c>
      <c r="C47" s="125" t="s">
        <v>1299</v>
      </c>
      <c r="D47" s="123" t="s">
        <v>1300</v>
      </c>
      <c r="E47" s="127" t="s">
        <v>1301</v>
      </c>
      <c r="F47" s="117" t="s">
        <v>1302</v>
      </c>
      <c r="G47" s="116" t="s">
        <v>1218</v>
      </c>
      <c r="H47" s="112">
        <v>0</v>
      </c>
      <c r="I47" s="112">
        <v>0</v>
      </c>
      <c r="J47" s="112">
        <v>0</v>
      </c>
      <c r="K47" s="112">
        <v>0</v>
      </c>
      <c r="L47" s="112">
        <v>0</v>
      </c>
      <c r="M47" s="112">
        <v>2</v>
      </c>
      <c r="N47" s="113"/>
      <c r="O47" s="112" t="s">
        <v>1219</v>
      </c>
      <c r="P47" s="120" t="s">
        <v>1303</v>
      </c>
      <c r="Q47" s="119" t="s">
        <v>1304</v>
      </c>
    </row>
    <row r="48" spans="1:17" ht="231.75" customHeight="1">
      <c r="A48" s="123">
        <v>41</v>
      </c>
      <c r="B48" s="124" t="s">
        <v>1043</v>
      </c>
      <c r="C48" s="125" t="s">
        <v>1305</v>
      </c>
      <c r="D48" s="123" t="s">
        <v>101</v>
      </c>
      <c r="E48" s="127" t="s">
        <v>1295</v>
      </c>
      <c r="F48" s="117" t="s">
        <v>1284</v>
      </c>
      <c r="G48" s="116" t="s">
        <v>1218</v>
      </c>
      <c r="H48" s="112">
        <v>0</v>
      </c>
      <c r="I48" s="112">
        <v>0</v>
      </c>
      <c r="J48" s="112">
        <v>0</v>
      </c>
      <c r="K48" s="112">
        <v>0</v>
      </c>
      <c r="L48" s="112">
        <v>0</v>
      </c>
      <c r="M48" s="112">
        <v>4</v>
      </c>
      <c r="N48" s="113"/>
      <c r="O48" s="112" t="s">
        <v>1219</v>
      </c>
      <c r="P48" s="120" t="s">
        <v>1296</v>
      </c>
      <c r="Q48" s="121" t="s">
        <v>1297</v>
      </c>
    </row>
    <row r="49" spans="1:17" ht="134.25" customHeight="1">
      <c r="A49" s="123">
        <v>42</v>
      </c>
      <c r="B49" s="124" t="s">
        <v>1050</v>
      </c>
      <c r="C49" s="125" t="s">
        <v>1306</v>
      </c>
      <c r="D49" s="123" t="s">
        <v>101</v>
      </c>
      <c r="E49" s="127" t="s">
        <v>13</v>
      </c>
      <c r="F49" s="115" t="s">
        <v>1250</v>
      </c>
      <c r="G49" s="116" t="s">
        <v>1218</v>
      </c>
      <c r="H49" s="112">
        <v>0</v>
      </c>
      <c r="I49" s="112">
        <v>0</v>
      </c>
      <c r="J49" s="112">
        <v>0</v>
      </c>
      <c r="K49" s="112">
        <v>0</v>
      </c>
      <c r="L49" s="112">
        <v>0</v>
      </c>
      <c r="M49" s="112">
        <v>5</v>
      </c>
      <c r="N49" s="113"/>
      <c r="O49" s="112" t="s">
        <v>1219</v>
      </c>
      <c r="P49" s="114" t="s">
        <v>1251</v>
      </c>
      <c r="Q49" s="119" t="s">
        <v>1289</v>
      </c>
    </row>
    <row r="50" spans="1:17" ht="134.25" customHeight="1">
      <c r="A50" s="123">
        <v>43</v>
      </c>
      <c r="B50" s="124" t="s">
        <v>1059</v>
      </c>
      <c r="C50" s="125" t="s">
        <v>1307</v>
      </c>
      <c r="D50" s="123" t="s">
        <v>101</v>
      </c>
      <c r="E50" s="127" t="s">
        <v>13</v>
      </c>
      <c r="F50" s="115" t="s">
        <v>1250</v>
      </c>
      <c r="G50" s="116" t="s">
        <v>1218</v>
      </c>
      <c r="H50" s="112">
        <v>0</v>
      </c>
      <c r="I50" s="112">
        <v>0</v>
      </c>
      <c r="J50" s="112">
        <v>0</v>
      </c>
      <c r="K50" s="112">
        <v>0</v>
      </c>
      <c r="L50" s="112">
        <v>0</v>
      </c>
      <c r="M50" s="112">
        <v>12</v>
      </c>
      <c r="N50" s="113"/>
      <c r="O50" s="112" t="s">
        <v>1219</v>
      </c>
      <c r="P50" s="114" t="s">
        <v>1251</v>
      </c>
      <c r="Q50" s="119" t="s">
        <v>1289</v>
      </c>
    </row>
    <row r="51" spans="1:17" ht="134.25" customHeight="1">
      <c r="A51" s="123">
        <v>44</v>
      </c>
      <c r="B51" s="124" t="s">
        <v>1085</v>
      </c>
      <c r="C51" s="125" t="s">
        <v>1308</v>
      </c>
      <c r="D51" s="123" t="s">
        <v>101</v>
      </c>
      <c r="E51" s="127" t="s">
        <v>13</v>
      </c>
      <c r="F51" s="115" t="s">
        <v>1250</v>
      </c>
      <c r="G51" s="116" t="s">
        <v>1218</v>
      </c>
      <c r="H51" s="112">
        <v>0</v>
      </c>
      <c r="I51" s="112">
        <v>0</v>
      </c>
      <c r="J51" s="112">
        <v>0</v>
      </c>
      <c r="K51" s="112">
        <v>0</v>
      </c>
      <c r="L51" s="112">
        <v>0</v>
      </c>
      <c r="M51" s="112">
        <v>5</v>
      </c>
      <c r="N51" s="113"/>
      <c r="O51" s="112" t="s">
        <v>1219</v>
      </c>
      <c r="P51" s="114" t="s">
        <v>1251</v>
      </c>
      <c r="Q51" s="119" t="s">
        <v>1289</v>
      </c>
    </row>
    <row r="52" spans="1:17" ht="134.25" customHeight="1">
      <c r="A52" s="123">
        <v>45</v>
      </c>
      <c r="B52" s="124" t="s">
        <v>1094</v>
      </c>
      <c r="C52" s="125" t="s">
        <v>1309</v>
      </c>
      <c r="D52" s="123" t="s">
        <v>101</v>
      </c>
      <c r="E52" s="127" t="s">
        <v>13</v>
      </c>
      <c r="F52" s="115" t="s">
        <v>1250</v>
      </c>
      <c r="G52" s="116" t="s">
        <v>1218</v>
      </c>
      <c r="H52" s="112">
        <v>0</v>
      </c>
      <c r="I52" s="112">
        <v>0</v>
      </c>
      <c r="J52" s="112">
        <v>0</v>
      </c>
      <c r="K52" s="112">
        <v>0</v>
      </c>
      <c r="L52" s="112">
        <v>0</v>
      </c>
      <c r="M52" s="112">
        <v>8</v>
      </c>
      <c r="N52" s="113"/>
      <c r="O52" s="112" t="s">
        <v>1219</v>
      </c>
      <c r="P52" s="114" t="s">
        <v>1251</v>
      </c>
      <c r="Q52" s="119" t="s">
        <v>1289</v>
      </c>
    </row>
    <row r="53" spans="1:17" ht="134.25" customHeight="1">
      <c r="A53" s="123">
        <v>46</v>
      </c>
      <c r="B53" s="124" t="s">
        <v>1105</v>
      </c>
      <c r="C53" s="125" t="s">
        <v>1310</v>
      </c>
      <c r="D53" s="123" t="s">
        <v>101</v>
      </c>
      <c r="E53" s="127" t="s">
        <v>13</v>
      </c>
      <c r="F53" s="115" t="s">
        <v>1250</v>
      </c>
      <c r="G53" s="116" t="s">
        <v>1218</v>
      </c>
      <c r="H53" s="112">
        <v>0</v>
      </c>
      <c r="I53" s="112">
        <v>0</v>
      </c>
      <c r="J53" s="112">
        <v>0</v>
      </c>
      <c r="K53" s="112">
        <v>0</v>
      </c>
      <c r="L53" s="112">
        <v>0</v>
      </c>
      <c r="M53" s="112">
        <v>4</v>
      </c>
      <c r="N53" s="113"/>
      <c r="O53" s="112" t="s">
        <v>1219</v>
      </c>
      <c r="P53" s="114" t="s">
        <v>1251</v>
      </c>
      <c r="Q53" s="119" t="s">
        <v>1289</v>
      </c>
    </row>
    <row r="54" spans="1:17" ht="132" customHeight="1">
      <c r="A54" s="123">
        <v>47</v>
      </c>
      <c r="B54" s="124" t="s">
        <v>1116</v>
      </c>
      <c r="C54" s="125" t="s">
        <v>1311</v>
      </c>
      <c r="D54" s="123" t="s">
        <v>1300</v>
      </c>
      <c r="E54" s="127" t="s">
        <v>1301</v>
      </c>
      <c r="F54" s="117" t="s">
        <v>1302</v>
      </c>
      <c r="G54" s="116" t="s">
        <v>1218</v>
      </c>
      <c r="H54" s="112">
        <v>0</v>
      </c>
      <c r="I54" s="112">
        <v>0</v>
      </c>
      <c r="J54" s="112">
        <v>0</v>
      </c>
      <c r="K54" s="112">
        <v>0</v>
      </c>
      <c r="L54" s="112">
        <v>0</v>
      </c>
      <c r="M54" s="112">
        <v>2</v>
      </c>
      <c r="N54" s="113"/>
      <c r="O54" s="112" t="s">
        <v>1219</v>
      </c>
      <c r="P54" s="120" t="s">
        <v>1303</v>
      </c>
      <c r="Q54" s="119" t="s">
        <v>1304</v>
      </c>
    </row>
    <row r="55" spans="1:17" ht="146.25" customHeight="1">
      <c r="A55" s="123">
        <v>48</v>
      </c>
      <c r="B55" s="124" t="s">
        <v>1119</v>
      </c>
      <c r="C55" s="125" t="s">
        <v>1312</v>
      </c>
      <c r="D55" s="123" t="s">
        <v>101</v>
      </c>
      <c r="E55" s="127" t="s">
        <v>1313</v>
      </c>
      <c r="F55" s="115" t="s">
        <v>1314</v>
      </c>
      <c r="G55" s="116" t="s">
        <v>1218</v>
      </c>
      <c r="H55" s="112">
        <v>0</v>
      </c>
      <c r="I55" s="112">
        <v>0</v>
      </c>
      <c r="J55" s="112">
        <v>0</v>
      </c>
      <c r="K55" s="112">
        <v>0</v>
      </c>
      <c r="L55" s="112">
        <v>0</v>
      </c>
      <c r="M55" s="112">
        <v>5</v>
      </c>
      <c r="N55" s="113"/>
      <c r="O55" s="112" t="s">
        <v>1219</v>
      </c>
      <c r="P55" s="120" t="s">
        <v>1230</v>
      </c>
      <c r="Q55" s="121" t="s">
        <v>1315</v>
      </c>
    </row>
    <row r="56" spans="1:17" ht="130.5" customHeight="1">
      <c r="A56" s="123">
        <v>49</v>
      </c>
      <c r="B56" s="124" t="s">
        <v>1124</v>
      </c>
      <c r="C56" s="125" t="s">
        <v>1316</v>
      </c>
      <c r="D56" s="123" t="s">
        <v>101</v>
      </c>
      <c r="E56" s="127" t="s">
        <v>13</v>
      </c>
      <c r="F56" s="115" t="s">
        <v>1250</v>
      </c>
      <c r="G56" s="116" t="s">
        <v>1218</v>
      </c>
      <c r="H56" s="112">
        <v>0</v>
      </c>
      <c r="I56" s="112">
        <v>0</v>
      </c>
      <c r="J56" s="112">
        <v>0</v>
      </c>
      <c r="K56" s="112">
        <v>0</v>
      </c>
      <c r="L56" s="112">
        <v>0</v>
      </c>
      <c r="M56" s="112">
        <v>6</v>
      </c>
      <c r="N56" s="113"/>
      <c r="O56" s="112" t="s">
        <v>1219</v>
      </c>
      <c r="P56" s="114" t="s">
        <v>1251</v>
      </c>
      <c r="Q56" s="119" t="s">
        <v>1289</v>
      </c>
    </row>
    <row r="57" spans="1:17" ht="161.25" customHeight="1">
      <c r="A57" s="123">
        <v>50</v>
      </c>
      <c r="B57" s="124" t="s">
        <v>1132</v>
      </c>
      <c r="C57" s="125" t="s">
        <v>1317</v>
      </c>
      <c r="D57" s="123" t="s">
        <v>101</v>
      </c>
      <c r="E57" s="127" t="s">
        <v>1291</v>
      </c>
      <c r="F57" s="117" t="s">
        <v>1284</v>
      </c>
      <c r="G57" s="116" t="s">
        <v>1218</v>
      </c>
      <c r="H57" s="112">
        <v>0</v>
      </c>
      <c r="I57" s="112">
        <v>0</v>
      </c>
      <c r="J57" s="112">
        <v>0</v>
      </c>
      <c r="K57" s="112">
        <v>0</v>
      </c>
      <c r="L57" s="112">
        <v>0</v>
      </c>
      <c r="M57" s="112">
        <v>7</v>
      </c>
      <c r="N57" s="113"/>
      <c r="O57" s="112" t="s">
        <v>1219</v>
      </c>
      <c r="P57" s="114" t="s">
        <v>1292</v>
      </c>
      <c r="Q57" s="119" t="s">
        <v>1293</v>
      </c>
    </row>
    <row r="58" spans="1:17" ht="162" customHeight="1">
      <c r="A58" s="123">
        <v>51</v>
      </c>
      <c r="B58" s="124" t="s">
        <v>337</v>
      </c>
      <c r="C58" s="125" t="s">
        <v>1318</v>
      </c>
      <c r="D58" s="123" t="s">
        <v>77</v>
      </c>
      <c r="E58" s="127" t="s">
        <v>1319</v>
      </c>
      <c r="F58" s="115" t="s">
        <v>1237</v>
      </c>
      <c r="G58" s="116" t="s">
        <v>1218</v>
      </c>
      <c r="H58" s="122">
        <v>0</v>
      </c>
      <c r="I58" s="112">
        <v>0</v>
      </c>
      <c r="J58" s="112">
        <v>0</v>
      </c>
      <c r="K58" s="112">
        <v>0</v>
      </c>
      <c r="L58" s="112">
        <v>1</v>
      </c>
      <c r="M58" s="112">
        <v>1</v>
      </c>
      <c r="N58" s="113"/>
      <c r="O58" s="112" t="s">
        <v>1219</v>
      </c>
      <c r="P58" s="114" t="s">
        <v>1238</v>
      </c>
      <c r="Q58" s="117" t="s">
        <v>1239</v>
      </c>
    </row>
    <row r="59" spans="1:17" ht="150" customHeight="1">
      <c r="A59" s="123">
        <v>52</v>
      </c>
      <c r="B59" s="124" t="s">
        <v>339</v>
      </c>
      <c r="C59" s="125" t="s">
        <v>1320</v>
      </c>
      <c r="D59" s="123" t="s">
        <v>77</v>
      </c>
      <c r="E59" s="127" t="s">
        <v>1321</v>
      </c>
      <c r="F59" s="117" t="s">
        <v>1322</v>
      </c>
      <c r="G59" s="116" t="s">
        <v>1218</v>
      </c>
      <c r="H59" s="122">
        <v>0</v>
      </c>
      <c r="I59" s="112">
        <v>0</v>
      </c>
      <c r="J59" s="112">
        <v>0</v>
      </c>
      <c r="K59" s="112">
        <v>0</v>
      </c>
      <c r="L59" s="112">
        <v>1</v>
      </c>
      <c r="M59" s="112">
        <v>1</v>
      </c>
      <c r="N59" s="113"/>
      <c r="O59" s="112" t="s">
        <v>1219</v>
      </c>
      <c r="P59" s="114" t="s">
        <v>1323</v>
      </c>
      <c r="Q59" s="117" t="s">
        <v>1324</v>
      </c>
    </row>
    <row r="60" spans="1:17" ht="162" customHeight="1">
      <c r="A60" s="123">
        <v>53</v>
      </c>
      <c r="B60" s="124" t="s">
        <v>342</v>
      </c>
      <c r="C60" s="125" t="s">
        <v>1325</v>
      </c>
      <c r="D60" s="123" t="s">
        <v>77</v>
      </c>
      <c r="E60" s="127" t="s">
        <v>1321</v>
      </c>
      <c r="F60" s="115" t="s">
        <v>1237</v>
      </c>
      <c r="G60" s="116" t="s">
        <v>1218</v>
      </c>
      <c r="H60" s="122">
        <v>0</v>
      </c>
      <c r="I60" s="112">
        <v>0</v>
      </c>
      <c r="J60" s="112">
        <v>0</v>
      </c>
      <c r="K60" s="112">
        <v>0</v>
      </c>
      <c r="L60" s="112">
        <v>1</v>
      </c>
      <c r="M60" s="112">
        <v>6</v>
      </c>
      <c r="N60" s="113"/>
      <c r="O60" s="112" t="s">
        <v>1219</v>
      </c>
      <c r="P60" s="114" t="s">
        <v>1238</v>
      </c>
      <c r="Q60" s="117" t="s">
        <v>1326</v>
      </c>
    </row>
    <row r="61" spans="1:17" ht="152.25" customHeight="1">
      <c r="A61" s="123">
        <v>54</v>
      </c>
      <c r="B61" s="124" t="s">
        <v>344</v>
      </c>
      <c r="C61" s="125" t="s">
        <v>1327</v>
      </c>
      <c r="D61" s="123" t="s">
        <v>77</v>
      </c>
      <c r="E61" s="127" t="s">
        <v>1321</v>
      </c>
      <c r="F61" s="117" t="s">
        <v>1322</v>
      </c>
      <c r="G61" s="116" t="s">
        <v>1218</v>
      </c>
      <c r="H61" s="122">
        <v>0</v>
      </c>
      <c r="I61" s="112">
        <v>0</v>
      </c>
      <c r="J61" s="112">
        <v>0</v>
      </c>
      <c r="K61" s="112">
        <v>0</v>
      </c>
      <c r="L61" s="112">
        <v>1</v>
      </c>
      <c r="M61" s="112">
        <v>5</v>
      </c>
      <c r="N61" s="113"/>
      <c r="O61" s="112" t="s">
        <v>1219</v>
      </c>
      <c r="P61" s="114" t="s">
        <v>1323</v>
      </c>
      <c r="Q61" s="117" t="s">
        <v>1324</v>
      </c>
    </row>
    <row r="62" spans="1:17" ht="132" customHeight="1">
      <c r="A62" s="123">
        <v>55</v>
      </c>
      <c r="B62" s="124" t="s">
        <v>1196</v>
      </c>
      <c r="C62" s="125" t="s">
        <v>1328</v>
      </c>
      <c r="D62" s="123" t="s">
        <v>1329</v>
      </c>
      <c r="E62" s="127" t="s">
        <v>1319</v>
      </c>
      <c r="F62" s="117" t="s">
        <v>1322</v>
      </c>
      <c r="G62" s="116" t="s">
        <v>1218</v>
      </c>
      <c r="H62" s="122">
        <v>0</v>
      </c>
      <c r="I62" s="112">
        <v>0</v>
      </c>
      <c r="J62" s="112">
        <v>0</v>
      </c>
      <c r="K62" s="112">
        <v>0</v>
      </c>
      <c r="L62" s="112">
        <v>1</v>
      </c>
      <c r="M62" s="112">
        <v>1</v>
      </c>
      <c r="N62" s="113"/>
      <c r="O62" s="112" t="s">
        <v>1219</v>
      </c>
      <c r="P62" s="128" t="s">
        <v>1303</v>
      </c>
      <c r="Q62" s="129" t="s">
        <v>1330</v>
      </c>
    </row>
    <row r="63" spans="1:17" ht="197.25" customHeight="1">
      <c r="A63" s="123">
        <v>56</v>
      </c>
      <c r="B63" s="124" t="s">
        <v>1331</v>
      </c>
      <c r="C63" s="125" t="s">
        <v>1332</v>
      </c>
      <c r="D63" s="123" t="s">
        <v>1329</v>
      </c>
      <c r="E63" s="127" t="s">
        <v>1319</v>
      </c>
      <c r="F63" s="117" t="s">
        <v>1284</v>
      </c>
      <c r="G63" s="116" t="s">
        <v>1218</v>
      </c>
      <c r="H63" s="122">
        <v>0</v>
      </c>
      <c r="I63" s="112">
        <v>0</v>
      </c>
      <c r="J63" s="112">
        <v>0</v>
      </c>
      <c r="K63" s="112">
        <v>0</v>
      </c>
      <c r="L63" s="112">
        <v>1</v>
      </c>
      <c r="M63" s="112">
        <v>1</v>
      </c>
      <c r="N63" s="113"/>
      <c r="O63" s="112" t="s">
        <v>1219</v>
      </c>
      <c r="P63" s="114" t="s">
        <v>1333</v>
      </c>
      <c r="Q63" s="117" t="s">
        <v>1334</v>
      </c>
    </row>
    <row r="64" spans="1:17"/>
    <row r="65" spans="13:19" hidden="1"/>
    <row r="66" spans="13:19" ht="14.25" hidden="1" customHeight="1"/>
    <row r="67" spans="13:19" ht="14.25" hidden="1" customHeight="1"/>
    <row r="68" spans="13:19" ht="14.25" customHeight="1">
      <c r="M68" s="1574" t="s">
        <v>1335</v>
      </c>
      <c r="N68" s="1574"/>
      <c r="O68" s="1574"/>
      <c r="P68" s="1574"/>
      <c r="Q68" s="95"/>
      <c r="R68" s="95"/>
      <c r="S68" s="95"/>
    </row>
    <row r="69" spans="13:19" ht="31.5" customHeight="1">
      <c r="M69" s="1574" t="s">
        <v>1336</v>
      </c>
      <c r="N69" s="1574"/>
      <c r="O69" s="1574"/>
      <c r="P69" s="1574"/>
      <c r="Q69" s="95"/>
      <c r="R69" s="95"/>
      <c r="S69" s="95"/>
    </row>
    <row r="70" spans="13:19">
      <c r="O70" s="99"/>
      <c r="P70" s="99"/>
      <c r="Q70" s="99"/>
      <c r="R70" s="100"/>
      <c r="S70" s="100"/>
    </row>
    <row r="71" spans="13:19">
      <c r="O71" s="99"/>
      <c r="P71" s="99"/>
      <c r="Q71" s="99"/>
      <c r="R71" s="100"/>
      <c r="S71" s="100"/>
    </row>
    <row r="72" spans="13:19">
      <c r="O72" s="99"/>
      <c r="P72" s="99"/>
      <c r="Q72" s="99"/>
      <c r="R72" s="100"/>
      <c r="S72" s="100"/>
    </row>
    <row r="73" spans="13:19">
      <c r="O73" s="99"/>
      <c r="P73" s="99"/>
      <c r="Q73" s="99"/>
      <c r="R73" s="100"/>
      <c r="S73" s="100"/>
    </row>
    <row r="74" spans="13:19" ht="15" customHeight="1">
      <c r="M74" s="1573" t="s">
        <v>1214</v>
      </c>
      <c r="N74" s="1573"/>
      <c r="O74" s="1573"/>
      <c r="P74" s="1573"/>
      <c r="Q74" s="101"/>
      <c r="R74" s="101"/>
      <c r="S74" s="101"/>
    </row>
    <row r="75" spans="13:19" ht="14.25" customHeight="1">
      <c r="M75" s="1574" t="s">
        <v>1337</v>
      </c>
      <c r="N75" s="1574"/>
      <c r="O75" s="1574"/>
      <c r="P75" s="1574"/>
      <c r="Q75" s="95"/>
      <c r="R75" s="95"/>
      <c r="S75" s="95"/>
    </row>
  </sheetData>
  <mergeCells count="17">
    <mergeCell ref="A1:Q2"/>
    <mergeCell ref="A4:A5"/>
    <mergeCell ref="B4:B5"/>
    <mergeCell ref="C4:C5"/>
    <mergeCell ref="D4:D5"/>
    <mergeCell ref="E4:E5"/>
    <mergeCell ref="F4:F5"/>
    <mergeCell ref="G4:G5"/>
    <mergeCell ref="H4:M4"/>
    <mergeCell ref="N4:N5"/>
    <mergeCell ref="M74:P74"/>
    <mergeCell ref="M75:P75"/>
    <mergeCell ref="O4:O5"/>
    <mergeCell ref="P4:P5"/>
    <mergeCell ref="Q4:Q5"/>
    <mergeCell ref="M68:P68"/>
    <mergeCell ref="M69:P69"/>
  </mergeCells>
  <hyperlinks>
    <hyperlink ref="B34" r:id="rId1" xr:uid="{BD5E950C-C629-420E-A641-F01136E90EFA}"/>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9EAC4-FFFB-408C-8D3D-EC28808751F7}">
  <dimension ref="A1:AM221"/>
  <sheetViews>
    <sheetView tabSelected="1" topLeftCell="A2" workbookViewId="0">
      <pane xSplit="2" ySplit="4" topLeftCell="L118" activePane="bottomRight" state="frozen"/>
      <selection pane="bottomRight" activeCell="V127" sqref="V127:AA127"/>
      <selection pane="bottomLeft"/>
      <selection pane="topRight"/>
    </sheetView>
  </sheetViews>
  <sheetFormatPr defaultRowHeight="15"/>
  <cols>
    <col min="1" max="1" width="5.5703125" style="102" customWidth="1"/>
    <col min="2" max="2" width="23.85546875" style="102" customWidth="1"/>
    <col min="3" max="3" width="11" style="102" customWidth="1"/>
    <col min="4" max="4" width="15.140625" style="102" customWidth="1"/>
    <col min="5" max="5" width="6.140625" style="102" customWidth="1"/>
    <col min="6" max="6" width="7.28515625" style="102" customWidth="1"/>
    <col min="7" max="7" width="6.85546875" style="102" customWidth="1"/>
    <col min="8" max="8" width="7.85546875" style="102" customWidth="1"/>
    <col min="9" max="9" width="6.85546875" style="102" customWidth="1"/>
    <col min="10" max="10" width="10.42578125" style="102" customWidth="1"/>
    <col min="11" max="12" width="34.85546875" style="102" customWidth="1"/>
    <col min="13" max="13" width="22.5703125" style="872" customWidth="1"/>
    <col min="14" max="14" width="8.28515625" style="102" customWidth="1"/>
    <col min="15" max="15" width="7.140625" style="102" customWidth="1"/>
    <col min="16" max="16" width="6.42578125" style="102" customWidth="1"/>
    <col min="17" max="17" width="9.42578125" style="872" customWidth="1"/>
    <col min="18" max="18" width="7.140625" style="102" customWidth="1"/>
    <col min="19" max="19" width="7.28515625" style="102" customWidth="1"/>
    <col min="20" max="20" width="5.28515625" style="102" customWidth="1"/>
    <col min="21" max="21" width="6.140625" style="102" customWidth="1"/>
    <col min="22" max="22" width="35.5703125" style="880" customWidth="1"/>
    <col min="23" max="23" width="37.140625" style="880" customWidth="1"/>
    <col min="24" max="24" width="33.7109375" style="102" customWidth="1"/>
    <col min="25" max="25" width="30.7109375" style="102" customWidth="1"/>
    <col min="26" max="26" width="14.5703125" style="872" customWidth="1"/>
    <col min="27" max="27" width="21" style="883" customWidth="1"/>
    <col min="28" max="30" width="27.85546875" style="102" customWidth="1"/>
    <col min="31" max="39" width="27.42578125" style="102" customWidth="1"/>
    <col min="40" max="16384" width="9.140625" style="102"/>
  </cols>
  <sheetData>
    <row r="1" spans="1:39" ht="30.75" customHeight="1">
      <c r="A1" s="1502" t="s">
        <v>1338</v>
      </c>
      <c r="B1" s="1502"/>
      <c r="C1" s="1502"/>
      <c r="D1" s="1502"/>
      <c r="E1" s="1502"/>
      <c r="F1" s="1502"/>
      <c r="G1" s="1502"/>
      <c r="H1" s="1502"/>
      <c r="I1" s="1502"/>
      <c r="J1" s="1502"/>
      <c r="K1" s="1502"/>
      <c r="L1" s="1502"/>
      <c r="M1" s="1502"/>
      <c r="N1" s="1502"/>
      <c r="O1" s="1502"/>
      <c r="P1" s="1502"/>
      <c r="Q1" s="1502"/>
      <c r="R1" s="1502"/>
      <c r="S1" s="1502"/>
      <c r="T1" s="1502"/>
      <c r="U1" s="1502"/>
      <c r="V1" s="1502"/>
      <c r="W1" s="879"/>
    </row>
    <row r="2" spans="1:39">
      <c r="A2" s="1451" t="s">
        <v>1339</v>
      </c>
      <c r="B2" s="103"/>
      <c r="C2" s="103"/>
      <c r="D2" s="103"/>
      <c r="E2" s="103"/>
      <c r="F2" s="103"/>
      <c r="G2" s="103"/>
      <c r="H2" s="103"/>
      <c r="I2" s="103"/>
      <c r="J2" s="103"/>
      <c r="K2" s="103"/>
      <c r="L2" s="103"/>
      <c r="M2" s="869"/>
      <c r="N2" s="103"/>
      <c r="O2" s="103"/>
      <c r="P2" s="103"/>
      <c r="Q2" s="869"/>
      <c r="R2" s="103"/>
      <c r="S2" s="103"/>
      <c r="T2" s="103"/>
      <c r="U2" s="103"/>
    </row>
    <row r="3" spans="1:39" ht="44.25" customHeight="1">
      <c r="A3" s="1503" t="s">
        <v>61</v>
      </c>
      <c r="B3" s="1503" t="s">
        <v>1340</v>
      </c>
      <c r="C3" s="1503"/>
      <c r="D3" s="1503"/>
      <c r="E3" s="1470" t="s">
        <v>1341</v>
      </c>
      <c r="F3" s="1470"/>
      <c r="G3" s="1470"/>
      <c r="H3" s="1470" t="s">
        <v>1342</v>
      </c>
      <c r="I3" s="1470" t="s">
        <v>1343</v>
      </c>
      <c r="J3" s="1470" t="s">
        <v>1344</v>
      </c>
      <c r="K3" s="1501" t="s">
        <v>1345</v>
      </c>
      <c r="L3" s="1470" t="s">
        <v>1346</v>
      </c>
      <c r="M3" s="1503" t="s">
        <v>1347</v>
      </c>
      <c r="N3" s="1503"/>
      <c r="O3" s="1503"/>
      <c r="P3" s="1503"/>
      <c r="Q3" s="1503"/>
      <c r="R3" s="1503"/>
      <c r="S3" s="1503"/>
      <c r="T3" s="1503"/>
      <c r="U3" s="1503"/>
      <c r="V3" s="1470" t="s">
        <v>1348</v>
      </c>
      <c r="W3" s="1470" t="s">
        <v>1349</v>
      </c>
      <c r="X3" s="1470"/>
      <c r="Y3" s="1470"/>
      <c r="Z3" s="1470" t="s">
        <v>1350</v>
      </c>
      <c r="AA3" s="1470" t="s">
        <v>1351</v>
      </c>
      <c r="AB3" s="1470" t="s">
        <v>1352</v>
      </c>
      <c r="AC3" s="1470"/>
      <c r="AD3" s="1470"/>
      <c r="AE3" s="1470" t="s">
        <v>1352</v>
      </c>
      <c r="AF3" s="1470"/>
      <c r="AG3" s="1470"/>
      <c r="AH3" s="1470" t="s">
        <v>1352</v>
      </c>
      <c r="AI3" s="1470"/>
      <c r="AJ3" s="1470"/>
      <c r="AK3" s="1470" t="s">
        <v>1352</v>
      </c>
      <c r="AL3" s="1470"/>
      <c r="AM3" s="1470"/>
    </row>
    <row r="4" spans="1:39">
      <c r="A4" s="1503"/>
      <c r="B4" s="1470" t="s">
        <v>1353</v>
      </c>
      <c r="C4" s="1470" t="s">
        <v>1354</v>
      </c>
      <c r="D4" s="1503" t="s">
        <v>1206</v>
      </c>
      <c r="E4" s="1503" t="s">
        <v>1355</v>
      </c>
      <c r="F4" s="1503" t="s">
        <v>1356</v>
      </c>
      <c r="G4" s="1503" t="s">
        <v>1357</v>
      </c>
      <c r="H4" s="1470"/>
      <c r="I4" s="1470"/>
      <c r="J4" s="1470"/>
      <c r="K4" s="1470"/>
      <c r="L4" s="1470"/>
      <c r="M4" s="1503" t="s">
        <v>1358</v>
      </c>
      <c r="N4" s="1503"/>
      <c r="O4" s="1503"/>
      <c r="P4" s="1503"/>
      <c r="Q4" s="1503" t="s">
        <v>1359</v>
      </c>
      <c r="R4" s="1503"/>
      <c r="S4" s="1503"/>
      <c r="T4" s="1503"/>
      <c r="U4" s="1503" t="s">
        <v>1360</v>
      </c>
      <c r="V4" s="1470"/>
      <c r="W4" s="1470" t="s">
        <v>1361</v>
      </c>
      <c r="X4" s="1501" t="s">
        <v>1362</v>
      </c>
      <c r="Y4" s="1470" t="s">
        <v>1363</v>
      </c>
      <c r="Z4" s="1470"/>
      <c r="AA4" s="1470"/>
      <c r="AB4" s="1470" t="s">
        <v>1361</v>
      </c>
      <c r="AC4" s="1470" t="s">
        <v>1364</v>
      </c>
      <c r="AD4" s="1470" t="s">
        <v>1363</v>
      </c>
      <c r="AE4" s="1470" t="s">
        <v>1361</v>
      </c>
      <c r="AF4" s="1470" t="s">
        <v>1364</v>
      </c>
      <c r="AG4" s="1470" t="s">
        <v>1363</v>
      </c>
      <c r="AH4" s="1470" t="s">
        <v>1361</v>
      </c>
      <c r="AI4" s="1470" t="s">
        <v>1364</v>
      </c>
      <c r="AJ4" s="1470" t="s">
        <v>1363</v>
      </c>
      <c r="AK4" s="1470" t="s">
        <v>1361</v>
      </c>
      <c r="AL4" s="1470" t="s">
        <v>1364</v>
      </c>
      <c r="AM4" s="1470" t="s">
        <v>1363</v>
      </c>
    </row>
    <row r="5" spans="1:39">
      <c r="A5" s="1503"/>
      <c r="B5" s="1470"/>
      <c r="C5" s="1503"/>
      <c r="D5" s="1503"/>
      <c r="E5" s="1503"/>
      <c r="F5" s="1503"/>
      <c r="G5" s="1503"/>
      <c r="H5" s="1470"/>
      <c r="I5" s="1470"/>
      <c r="J5" s="1470"/>
      <c r="K5" s="1470"/>
      <c r="L5" s="1470"/>
      <c r="M5" s="892" t="s">
        <v>1365</v>
      </c>
      <c r="N5" s="891" t="s">
        <v>1366</v>
      </c>
      <c r="O5" s="891" t="s">
        <v>1367</v>
      </c>
      <c r="P5" s="891" t="s">
        <v>1368</v>
      </c>
      <c r="Q5" s="892" t="s">
        <v>1365</v>
      </c>
      <c r="R5" s="891" t="s">
        <v>1366</v>
      </c>
      <c r="S5" s="891" t="s">
        <v>1367</v>
      </c>
      <c r="T5" s="891" t="s">
        <v>1368</v>
      </c>
      <c r="U5" s="1503"/>
      <c r="V5" s="1470"/>
      <c r="W5" s="1471"/>
      <c r="X5" s="1471"/>
      <c r="Y5" s="1471"/>
      <c r="Z5" s="1471"/>
      <c r="AA5" s="1471"/>
      <c r="AB5" s="1471"/>
      <c r="AC5" s="1471"/>
      <c r="AD5" s="1471"/>
      <c r="AE5" s="1471"/>
      <c r="AF5" s="1471"/>
      <c r="AG5" s="1471"/>
      <c r="AH5" s="1471"/>
      <c r="AI5" s="1471"/>
      <c r="AJ5" s="1471"/>
      <c r="AK5" s="1471"/>
      <c r="AL5" s="1471"/>
      <c r="AM5" s="1471"/>
    </row>
    <row r="6" spans="1:39" ht="15" customHeight="1">
      <c r="A6" s="1472">
        <v>1</v>
      </c>
      <c r="B6" s="1483" t="s">
        <v>1369</v>
      </c>
      <c r="C6" s="1472" t="s">
        <v>1370</v>
      </c>
      <c r="D6" s="1488" t="s">
        <v>105</v>
      </c>
      <c r="E6" s="1472" t="s">
        <v>1371</v>
      </c>
      <c r="F6" s="1472"/>
      <c r="G6" s="1472">
        <v>2022</v>
      </c>
      <c r="H6" s="1472" t="s">
        <v>1372</v>
      </c>
      <c r="I6" s="1472">
        <v>2</v>
      </c>
      <c r="J6" s="1481" t="s">
        <v>1373</v>
      </c>
      <c r="K6" s="1483" t="s">
        <v>1374</v>
      </c>
      <c r="L6" s="1483" t="s">
        <v>1375</v>
      </c>
      <c r="M6" s="889" t="s">
        <v>1376</v>
      </c>
      <c r="N6" s="890" t="s">
        <v>77</v>
      </c>
      <c r="O6" s="890" t="s">
        <v>77</v>
      </c>
      <c r="P6" s="890" t="s">
        <v>77</v>
      </c>
      <c r="Q6" s="1488" t="s">
        <v>1377</v>
      </c>
      <c r="R6" s="1472" t="s">
        <v>77</v>
      </c>
      <c r="S6" s="1472" t="s">
        <v>77</v>
      </c>
      <c r="T6" s="1472" t="s">
        <v>77</v>
      </c>
      <c r="U6" s="1472" t="s">
        <v>1378</v>
      </c>
      <c r="V6" s="106" t="s">
        <v>77</v>
      </c>
      <c r="W6" s="106" t="s">
        <v>77</v>
      </c>
      <c r="X6" s="106" t="s">
        <v>77</v>
      </c>
      <c r="Y6" s="106" t="s">
        <v>77</v>
      </c>
      <c r="Z6" s="106" t="s">
        <v>77</v>
      </c>
      <c r="AA6" s="106" t="s">
        <v>77</v>
      </c>
      <c r="AB6" s="106" t="s">
        <v>77</v>
      </c>
      <c r="AC6" s="106" t="s">
        <v>77</v>
      </c>
      <c r="AD6" s="106" t="s">
        <v>77</v>
      </c>
      <c r="AE6" s="106" t="s">
        <v>77</v>
      </c>
      <c r="AF6" s="106" t="s">
        <v>77</v>
      </c>
      <c r="AG6" s="106" t="s">
        <v>77</v>
      </c>
      <c r="AH6" s="106" t="s">
        <v>77</v>
      </c>
      <c r="AI6" s="106" t="s">
        <v>77</v>
      </c>
      <c r="AJ6" s="106" t="s">
        <v>77</v>
      </c>
      <c r="AK6" s="106" t="s">
        <v>77</v>
      </c>
      <c r="AL6" s="106" t="s">
        <v>77</v>
      </c>
      <c r="AM6" s="106" t="s">
        <v>77</v>
      </c>
    </row>
    <row r="7" spans="1:39">
      <c r="A7" s="1472"/>
      <c r="B7" s="1483"/>
      <c r="C7" s="1472"/>
      <c r="D7" s="1488"/>
      <c r="E7" s="1472"/>
      <c r="F7" s="1472"/>
      <c r="G7" s="1472"/>
      <c r="H7" s="1472"/>
      <c r="I7" s="1472"/>
      <c r="J7" s="1481"/>
      <c r="K7" s="1483"/>
      <c r="L7" s="1483"/>
      <c r="M7" s="873" t="s">
        <v>1379</v>
      </c>
      <c r="N7" s="107" t="s">
        <v>77</v>
      </c>
      <c r="O7" s="107" t="s">
        <v>77</v>
      </c>
      <c r="P7" s="107" t="s">
        <v>77</v>
      </c>
      <c r="Q7" s="1488"/>
      <c r="R7" s="1472"/>
      <c r="S7" s="1472"/>
      <c r="T7" s="1472"/>
      <c r="U7" s="1472"/>
      <c r="V7" s="106" t="s">
        <v>77</v>
      </c>
      <c r="W7" s="106" t="s">
        <v>77</v>
      </c>
      <c r="X7" s="106" t="s">
        <v>77</v>
      </c>
      <c r="Y7" s="106" t="s">
        <v>77</v>
      </c>
      <c r="Z7" s="106" t="s">
        <v>77</v>
      </c>
      <c r="AA7" s="106" t="s">
        <v>77</v>
      </c>
      <c r="AB7" s="106" t="s">
        <v>77</v>
      </c>
      <c r="AC7" s="106" t="s">
        <v>77</v>
      </c>
      <c r="AD7" s="106" t="s">
        <v>77</v>
      </c>
      <c r="AE7" s="106" t="s">
        <v>77</v>
      </c>
      <c r="AF7" s="106" t="s">
        <v>77</v>
      </c>
      <c r="AG7" s="106" t="s">
        <v>77</v>
      </c>
      <c r="AH7" s="106" t="s">
        <v>77</v>
      </c>
      <c r="AI7" s="106" t="s">
        <v>77</v>
      </c>
      <c r="AJ7" s="106" t="s">
        <v>77</v>
      </c>
      <c r="AK7" s="106" t="s">
        <v>77</v>
      </c>
      <c r="AL7" s="106" t="s">
        <v>77</v>
      </c>
      <c r="AM7" s="106" t="s">
        <v>77</v>
      </c>
    </row>
    <row r="8" spans="1:39">
      <c r="A8" s="1472"/>
      <c r="B8" s="1483"/>
      <c r="C8" s="1472"/>
      <c r="D8" s="1488"/>
      <c r="E8" s="1472"/>
      <c r="F8" s="1472"/>
      <c r="G8" s="1472"/>
      <c r="H8" s="1472"/>
      <c r="I8" s="1472"/>
      <c r="J8" s="1481"/>
      <c r="K8" s="1483"/>
      <c r="L8" s="1483"/>
      <c r="M8" s="873" t="s">
        <v>1380</v>
      </c>
      <c r="N8" s="107" t="s">
        <v>77</v>
      </c>
      <c r="O8" s="107" t="s">
        <v>77</v>
      </c>
      <c r="P8" s="107" t="s">
        <v>77</v>
      </c>
      <c r="Q8" s="1488"/>
      <c r="R8" s="1472"/>
      <c r="S8" s="1472"/>
      <c r="T8" s="1472"/>
      <c r="U8" s="1472"/>
      <c r="V8" s="106" t="s">
        <v>77</v>
      </c>
      <c r="W8" s="106" t="s">
        <v>77</v>
      </c>
      <c r="X8" s="106" t="s">
        <v>77</v>
      </c>
      <c r="Y8" s="106" t="s">
        <v>77</v>
      </c>
      <c r="Z8" s="106" t="s">
        <v>77</v>
      </c>
      <c r="AA8" s="106" t="s">
        <v>77</v>
      </c>
      <c r="AB8" s="106" t="s">
        <v>77</v>
      </c>
      <c r="AC8" s="106" t="s">
        <v>77</v>
      </c>
      <c r="AD8" s="106" t="s">
        <v>77</v>
      </c>
      <c r="AE8" s="106" t="s">
        <v>77</v>
      </c>
      <c r="AF8" s="106" t="s">
        <v>77</v>
      </c>
      <c r="AG8" s="106" t="s">
        <v>77</v>
      </c>
      <c r="AH8" s="106" t="s">
        <v>77</v>
      </c>
      <c r="AI8" s="106" t="s">
        <v>77</v>
      </c>
      <c r="AJ8" s="106" t="s">
        <v>77</v>
      </c>
      <c r="AK8" s="106" t="s">
        <v>77</v>
      </c>
      <c r="AL8" s="106" t="s">
        <v>77</v>
      </c>
      <c r="AM8" s="106" t="s">
        <v>77</v>
      </c>
    </row>
    <row r="9" spans="1:39">
      <c r="A9" s="1472"/>
      <c r="B9" s="1483"/>
      <c r="C9" s="1472"/>
      <c r="D9" s="1488"/>
      <c r="E9" s="1472"/>
      <c r="F9" s="1472"/>
      <c r="G9" s="1472"/>
      <c r="H9" s="1472"/>
      <c r="I9" s="1472"/>
      <c r="J9" s="1481"/>
      <c r="K9" s="1483"/>
      <c r="L9" s="1483"/>
      <c r="M9" s="873" t="s">
        <v>1381</v>
      </c>
      <c r="N9" s="107" t="s">
        <v>77</v>
      </c>
      <c r="O9" s="107" t="s">
        <v>77</v>
      </c>
      <c r="P9" s="107" t="s">
        <v>77</v>
      </c>
      <c r="Q9" s="1488"/>
      <c r="R9" s="1472"/>
      <c r="S9" s="1472"/>
      <c r="T9" s="1472"/>
      <c r="U9" s="1472"/>
      <c r="V9" s="106" t="s">
        <v>77</v>
      </c>
      <c r="W9" s="877" t="s">
        <v>77</v>
      </c>
      <c r="X9" s="877" t="s">
        <v>77</v>
      </c>
      <c r="Y9" s="877" t="s">
        <v>77</v>
      </c>
      <c r="Z9" s="106" t="s">
        <v>77</v>
      </c>
      <c r="AA9" s="106" t="s">
        <v>77</v>
      </c>
      <c r="AB9" s="877" t="s">
        <v>77</v>
      </c>
      <c r="AC9" s="877" t="s">
        <v>77</v>
      </c>
      <c r="AD9" s="877" t="s">
        <v>77</v>
      </c>
      <c r="AE9" s="877" t="s">
        <v>77</v>
      </c>
      <c r="AF9" s="877" t="s">
        <v>77</v>
      </c>
      <c r="AG9" s="877" t="s">
        <v>77</v>
      </c>
      <c r="AH9" s="877" t="s">
        <v>77</v>
      </c>
      <c r="AI9" s="877" t="s">
        <v>77</v>
      </c>
      <c r="AJ9" s="877" t="s">
        <v>77</v>
      </c>
      <c r="AK9" s="877" t="s">
        <v>77</v>
      </c>
      <c r="AL9" s="877" t="s">
        <v>77</v>
      </c>
      <c r="AM9" s="877" t="s">
        <v>77</v>
      </c>
    </row>
    <row r="10" spans="1:39" ht="60.75" customHeight="1">
      <c r="A10" s="1472"/>
      <c r="B10" s="1483"/>
      <c r="C10" s="1472"/>
      <c r="D10" s="1488"/>
      <c r="E10" s="1472"/>
      <c r="F10" s="1472"/>
      <c r="G10" s="1472"/>
      <c r="H10" s="1472"/>
      <c r="I10" s="1472"/>
      <c r="J10" s="1481"/>
      <c r="K10" s="1483"/>
      <c r="L10" s="1483"/>
      <c r="M10" s="105" t="s">
        <v>1382</v>
      </c>
      <c r="N10" s="104">
        <v>3</v>
      </c>
      <c r="O10" s="104">
        <v>2</v>
      </c>
      <c r="P10" s="104">
        <v>-1</v>
      </c>
      <c r="Q10" s="1488"/>
      <c r="R10" s="1472"/>
      <c r="S10" s="1472"/>
      <c r="T10" s="1472"/>
      <c r="U10" s="1472"/>
      <c r="V10" s="895" t="s">
        <v>1383</v>
      </c>
      <c r="W10" s="881" t="s">
        <v>1384</v>
      </c>
      <c r="X10" s="881" t="s">
        <v>1385</v>
      </c>
      <c r="Y10" s="881" t="s">
        <v>1386</v>
      </c>
      <c r="Z10" s="896" t="s">
        <v>1387</v>
      </c>
      <c r="AA10" s="881" t="s">
        <v>1388</v>
      </c>
      <c r="AB10" s="881" t="s">
        <v>1389</v>
      </c>
      <c r="AC10" s="881" t="s">
        <v>1385</v>
      </c>
      <c r="AD10" s="904" t="s">
        <v>1390</v>
      </c>
      <c r="AE10" s="881" t="s">
        <v>1391</v>
      </c>
      <c r="AF10" s="893"/>
      <c r="AG10" s="893"/>
      <c r="AH10" s="893"/>
      <c r="AI10" s="893"/>
      <c r="AJ10" s="893"/>
      <c r="AK10" s="893"/>
      <c r="AL10" s="893"/>
      <c r="AM10" s="893"/>
    </row>
    <row r="11" spans="1:39" ht="121.5">
      <c r="A11" s="1472"/>
      <c r="B11" s="1483"/>
      <c r="C11" s="1472"/>
      <c r="D11" s="1488"/>
      <c r="E11" s="1472"/>
      <c r="F11" s="1472"/>
      <c r="G11" s="1472"/>
      <c r="H11" s="1472"/>
      <c r="I11" s="1472"/>
      <c r="J11" s="1481"/>
      <c r="K11" s="1483"/>
      <c r="L11" s="1483"/>
      <c r="M11" s="105" t="s">
        <v>1392</v>
      </c>
      <c r="N11" s="104">
        <v>3</v>
      </c>
      <c r="O11" s="104">
        <v>2</v>
      </c>
      <c r="P11" s="104">
        <v>-1</v>
      </c>
      <c r="Q11" s="1488"/>
      <c r="R11" s="1472"/>
      <c r="S11" s="1472"/>
      <c r="T11" s="1472"/>
      <c r="U11" s="1472"/>
      <c r="V11" s="895" t="s">
        <v>1393</v>
      </c>
      <c r="W11" s="881" t="s">
        <v>1394</v>
      </c>
      <c r="X11" s="881" t="s">
        <v>1395</v>
      </c>
      <c r="Y11" s="881" t="s">
        <v>1396</v>
      </c>
      <c r="Z11" s="896" t="s">
        <v>1387</v>
      </c>
      <c r="AA11" s="894" t="s">
        <v>1397</v>
      </c>
      <c r="AB11" s="894" t="s">
        <v>1398</v>
      </c>
      <c r="AC11" s="881" t="s">
        <v>1395</v>
      </c>
      <c r="AD11" s="895" t="s">
        <v>1399</v>
      </c>
      <c r="AE11" s="893"/>
      <c r="AF11" s="893"/>
      <c r="AG11" s="893"/>
      <c r="AH11" s="893"/>
      <c r="AI11" s="893"/>
      <c r="AJ11" s="893"/>
      <c r="AK11" s="893"/>
      <c r="AL11" s="893"/>
      <c r="AM11" s="893"/>
    </row>
    <row r="12" spans="1:39">
      <c r="A12" s="1472"/>
      <c r="B12" s="1483"/>
      <c r="C12" s="1472"/>
      <c r="D12" s="1488"/>
      <c r="E12" s="1472"/>
      <c r="F12" s="1472"/>
      <c r="G12" s="1472"/>
      <c r="H12" s="1472"/>
      <c r="I12" s="1472"/>
      <c r="J12" s="1481"/>
      <c r="K12" s="1483"/>
      <c r="L12" s="1483"/>
      <c r="M12" s="873" t="s">
        <v>1400</v>
      </c>
      <c r="N12" s="107" t="s">
        <v>77</v>
      </c>
      <c r="O12" s="107" t="s">
        <v>77</v>
      </c>
      <c r="P12" s="107" t="s">
        <v>77</v>
      </c>
      <c r="Q12" s="1488"/>
      <c r="R12" s="1472"/>
      <c r="S12" s="1472"/>
      <c r="T12" s="1472"/>
      <c r="U12" s="1472"/>
      <c r="V12" s="106" t="s">
        <v>77</v>
      </c>
      <c r="W12" s="878" t="s">
        <v>77</v>
      </c>
      <c r="X12" s="878" t="s">
        <v>77</v>
      </c>
      <c r="Y12" s="878" t="s">
        <v>77</v>
      </c>
      <c r="Z12" s="106" t="s">
        <v>77</v>
      </c>
      <c r="AA12" s="106" t="s">
        <v>77</v>
      </c>
      <c r="AB12" s="878" t="s">
        <v>77</v>
      </c>
      <c r="AC12" s="878" t="s">
        <v>77</v>
      </c>
      <c r="AD12" s="878" t="s">
        <v>77</v>
      </c>
      <c r="AE12" s="878" t="s">
        <v>77</v>
      </c>
      <c r="AF12" s="878" t="s">
        <v>77</v>
      </c>
      <c r="AG12" s="878" t="s">
        <v>77</v>
      </c>
      <c r="AH12" s="878" t="s">
        <v>77</v>
      </c>
      <c r="AI12" s="878" t="s">
        <v>77</v>
      </c>
      <c r="AJ12" s="878" t="s">
        <v>77</v>
      </c>
      <c r="AK12" s="878" t="s">
        <v>77</v>
      </c>
      <c r="AL12" s="878" t="s">
        <v>77</v>
      </c>
      <c r="AM12" s="878" t="s">
        <v>77</v>
      </c>
    </row>
    <row r="13" spans="1:39">
      <c r="A13" s="1480"/>
      <c r="B13" s="1484"/>
      <c r="C13" s="1480"/>
      <c r="D13" s="1489"/>
      <c r="E13" s="1480"/>
      <c r="F13" s="1480"/>
      <c r="G13" s="1480"/>
      <c r="H13" s="1480"/>
      <c r="I13" s="1480"/>
      <c r="J13" s="1482"/>
      <c r="K13" s="1484"/>
      <c r="L13" s="1483"/>
      <c r="M13" s="873" t="s">
        <v>1401</v>
      </c>
      <c r="N13" s="107" t="s">
        <v>77</v>
      </c>
      <c r="O13" s="107" t="s">
        <v>77</v>
      </c>
      <c r="P13" s="107" t="s">
        <v>77</v>
      </c>
      <c r="Q13" s="1489"/>
      <c r="R13" s="1480"/>
      <c r="S13" s="1480"/>
      <c r="T13" s="1480"/>
      <c r="U13" s="1480"/>
      <c r="V13" s="106" t="s">
        <v>77</v>
      </c>
      <c r="W13" s="106" t="s">
        <v>77</v>
      </c>
      <c r="X13" s="877" t="s">
        <v>77</v>
      </c>
      <c r="Y13" s="877" t="s">
        <v>77</v>
      </c>
      <c r="Z13" s="877" t="s">
        <v>77</v>
      </c>
      <c r="AA13" s="877" t="s">
        <v>77</v>
      </c>
      <c r="AB13" s="877" t="s">
        <v>77</v>
      </c>
      <c r="AC13" s="877" t="s">
        <v>77</v>
      </c>
      <c r="AD13" s="877" t="s">
        <v>77</v>
      </c>
      <c r="AE13" s="877" t="s">
        <v>77</v>
      </c>
      <c r="AF13" s="877" t="s">
        <v>77</v>
      </c>
      <c r="AG13" s="877" t="s">
        <v>77</v>
      </c>
      <c r="AH13" s="877" t="s">
        <v>77</v>
      </c>
      <c r="AI13" s="877" t="s">
        <v>77</v>
      </c>
      <c r="AJ13" s="877" t="s">
        <v>77</v>
      </c>
      <c r="AK13" s="877" t="s">
        <v>77</v>
      </c>
      <c r="AL13" s="877" t="s">
        <v>77</v>
      </c>
      <c r="AM13" s="877" t="s">
        <v>77</v>
      </c>
    </row>
    <row r="14" spans="1:39" ht="24.75" customHeight="1">
      <c r="A14" s="1479">
        <v>2</v>
      </c>
      <c r="B14" s="1476" t="s">
        <v>1402</v>
      </c>
      <c r="C14" s="1479" t="s">
        <v>1370</v>
      </c>
      <c r="D14" s="1487" t="s">
        <v>1403</v>
      </c>
      <c r="E14" s="1479" t="s">
        <v>1371</v>
      </c>
      <c r="F14" s="1479"/>
      <c r="G14" s="1479">
        <v>2022</v>
      </c>
      <c r="H14" s="1488" t="s">
        <v>1404</v>
      </c>
      <c r="I14" s="1488">
        <v>0</v>
      </c>
      <c r="J14" s="1481" t="s">
        <v>1373</v>
      </c>
      <c r="K14" s="1515" t="s">
        <v>1405</v>
      </c>
      <c r="L14" s="1474" t="s">
        <v>1406</v>
      </c>
      <c r="M14" s="1452" t="s">
        <v>1376</v>
      </c>
      <c r="N14" s="107">
        <v>2</v>
      </c>
      <c r="O14" s="107">
        <v>2</v>
      </c>
      <c r="P14" s="107">
        <v>0</v>
      </c>
      <c r="Q14" s="1487" t="s">
        <v>1377</v>
      </c>
      <c r="R14" s="1479">
        <v>2</v>
      </c>
      <c r="S14" s="1479">
        <v>2</v>
      </c>
      <c r="T14" s="1479">
        <v>0</v>
      </c>
      <c r="U14" s="1479" t="s">
        <v>1378</v>
      </c>
      <c r="V14" s="1504" t="s">
        <v>1407</v>
      </c>
      <c r="W14" s="1507" t="s">
        <v>1408</v>
      </c>
      <c r="X14" s="1510" t="s">
        <v>1409</v>
      </c>
      <c r="Y14" s="1507" t="s">
        <v>1410</v>
      </c>
      <c r="Z14" s="1507" t="s">
        <v>1387</v>
      </c>
      <c r="AA14" s="1507" t="s">
        <v>1411</v>
      </c>
      <c r="AB14" s="1519" t="s">
        <v>1412</v>
      </c>
      <c r="AC14" s="1519" t="s">
        <v>1413</v>
      </c>
      <c r="AD14" s="1519" t="s">
        <v>1414</v>
      </c>
      <c r="AE14" s="1518"/>
      <c r="AF14" s="1518"/>
      <c r="AG14" s="1518"/>
      <c r="AH14" s="1518"/>
      <c r="AI14" s="1518"/>
      <c r="AJ14" s="1518"/>
      <c r="AK14" s="1518"/>
      <c r="AL14" s="1518"/>
      <c r="AM14" s="1518"/>
    </row>
    <row r="15" spans="1:39" ht="24.75" customHeight="1">
      <c r="A15" s="1472"/>
      <c r="B15" s="1483"/>
      <c r="C15" s="1472"/>
      <c r="D15" s="1488"/>
      <c r="E15" s="1472"/>
      <c r="F15" s="1472"/>
      <c r="G15" s="1472"/>
      <c r="H15" s="1488"/>
      <c r="I15" s="1488"/>
      <c r="J15" s="1481"/>
      <c r="K15" s="1516"/>
      <c r="L15" s="1475"/>
      <c r="M15" s="1452" t="s">
        <v>1379</v>
      </c>
      <c r="N15" s="107">
        <v>2</v>
      </c>
      <c r="O15" s="107">
        <v>3</v>
      </c>
      <c r="P15" s="107">
        <v>1</v>
      </c>
      <c r="Q15" s="1488"/>
      <c r="R15" s="1472"/>
      <c r="S15" s="1472"/>
      <c r="T15" s="1472"/>
      <c r="U15" s="1472"/>
      <c r="V15" s="1505"/>
      <c r="W15" s="1508"/>
      <c r="X15" s="1511"/>
      <c r="Y15" s="1508"/>
      <c r="Z15" s="1508"/>
      <c r="AA15" s="1508"/>
      <c r="AB15" s="1520"/>
      <c r="AC15" s="1520"/>
      <c r="AD15" s="1520"/>
      <c r="AE15" s="1518"/>
      <c r="AF15" s="1518"/>
      <c r="AG15" s="1518"/>
      <c r="AH15" s="1518"/>
      <c r="AI15" s="1518"/>
      <c r="AJ15" s="1518"/>
      <c r="AK15" s="1518"/>
      <c r="AL15" s="1518"/>
      <c r="AM15" s="1518"/>
    </row>
    <row r="16" spans="1:39" ht="24.75" customHeight="1">
      <c r="A16" s="1472"/>
      <c r="B16" s="1483"/>
      <c r="C16" s="1472"/>
      <c r="D16" s="1488"/>
      <c r="E16" s="1472"/>
      <c r="F16" s="1472"/>
      <c r="G16" s="1472"/>
      <c r="H16" s="1488"/>
      <c r="I16" s="1488"/>
      <c r="J16" s="1481"/>
      <c r="K16" s="1516"/>
      <c r="L16" s="1475"/>
      <c r="M16" s="1452" t="s">
        <v>1380</v>
      </c>
      <c r="N16" s="107">
        <v>2</v>
      </c>
      <c r="O16" s="107">
        <v>3</v>
      </c>
      <c r="P16" s="107">
        <v>1</v>
      </c>
      <c r="Q16" s="1488"/>
      <c r="R16" s="1472"/>
      <c r="S16" s="1472"/>
      <c r="T16" s="1472"/>
      <c r="U16" s="1472"/>
      <c r="V16" s="1505"/>
      <c r="W16" s="1508"/>
      <c r="X16" s="1511"/>
      <c r="Y16" s="1508"/>
      <c r="Z16" s="1508"/>
      <c r="AA16" s="1508"/>
      <c r="AB16" s="1520"/>
      <c r="AC16" s="1520"/>
      <c r="AD16" s="1520"/>
      <c r="AE16" s="1518"/>
      <c r="AF16" s="1518"/>
      <c r="AG16" s="1518"/>
      <c r="AH16" s="1518"/>
      <c r="AI16" s="1518"/>
      <c r="AJ16" s="1518"/>
      <c r="AK16" s="1518"/>
      <c r="AL16" s="1518"/>
      <c r="AM16" s="1518"/>
    </row>
    <row r="17" spans="1:39" ht="18" customHeight="1">
      <c r="A17" s="1472"/>
      <c r="B17" s="1483"/>
      <c r="C17" s="1472"/>
      <c r="D17" s="1488"/>
      <c r="E17" s="1472"/>
      <c r="F17" s="1472"/>
      <c r="G17" s="1472"/>
      <c r="H17" s="1488"/>
      <c r="I17" s="1488"/>
      <c r="J17" s="1481"/>
      <c r="K17" s="1516"/>
      <c r="L17" s="1475"/>
      <c r="M17" s="1452" t="s">
        <v>1381</v>
      </c>
      <c r="N17" s="107">
        <v>2</v>
      </c>
      <c r="O17" s="107">
        <v>2</v>
      </c>
      <c r="P17" s="107">
        <v>0</v>
      </c>
      <c r="Q17" s="1488"/>
      <c r="R17" s="1472"/>
      <c r="S17" s="1472"/>
      <c r="T17" s="1472"/>
      <c r="U17" s="1472"/>
      <c r="V17" s="1505"/>
      <c r="W17" s="1508"/>
      <c r="X17" s="1511"/>
      <c r="Y17" s="1508"/>
      <c r="Z17" s="1508"/>
      <c r="AA17" s="1508"/>
      <c r="AB17" s="1520"/>
      <c r="AC17" s="1520"/>
      <c r="AD17" s="1520"/>
      <c r="AE17" s="1518"/>
      <c r="AF17" s="1518"/>
      <c r="AG17" s="1518"/>
      <c r="AH17" s="1518"/>
      <c r="AI17" s="1518"/>
      <c r="AJ17" s="1518"/>
      <c r="AK17" s="1518"/>
      <c r="AL17" s="1518"/>
      <c r="AM17" s="1518"/>
    </row>
    <row r="18" spans="1:39" ht="18" customHeight="1">
      <c r="A18" s="1472"/>
      <c r="B18" s="1483"/>
      <c r="C18" s="1472"/>
      <c r="D18" s="1488"/>
      <c r="E18" s="1472"/>
      <c r="F18" s="1472"/>
      <c r="G18" s="1472"/>
      <c r="H18" s="1488"/>
      <c r="I18" s="1488"/>
      <c r="J18" s="1481"/>
      <c r="K18" s="1516"/>
      <c r="L18" s="1475"/>
      <c r="M18" s="1452" t="s">
        <v>1382</v>
      </c>
      <c r="N18" s="107">
        <v>2</v>
      </c>
      <c r="O18" s="107">
        <v>2</v>
      </c>
      <c r="P18" s="107">
        <v>0</v>
      </c>
      <c r="Q18" s="1488"/>
      <c r="R18" s="1472"/>
      <c r="S18" s="1472"/>
      <c r="T18" s="1472"/>
      <c r="U18" s="1472"/>
      <c r="V18" s="1505"/>
      <c r="W18" s="1508"/>
      <c r="X18" s="1511"/>
      <c r="Y18" s="1508"/>
      <c r="Z18" s="1508"/>
      <c r="AA18" s="1508"/>
      <c r="AB18" s="1520"/>
      <c r="AC18" s="1520"/>
      <c r="AD18" s="1520"/>
      <c r="AE18" s="1518"/>
      <c r="AF18" s="1518"/>
      <c r="AG18" s="1518"/>
      <c r="AH18" s="1518"/>
      <c r="AI18" s="1518"/>
      <c r="AJ18" s="1518"/>
      <c r="AK18" s="1518"/>
      <c r="AL18" s="1518"/>
      <c r="AM18" s="1518"/>
    </row>
    <row r="19" spans="1:39" ht="38.25" customHeight="1">
      <c r="A19" s="1472"/>
      <c r="B19" s="1483"/>
      <c r="C19" s="1472"/>
      <c r="D19" s="1488"/>
      <c r="E19" s="1472"/>
      <c r="F19" s="1472"/>
      <c r="G19" s="1472"/>
      <c r="H19" s="1488"/>
      <c r="I19" s="1488"/>
      <c r="J19" s="1481"/>
      <c r="K19" s="1516"/>
      <c r="L19" s="1475"/>
      <c r="M19" s="1452" t="s">
        <v>1392</v>
      </c>
      <c r="N19" s="107">
        <v>2</v>
      </c>
      <c r="O19" s="107">
        <v>3</v>
      </c>
      <c r="P19" s="107">
        <v>1</v>
      </c>
      <c r="Q19" s="1488"/>
      <c r="R19" s="1472"/>
      <c r="S19" s="1472"/>
      <c r="T19" s="1472"/>
      <c r="U19" s="1472"/>
      <c r="V19" s="1505"/>
      <c r="W19" s="1508"/>
      <c r="X19" s="1511"/>
      <c r="Y19" s="1508"/>
      <c r="Z19" s="1508"/>
      <c r="AA19" s="1508"/>
      <c r="AB19" s="1520"/>
      <c r="AC19" s="1520"/>
      <c r="AD19" s="1520"/>
      <c r="AE19" s="1518"/>
      <c r="AF19" s="1518"/>
      <c r="AG19" s="1518"/>
      <c r="AH19" s="1518"/>
      <c r="AI19" s="1518"/>
      <c r="AJ19" s="1518"/>
      <c r="AK19" s="1518"/>
      <c r="AL19" s="1518"/>
      <c r="AM19" s="1518"/>
    </row>
    <row r="20" spans="1:39" ht="20.25" customHeight="1">
      <c r="A20" s="1472"/>
      <c r="B20" s="1483"/>
      <c r="C20" s="1472"/>
      <c r="D20" s="1488"/>
      <c r="E20" s="1472"/>
      <c r="F20" s="1472"/>
      <c r="G20" s="1472"/>
      <c r="H20" s="1488"/>
      <c r="I20" s="1488"/>
      <c r="J20" s="1481"/>
      <c r="K20" s="1516"/>
      <c r="L20" s="1475"/>
      <c r="M20" s="1452" t="s">
        <v>1400</v>
      </c>
      <c r="N20" s="107">
        <v>2</v>
      </c>
      <c r="O20" s="107">
        <v>2</v>
      </c>
      <c r="P20" s="107">
        <v>0</v>
      </c>
      <c r="Q20" s="1488"/>
      <c r="R20" s="1472"/>
      <c r="S20" s="1472"/>
      <c r="T20" s="1472"/>
      <c r="U20" s="1472"/>
      <c r="V20" s="1505"/>
      <c r="W20" s="1508"/>
      <c r="X20" s="1511"/>
      <c r="Y20" s="1508"/>
      <c r="Z20" s="1508"/>
      <c r="AA20" s="1508"/>
      <c r="AB20" s="1520"/>
      <c r="AC20" s="1520"/>
      <c r="AD20" s="1520"/>
      <c r="AE20" s="1518"/>
      <c r="AF20" s="1518"/>
      <c r="AG20" s="1518"/>
      <c r="AH20" s="1518"/>
      <c r="AI20" s="1518"/>
      <c r="AJ20" s="1518"/>
      <c r="AK20" s="1518"/>
      <c r="AL20" s="1518"/>
      <c r="AM20" s="1518"/>
    </row>
    <row r="21" spans="1:39" ht="20.25" customHeight="1">
      <c r="A21" s="1480"/>
      <c r="B21" s="1484"/>
      <c r="C21" s="1480"/>
      <c r="D21" s="1489"/>
      <c r="E21" s="1480"/>
      <c r="F21" s="1480"/>
      <c r="G21" s="1480"/>
      <c r="H21" s="1489"/>
      <c r="I21" s="1489"/>
      <c r="J21" s="1482"/>
      <c r="K21" s="1517"/>
      <c r="L21" s="1475"/>
      <c r="M21" s="1452" t="s">
        <v>1401</v>
      </c>
      <c r="N21" s="107">
        <v>2</v>
      </c>
      <c r="O21" s="107">
        <v>2</v>
      </c>
      <c r="P21" s="107">
        <v>0</v>
      </c>
      <c r="Q21" s="1489"/>
      <c r="R21" s="1480"/>
      <c r="S21" s="1480"/>
      <c r="T21" s="1480"/>
      <c r="U21" s="1480"/>
      <c r="V21" s="1506"/>
      <c r="W21" s="1509"/>
      <c r="X21" s="1512"/>
      <c r="Y21" s="1509"/>
      <c r="Z21" s="1509"/>
      <c r="AA21" s="1509"/>
      <c r="AB21" s="1521"/>
      <c r="AC21" s="1521"/>
      <c r="AD21" s="1521"/>
      <c r="AE21" s="1518"/>
      <c r="AF21" s="1518"/>
      <c r="AG21" s="1518"/>
      <c r="AH21" s="1518"/>
      <c r="AI21" s="1518"/>
      <c r="AJ21" s="1518"/>
      <c r="AK21" s="1518"/>
      <c r="AL21" s="1518"/>
      <c r="AM21" s="1518"/>
    </row>
    <row r="22" spans="1:39" ht="183">
      <c r="A22" s="1479">
        <v>3</v>
      </c>
      <c r="B22" s="1476" t="s">
        <v>1415</v>
      </c>
      <c r="C22" s="1479" t="s">
        <v>1416</v>
      </c>
      <c r="D22" s="1487" t="s">
        <v>117</v>
      </c>
      <c r="E22" s="1479" t="s">
        <v>1371</v>
      </c>
      <c r="F22" s="1479"/>
      <c r="G22" s="1479">
        <v>2022</v>
      </c>
      <c r="H22" s="1472" t="s">
        <v>1372</v>
      </c>
      <c r="I22" s="1472">
        <v>9</v>
      </c>
      <c r="J22" s="1524" t="s">
        <v>1417</v>
      </c>
      <c r="K22" s="1476" t="s">
        <v>1418</v>
      </c>
      <c r="L22" s="1499" t="s">
        <v>1419</v>
      </c>
      <c r="M22" s="105" t="s">
        <v>1376</v>
      </c>
      <c r="N22" s="104">
        <v>3</v>
      </c>
      <c r="O22" s="104">
        <v>2</v>
      </c>
      <c r="P22" s="104">
        <v>-1</v>
      </c>
      <c r="Q22" s="1487" t="s">
        <v>1377</v>
      </c>
      <c r="R22" s="1479">
        <v>3</v>
      </c>
      <c r="S22" s="1479">
        <v>2</v>
      </c>
      <c r="T22" s="1479">
        <v>-1</v>
      </c>
      <c r="U22" s="1479" t="s">
        <v>1378</v>
      </c>
      <c r="V22" s="894" t="s">
        <v>1420</v>
      </c>
      <c r="W22" s="894" t="s">
        <v>1421</v>
      </c>
      <c r="X22" s="894" t="s">
        <v>1422</v>
      </c>
      <c r="Y22" s="894" t="s">
        <v>1423</v>
      </c>
      <c r="Z22" s="881" t="s">
        <v>1424</v>
      </c>
      <c r="AA22" s="881" t="s">
        <v>1425</v>
      </c>
    </row>
    <row r="23" spans="1:39" ht="90.75">
      <c r="A23" s="1472"/>
      <c r="B23" s="1483"/>
      <c r="C23" s="1472"/>
      <c r="D23" s="1488"/>
      <c r="E23" s="1472"/>
      <c r="F23" s="1472"/>
      <c r="G23" s="1472"/>
      <c r="H23" s="1472"/>
      <c r="I23" s="1472"/>
      <c r="J23" s="1524"/>
      <c r="K23" s="1483"/>
      <c r="L23" s="1478"/>
      <c r="M23" s="105" t="s">
        <v>1379</v>
      </c>
      <c r="N23" s="104">
        <v>3</v>
      </c>
      <c r="O23" s="104">
        <v>2</v>
      </c>
      <c r="P23" s="104">
        <v>-1</v>
      </c>
      <c r="Q23" s="1488"/>
      <c r="R23" s="1472"/>
      <c r="S23" s="1472"/>
      <c r="T23" s="1472"/>
      <c r="U23" s="1472"/>
      <c r="V23" s="881" t="s">
        <v>1426</v>
      </c>
      <c r="W23" s="881" t="s">
        <v>1427</v>
      </c>
      <c r="X23" s="881" t="s">
        <v>1428</v>
      </c>
      <c r="Y23" s="881" t="s">
        <v>1429</v>
      </c>
      <c r="Z23" s="881" t="s">
        <v>1430</v>
      </c>
      <c r="AA23" s="881" t="s">
        <v>1431</v>
      </c>
    </row>
    <row r="24" spans="1:39" ht="90.75">
      <c r="A24" s="1472"/>
      <c r="B24" s="1483"/>
      <c r="C24" s="1472"/>
      <c r="D24" s="1488"/>
      <c r="E24" s="1472"/>
      <c r="F24" s="1472"/>
      <c r="G24" s="1472"/>
      <c r="H24" s="1472"/>
      <c r="I24" s="1472"/>
      <c r="J24" s="1524"/>
      <c r="K24" s="1483"/>
      <c r="L24" s="1478"/>
      <c r="M24" s="105" t="s">
        <v>1380</v>
      </c>
      <c r="N24" s="104">
        <v>3</v>
      </c>
      <c r="O24" s="104">
        <v>2</v>
      </c>
      <c r="P24" s="104">
        <v>-1</v>
      </c>
      <c r="Q24" s="1488"/>
      <c r="R24" s="1472"/>
      <c r="S24" s="1472"/>
      <c r="T24" s="1472"/>
      <c r="U24" s="1472"/>
      <c r="V24" s="881" t="s">
        <v>1432</v>
      </c>
      <c r="W24" s="881" t="s">
        <v>1433</v>
      </c>
      <c r="X24" s="881" t="s">
        <v>1434</v>
      </c>
      <c r="Y24" s="881" t="s">
        <v>1435</v>
      </c>
      <c r="Z24" s="881" t="s">
        <v>1430</v>
      </c>
      <c r="AA24" s="881" t="s">
        <v>1436</v>
      </c>
    </row>
    <row r="25" spans="1:39" ht="75.75">
      <c r="A25" s="1472"/>
      <c r="B25" s="1483"/>
      <c r="C25" s="1472"/>
      <c r="D25" s="1488"/>
      <c r="E25" s="1472"/>
      <c r="F25" s="1472"/>
      <c r="G25" s="1472"/>
      <c r="H25" s="1472"/>
      <c r="I25" s="1472"/>
      <c r="J25" s="1524"/>
      <c r="K25" s="1483"/>
      <c r="L25" s="1478"/>
      <c r="M25" s="1446" t="s">
        <v>1381</v>
      </c>
      <c r="N25" s="104">
        <v>3</v>
      </c>
      <c r="O25" s="104">
        <v>1</v>
      </c>
      <c r="P25" s="1447">
        <v>-2</v>
      </c>
      <c r="Q25" s="1488"/>
      <c r="R25" s="1472"/>
      <c r="S25" s="1472"/>
      <c r="T25" s="1472"/>
      <c r="U25" s="1472"/>
      <c r="V25" s="881" t="s">
        <v>1437</v>
      </c>
      <c r="W25" s="881" t="s">
        <v>1438</v>
      </c>
      <c r="X25" s="881" t="s">
        <v>1439</v>
      </c>
      <c r="Y25" s="881" t="s">
        <v>1440</v>
      </c>
      <c r="Z25" s="881" t="s">
        <v>1387</v>
      </c>
      <c r="AA25" s="881" t="s">
        <v>1441</v>
      </c>
    </row>
    <row r="26" spans="1:39" ht="106.5">
      <c r="A26" s="1472"/>
      <c r="B26" s="1483"/>
      <c r="C26" s="1472"/>
      <c r="D26" s="1488"/>
      <c r="E26" s="1472"/>
      <c r="F26" s="1472"/>
      <c r="G26" s="1472"/>
      <c r="H26" s="1472"/>
      <c r="I26" s="1472"/>
      <c r="J26" s="1524"/>
      <c r="K26" s="1483"/>
      <c r="L26" s="1478"/>
      <c r="M26" s="1446" t="s">
        <v>1382</v>
      </c>
      <c r="N26" s="104">
        <v>3</v>
      </c>
      <c r="O26" s="104">
        <v>1</v>
      </c>
      <c r="P26" s="1447">
        <v>-2</v>
      </c>
      <c r="Q26" s="1488"/>
      <c r="R26" s="1472"/>
      <c r="S26" s="1472"/>
      <c r="T26" s="1472"/>
      <c r="U26" s="1472"/>
      <c r="V26" s="881" t="s">
        <v>1442</v>
      </c>
      <c r="W26" s="894" t="s">
        <v>1443</v>
      </c>
      <c r="X26" s="881" t="s">
        <v>1444</v>
      </c>
      <c r="Y26" s="881" t="s">
        <v>1445</v>
      </c>
      <c r="Z26" s="881" t="s">
        <v>1387</v>
      </c>
      <c r="AA26" s="881" t="s">
        <v>1446</v>
      </c>
    </row>
    <row r="27" spans="1:39" ht="90.75">
      <c r="A27" s="1472"/>
      <c r="B27" s="1483"/>
      <c r="C27" s="1472"/>
      <c r="D27" s="1488"/>
      <c r="E27" s="1472"/>
      <c r="F27" s="1472"/>
      <c r="G27" s="1472"/>
      <c r="H27" s="1472"/>
      <c r="I27" s="1472"/>
      <c r="J27" s="1524"/>
      <c r="K27" s="1483"/>
      <c r="L27" s="1478"/>
      <c r="M27" s="105" t="s">
        <v>1392</v>
      </c>
      <c r="N27" s="104">
        <v>3</v>
      </c>
      <c r="O27" s="104">
        <v>1</v>
      </c>
      <c r="P27" s="104">
        <v>-2</v>
      </c>
      <c r="Q27" s="1488"/>
      <c r="R27" s="1472"/>
      <c r="S27" s="1472"/>
      <c r="T27" s="1472"/>
      <c r="U27" s="1472"/>
      <c r="V27" s="881" t="s">
        <v>1447</v>
      </c>
      <c r="W27" s="881" t="s">
        <v>1448</v>
      </c>
      <c r="X27" s="881" t="s">
        <v>1449</v>
      </c>
      <c r="Y27" s="881" t="s">
        <v>1450</v>
      </c>
      <c r="Z27" s="881" t="s">
        <v>1430</v>
      </c>
      <c r="AA27" s="881" t="s">
        <v>1451</v>
      </c>
    </row>
    <row r="28" spans="1:39" ht="106.5">
      <c r="A28" s="1472"/>
      <c r="B28" s="1483"/>
      <c r="C28" s="1472"/>
      <c r="D28" s="1488"/>
      <c r="E28" s="1472"/>
      <c r="F28" s="1472"/>
      <c r="G28" s="1472"/>
      <c r="H28" s="1472"/>
      <c r="I28" s="1472"/>
      <c r="J28" s="1524"/>
      <c r="K28" s="1483"/>
      <c r="L28" s="1478"/>
      <c r="M28" s="105" t="s">
        <v>1400</v>
      </c>
      <c r="N28" s="104">
        <v>3</v>
      </c>
      <c r="O28" s="104">
        <v>2</v>
      </c>
      <c r="P28" s="104">
        <v>-1</v>
      </c>
      <c r="Q28" s="1488"/>
      <c r="R28" s="1472"/>
      <c r="S28" s="1472"/>
      <c r="T28" s="1472"/>
      <c r="U28" s="1472"/>
      <c r="V28" s="881" t="s">
        <v>1452</v>
      </c>
      <c r="W28" s="881" t="s">
        <v>1453</v>
      </c>
      <c r="X28" s="881" t="s">
        <v>1454</v>
      </c>
      <c r="Y28" s="881" t="s">
        <v>1455</v>
      </c>
      <c r="Z28" s="881" t="s">
        <v>1430</v>
      </c>
      <c r="AA28" s="881" t="s">
        <v>1451</v>
      </c>
    </row>
    <row r="29" spans="1:39" ht="90.75">
      <c r="A29" s="1480"/>
      <c r="B29" s="1484"/>
      <c r="C29" s="1480"/>
      <c r="D29" s="1489"/>
      <c r="E29" s="1480"/>
      <c r="F29" s="1480"/>
      <c r="G29" s="1480"/>
      <c r="H29" s="1480"/>
      <c r="I29" s="1480"/>
      <c r="J29" s="1525"/>
      <c r="K29" s="1484"/>
      <c r="L29" s="1500"/>
      <c r="M29" s="1446" t="s">
        <v>1401</v>
      </c>
      <c r="N29" s="104">
        <v>3</v>
      </c>
      <c r="O29" s="104">
        <v>1</v>
      </c>
      <c r="P29" s="1447">
        <v>-2</v>
      </c>
      <c r="Q29" s="1489"/>
      <c r="R29" s="1480"/>
      <c r="S29" s="1480"/>
      <c r="T29" s="1480"/>
      <c r="U29" s="1480"/>
      <c r="V29" s="881" t="s">
        <v>1456</v>
      </c>
      <c r="W29" s="881" t="s">
        <v>1457</v>
      </c>
      <c r="X29" s="881" t="s">
        <v>1458</v>
      </c>
      <c r="Y29" s="881" t="s">
        <v>1455</v>
      </c>
      <c r="Z29" s="881" t="s">
        <v>1387</v>
      </c>
      <c r="AA29" s="881" t="s">
        <v>1459</v>
      </c>
    </row>
    <row r="30" spans="1:39" ht="17.25" customHeight="1">
      <c r="A30" s="1479">
        <v>4</v>
      </c>
      <c r="B30" s="1476" t="s">
        <v>1460</v>
      </c>
      <c r="C30" s="1479" t="s">
        <v>1416</v>
      </c>
      <c r="D30" s="1487" t="s">
        <v>1233</v>
      </c>
      <c r="E30" s="1479" t="s">
        <v>1371</v>
      </c>
      <c r="F30" s="1479"/>
      <c r="G30" s="1479">
        <v>2017</v>
      </c>
      <c r="H30" s="1472" t="s">
        <v>1372</v>
      </c>
      <c r="I30" s="1472">
        <v>1</v>
      </c>
      <c r="J30" s="1513" t="s">
        <v>1373</v>
      </c>
      <c r="K30" s="1474" t="s">
        <v>1461</v>
      </c>
      <c r="L30" s="1474" t="s">
        <v>1462</v>
      </c>
      <c r="M30" s="873" t="s">
        <v>1376</v>
      </c>
      <c r="N30" s="107" t="s">
        <v>77</v>
      </c>
      <c r="O30" s="107" t="s">
        <v>77</v>
      </c>
      <c r="P30" s="107" t="s">
        <v>77</v>
      </c>
      <c r="Q30" s="1487" t="s">
        <v>1377</v>
      </c>
      <c r="R30" s="1479" t="s">
        <v>77</v>
      </c>
      <c r="S30" s="1479" t="s">
        <v>77</v>
      </c>
      <c r="T30" s="1479" t="s">
        <v>77</v>
      </c>
      <c r="U30" s="1479" t="s">
        <v>1378</v>
      </c>
      <c r="V30" s="107" t="s">
        <v>77</v>
      </c>
      <c r="W30" s="107" t="s">
        <v>77</v>
      </c>
      <c r="X30" s="107" t="s">
        <v>77</v>
      </c>
      <c r="Y30" s="107" t="s">
        <v>77</v>
      </c>
      <c r="Z30" s="107" t="s">
        <v>77</v>
      </c>
      <c r="AA30" s="107" t="s">
        <v>77</v>
      </c>
      <c r="AB30" s="107" t="s">
        <v>77</v>
      </c>
      <c r="AC30" s="107" t="s">
        <v>77</v>
      </c>
      <c r="AD30" s="107" t="s">
        <v>77</v>
      </c>
      <c r="AE30" s="107" t="s">
        <v>77</v>
      </c>
      <c r="AF30" s="107" t="s">
        <v>77</v>
      </c>
      <c r="AG30" s="107" t="s">
        <v>77</v>
      </c>
      <c r="AH30" s="107" t="s">
        <v>77</v>
      </c>
      <c r="AI30" s="107" t="s">
        <v>77</v>
      </c>
      <c r="AJ30" s="107" t="s">
        <v>77</v>
      </c>
      <c r="AK30" s="107" t="s">
        <v>77</v>
      </c>
      <c r="AL30" s="107" t="s">
        <v>77</v>
      </c>
      <c r="AM30" s="107" t="s">
        <v>77</v>
      </c>
    </row>
    <row r="31" spans="1:39" ht="17.25" customHeight="1">
      <c r="A31" s="1472"/>
      <c r="B31" s="1483"/>
      <c r="C31" s="1472"/>
      <c r="D31" s="1488"/>
      <c r="E31" s="1472"/>
      <c r="F31" s="1472"/>
      <c r="G31" s="1472"/>
      <c r="H31" s="1472"/>
      <c r="I31" s="1472"/>
      <c r="J31" s="1513"/>
      <c r="K31" s="1475"/>
      <c r="L31" s="1475"/>
      <c r="M31" s="873" t="s">
        <v>1379</v>
      </c>
      <c r="N31" s="107" t="s">
        <v>77</v>
      </c>
      <c r="O31" s="107" t="s">
        <v>77</v>
      </c>
      <c r="P31" s="107" t="s">
        <v>77</v>
      </c>
      <c r="Q31" s="1488"/>
      <c r="R31" s="1472"/>
      <c r="S31" s="1472"/>
      <c r="T31" s="1472"/>
      <c r="U31" s="1472"/>
      <c r="V31" s="107" t="s">
        <v>77</v>
      </c>
      <c r="W31" s="107" t="s">
        <v>77</v>
      </c>
      <c r="X31" s="107" t="s">
        <v>77</v>
      </c>
      <c r="Y31" s="107" t="s">
        <v>77</v>
      </c>
      <c r="Z31" s="107" t="s">
        <v>77</v>
      </c>
      <c r="AA31" s="107" t="s">
        <v>77</v>
      </c>
      <c r="AB31" s="107" t="s">
        <v>77</v>
      </c>
      <c r="AC31" s="107" t="s">
        <v>77</v>
      </c>
      <c r="AD31" s="107" t="s">
        <v>77</v>
      </c>
      <c r="AE31" s="107" t="s">
        <v>77</v>
      </c>
      <c r="AF31" s="107" t="s">
        <v>77</v>
      </c>
      <c r="AG31" s="107" t="s">
        <v>77</v>
      </c>
      <c r="AH31" s="107" t="s">
        <v>77</v>
      </c>
      <c r="AI31" s="107" t="s">
        <v>77</v>
      </c>
      <c r="AJ31" s="107" t="s">
        <v>77</v>
      </c>
      <c r="AK31" s="107" t="s">
        <v>77</v>
      </c>
      <c r="AL31" s="107" t="s">
        <v>77</v>
      </c>
      <c r="AM31" s="107" t="s">
        <v>77</v>
      </c>
    </row>
    <row r="32" spans="1:39" ht="17.25" customHeight="1">
      <c r="A32" s="1472"/>
      <c r="B32" s="1483"/>
      <c r="C32" s="1472"/>
      <c r="D32" s="1488"/>
      <c r="E32" s="1472"/>
      <c r="F32" s="1472"/>
      <c r="G32" s="1472"/>
      <c r="H32" s="1472"/>
      <c r="I32" s="1472"/>
      <c r="J32" s="1513"/>
      <c r="K32" s="1475"/>
      <c r="L32" s="1475"/>
      <c r="M32" s="873" t="s">
        <v>1380</v>
      </c>
      <c r="N32" s="107" t="s">
        <v>77</v>
      </c>
      <c r="O32" s="107" t="s">
        <v>77</v>
      </c>
      <c r="P32" s="107" t="s">
        <v>77</v>
      </c>
      <c r="Q32" s="1488"/>
      <c r="R32" s="1472"/>
      <c r="S32" s="1472"/>
      <c r="T32" s="1472"/>
      <c r="U32" s="1472"/>
      <c r="V32" s="107" t="s">
        <v>77</v>
      </c>
      <c r="W32" s="903" t="s">
        <v>77</v>
      </c>
      <c r="X32" s="107" t="s">
        <v>77</v>
      </c>
      <c r="Y32" s="107" t="s">
        <v>77</v>
      </c>
      <c r="Z32" s="107" t="s">
        <v>77</v>
      </c>
      <c r="AA32" s="107" t="s">
        <v>77</v>
      </c>
      <c r="AB32" s="107" t="s">
        <v>77</v>
      </c>
      <c r="AC32" s="107" t="s">
        <v>77</v>
      </c>
      <c r="AD32" s="107" t="s">
        <v>77</v>
      </c>
      <c r="AE32" s="107" t="s">
        <v>77</v>
      </c>
      <c r="AF32" s="107" t="s">
        <v>77</v>
      </c>
      <c r="AG32" s="107" t="s">
        <v>77</v>
      </c>
      <c r="AH32" s="107" t="s">
        <v>77</v>
      </c>
      <c r="AI32" s="107" t="s">
        <v>77</v>
      </c>
      <c r="AJ32" s="107" t="s">
        <v>77</v>
      </c>
      <c r="AK32" s="107" t="s">
        <v>77</v>
      </c>
      <c r="AL32" s="107" t="s">
        <v>77</v>
      </c>
      <c r="AM32" s="107" t="s">
        <v>77</v>
      </c>
    </row>
    <row r="33" spans="1:39" ht="106.5">
      <c r="A33" s="1472"/>
      <c r="B33" s="1483"/>
      <c r="C33" s="1472"/>
      <c r="D33" s="1488"/>
      <c r="E33" s="1472"/>
      <c r="F33" s="1472"/>
      <c r="G33" s="1472"/>
      <c r="H33" s="1472"/>
      <c r="I33" s="1472"/>
      <c r="J33" s="1513"/>
      <c r="K33" s="1475"/>
      <c r="L33" s="1475"/>
      <c r="M33" s="873" t="s">
        <v>1381</v>
      </c>
      <c r="N33" s="107">
        <v>2</v>
      </c>
      <c r="O33" s="107">
        <v>1</v>
      </c>
      <c r="P33" s="107">
        <v>-1</v>
      </c>
      <c r="Q33" s="1488"/>
      <c r="R33" s="1472"/>
      <c r="S33" s="1472"/>
      <c r="T33" s="1472"/>
      <c r="U33" s="1472"/>
      <c r="V33" s="895" t="s">
        <v>1463</v>
      </c>
      <c r="W33" s="881" t="s">
        <v>1464</v>
      </c>
      <c r="X33" s="896" t="s">
        <v>1465</v>
      </c>
      <c r="Y33" s="881" t="s">
        <v>1466</v>
      </c>
      <c r="Z33" s="896" t="s">
        <v>1387</v>
      </c>
      <c r="AA33" s="881" t="s">
        <v>1467</v>
      </c>
      <c r="AB33" s="899" t="s">
        <v>1468</v>
      </c>
      <c r="AC33" s="899" t="s">
        <v>1469</v>
      </c>
      <c r="AD33" s="881"/>
      <c r="AE33" s="881"/>
      <c r="AF33" s="881"/>
      <c r="AG33" s="881"/>
      <c r="AH33" s="881"/>
      <c r="AI33" s="881"/>
      <c r="AJ33" s="881"/>
      <c r="AK33" s="881"/>
      <c r="AL33" s="881"/>
      <c r="AM33" s="881"/>
    </row>
    <row r="34" spans="1:39" ht="17.25" customHeight="1">
      <c r="A34" s="1472"/>
      <c r="B34" s="1483"/>
      <c r="C34" s="1472"/>
      <c r="D34" s="1488"/>
      <c r="E34" s="1472"/>
      <c r="F34" s="1472"/>
      <c r="G34" s="1472"/>
      <c r="H34" s="1472"/>
      <c r="I34" s="1472"/>
      <c r="J34" s="1513"/>
      <c r="K34" s="1475"/>
      <c r="L34" s="1475"/>
      <c r="M34" s="873" t="s">
        <v>1382</v>
      </c>
      <c r="N34" s="107" t="s">
        <v>77</v>
      </c>
      <c r="O34" s="107" t="s">
        <v>77</v>
      </c>
      <c r="P34" s="107" t="s">
        <v>77</v>
      </c>
      <c r="Q34" s="1488"/>
      <c r="R34" s="1472"/>
      <c r="S34" s="1472"/>
      <c r="T34" s="1472"/>
      <c r="U34" s="1472"/>
      <c r="V34" s="107" t="s">
        <v>77</v>
      </c>
      <c r="W34" s="890" t="s">
        <v>77</v>
      </c>
      <c r="X34" s="107" t="s">
        <v>77</v>
      </c>
      <c r="Y34" s="107" t="s">
        <v>77</v>
      </c>
      <c r="Z34" s="107" t="s">
        <v>77</v>
      </c>
      <c r="AA34" s="107" t="s">
        <v>77</v>
      </c>
      <c r="AB34" s="107" t="s">
        <v>77</v>
      </c>
      <c r="AC34" s="107" t="s">
        <v>77</v>
      </c>
      <c r="AD34" s="107" t="s">
        <v>77</v>
      </c>
      <c r="AE34" s="107" t="s">
        <v>77</v>
      </c>
      <c r="AF34" s="107" t="s">
        <v>77</v>
      </c>
      <c r="AG34" s="107" t="s">
        <v>77</v>
      </c>
      <c r="AH34" s="107" t="s">
        <v>77</v>
      </c>
      <c r="AI34" s="107" t="s">
        <v>77</v>
      </c>
      <c r="AJ34" s="107" t="s">
        <v>77</v>
      </c>
      <c r="AK34" s="107" t="s">
        <v>77</v>
      </c>
      <c r="AL34" s="107" t="s">
        <v>77</v>
      </c>
      <c r="AM34" s="107" t="s">
        <v>77</v>
      </c>
    </row>
    <row r="35" spans="1:39" ht="28.5" customHeight="1">
      <c r="A35" s="1472"/>
      <c r="B35" s="1483"/>
      <c r="C35" s="1472"/>
      <c r="D35" s="1488"/>
      <c r="E35" s="1472"/>
      <c r="F35" s="1472"/>
      <c r="G35" s="1472"/>
      <c r="H35" s="1472"/>
      <c r="I35" s="1472"/>
      <c r="J35" s="1513"/>
      <c r="K35" s="1475"/>
      <c r="L35" s="1475"/>
      <c r="M35" s="873" t="s">
        <v>1392</v>
      </c>
      <c r="N35" s="107" t="s">
        <v>77</v>
      </c>
      <c r="O35" s="107" t="s">
        <v>77</v>
      </c>
      <c r="P35" s="107" t="s">
        <v>77</v>
      </c>
      <c r="Q35" s="1488"/>
      <c r="R35" s="1472"/>
      <c r="S35" s="1472"/>
      <c r="T35" s="1472"/>
      <c r="U35" s="1472"/>
      <c r="V35" s="107" t="s">
        <v>77</v>
      </c>
      <c r="W35" s="107" t="s">
        <v>77</v>
      </c>
      <c r="X35" s="107" t="s">
        <v>77</v>
      </c>
      <c r="Y35" s="107" t="s">
        <v>77</v>
      </c>
      <c r="Z35" s="107" t="s">
        <v>77</v>
      </c>
      <c r="AA35" s="107" t="s">
        <v>77</v>
      </c>
      <c r="AB35" s="107" t="s">
        <v>77</v>
      </c>
      <c r="AC35" s="107" t="s">
        <v>77</v>
      </c>
      <c r="AD35" s="107" t="s">
        <v>77</v>
      </c>
      <c r="AE35" s="107" t="s">
        <v>77</v>
      </c>
      <c r="AF35" s="107" t="s">
        <v>77</v>
      </c>
      <c r="AG35" s="107" t="s">
        <v>77</v>
      </c>
      <c r="AH35" s="107" t="s">
        <v>77</v>
      </c>
      <c r="AI35" s="107" t="s">
        <v>77</v>
      </c>
      <c r="AJ35" s="107" t="s">
        <v>77</v>
      </c>
      <c r="AK35" s="107" t="s">
        <v>77</v>
      </c>
      <c r="AL35" s="107" t="s">
        <v>77</v>
      </c>
      <c r="AM35" s="107" t="s">
        <v>77</v>
      </c>
    </row>
    <row r="36" spans="1:39" ht="17.25" customHeight="1">
      <c r="A36" s="1472"/>
      <c r="B36" s="1483"/>
      <c r="C36" s="1472"/>
      <c r="D36" s="1488"/>
      <c r="E36" s="1472"/>
      <c r="F36" s="1472"/>
      <c r="G36" s="1472"/>
      <c r="H36" s="1472"/>
      <c r="I36" s="1472"/>
      <c r="J36" s="1513"/>
      <c r="K36" s="1475"/>
      <c r="L36" s="1475"/>
      <c r="M36" s="873" t="s">
        <v>1400</v>
      </c>
      <c r="N36" s="107" t="s">
        <v>77</v>
      </c>
      <c r="O36" s="107" t="s">
        <v>77</v>
      </c>
      <c r="P36" s="107" t="s">
        <v>77</v>
      </c>
      <c r="Q36" s="1488"/>
      <c r="R36" s="1472"/>
      <c r="S36" s="1472"/>
      <c r="T36" s="1472"/>
      <c r="U36" s="1472"/>
      <c r="V36" s="107" t="s">
        <v>77</v>
      </c>
      <c r="W36" s="107" t="s">
        <v>77</v>
      </c>
      <c r="X36" s="107" t="s">
        <v>77</v>
      </c>
      <c r="Y36" s="107" t="s">
        <v>77</v>
      </c>
      <c r="Z36" s="107" t="s">
        <v>77</v>
      </c>
      <c r="AA36" s="107" t="s">
        <v>77</v>
      </c>
      <c r="AB36" s="107" t="s">
        <v>77</v>
      </c>
      <c r="AC36" s="107" t="s">
        <v>77</v>
      </c>
      <c r="AD36" s="107" t="s">
        <v>77</v>
      </c>
      <c r="AE36" s="107" t="s">
        <v>77</v>
      </c>
      <c r="AF36" s="107" t="s">
        <v>77</v>
      </c>
      <c r="AG36" s="107" t="s">
        <v>77</v>
      </c>
      <c r="AH36" s="107" t="s">
        <v>77</v>
      </c>
      <c r="AI36" s="107" t="s">
        <v>77</v>
      </c>
      <c r="AJ36" s="107" t="s">
        <v>77</v>
      </c>
      <c r="AK36" s="107" t="s">
        <v>77</v>
      </c>
      <c r="AL36" s="107" t="s">
        <v>77</v>
      </c>
      <c r="AM36" s="107" t="s">
        <v>77</v>
      </c>
    </row>
    <row r="37" spans="1:39" ht="17.25" customHeight="1">
      <c r="A37" s="1480"/>
      <c r="B37" s="1484"/>
      <c r="C37" s="1480"/>
      <c r="D37" s="1489"/>
      <c r="E37" s="1480"/>
      <c r="F37" s="1480"/>
      <c r="G37" s="1480"/>
      <c r="H37" s="1480"/>
      <c r="I37" s="1480"/>
      <c r="J37" s="1514"/>
      <c r="K37" s="1475"/>
      <c r="L37" s="1475"/>
      <c r="M37" s="873" t="s">
        <v>1401</v>
      </c>
      <c r="N37" s="107" t="s">
        <v>77</v>
      </c>
      <c r="O37" s="107" t="s">
        <v>77</v>
      </c>
      <c r="P37" s="107" t="s">
        <v>77</v>
      </c>
      <c r="Q37" s="1489"/>
      <c r="R37" s="1480"/>
      <c r="S37" s="1480"/>
      <c r="T37" s="1480"/>
      <c r="U37" s="1480"/>
      <c r="V37" s="107" t="s">
        <v>77</v>
      </c>
      <c r="W37" s="107" t="s">
        <v>77</v>
      </c>
      <c r="X37" s="107" t="s">
        <v>77</v>
      </c>
      <c r="Y37" s="107" t="s">
        <v>77</v>
      </c>
      <c r="Z37" s="107" t="s">
        <v>77</v>
      </c>
      <c r="AA37" s="107" t="s">
        <v>77</v>
      </c>
      <c r="AB37" s="107" t="s">
        <v>77</v>
      </c>
      <c r="AC37" s="107" t="s">
        <v>77</v>
      </c>
      <c r="AD37" s="107" t="s">
        <v>77</v>
      </c>
      <c r="AE37" s="107" t="s">
        <v>77</v>
      </c>
      <c r="AF37" s="107" t="s">
        <v>77</v>
      </c>
      <c r="AG37" s="107" t="s">
        <v>77</v>
      </c>
      <c r="AH37" s="107" t="s">
        <v>77</v>
      </c>
      <c r="AI37" s="107" t="s">
        <v>77</v>
      </c>
      <c r="AJ37" s="107" t="s">
        <v>77</v>
      </c>
      <c r="AK37" s="107" t="s">
        <v>77</v>
      </c>
      <c r="AL37" s="107" t="s">
        <v>77</v>
      </c>
      <c r="AM37" s="107" t="s">
        <v>77</v>
      </c>
    </row>
    <row r="38" spans="1:39" ht="90.75">
      <c r="A38" s="1479">
        <v>5</v>
      </c>
      <c r="B38" s="1476" t="s">
        <v>1470</v>
      </c>
      <c r="C38" s="1479" t="s">
        <v>1370</v>
      </c>
      <c r="D38" s="1487" t="s">
        <v>1241</v>
      </c>
      <c r="E38" s="1479" t="s">
        <v>1371</v>
      </c>
      <c r="F38" s="1479"/>
      <c r="G38" s="1479">
        <v>2016</v>
      </c>
      <c r="H38" s="1472" t="s">
        <v>1372</v>
      </c>
      <c r="I38" s="1472">
        <v>1</v>
      </c>
      <c r="J38" s="1513" t="s">
        <v>1373</v>
      </c>
      <c r="K38" s="1475" t="s">
        <v>1471</v>
      </c>
      <c r="L38" s="1477" t="s">
        <v>1472</v>
      </c>
      <c r="M38" s="873" t="s">
        <v>1376</v>
      </c>
      <c r="N38" s="107">
        <v>1</v>
      </c>
      <c r="O38" s="107">
        <v>2</v>
      </c>
      <c r="P38" s="107">
        <v>-1</v>
      </c>
      <c r="Q38" s="1487" t="s">
        <v>1377</v>
      </c>
      <c r="R38" s="1479" t="s">
        <v>77</v>
      </c>
      <c r="S38" s="1479" t="s">
        <v>77</v>
      </c>
      <c r="T38" s="1479" t="s">
        <v>77</v>
      </c>
      <c r="U38" s="1479" t="s">
        <v>1378</v>
      </c>
      <c r="V38" s="881" t="s">
        <v>1473</v>
      </c>
      <c r="W38" s="898" t="s">
        <v>1474</v>
      </c>
      <c r="X38" s="106" t="s">
        <v>77</v>
      </c>
      <c r="Y38" s="105" t="s">
        <v>1475</v>
      </c>
      <c r="Z38" s="881" t="s">
        <v>1387</v>
      </c>
      <c r="AA38" s="881" t="s">
        <v>1476</v>
      </c>
      <c r="AB38" s="899" t="s">
        <v>1477</v>
      </c>
      <c r="AC38" s="106" t="s">
        <v>77</v>
      </c>
      <c r="AD38" s="901" t="s">
        <v>1478</v>
      </c>
      <c r="AE38" s="106" t="s">
        <v>77</v>
      </c>
      <c r="AF38" s="893"/>
      <c r="AG38" s="106" t="s">
        <v>77</v>
      </c>
      <c r="AH38" s="106" t="s">
        <v>77</v>
      </c>
      <c r="AI38" s="893"/>
      <c r="AJ38" s="106" t="s">
        <v>77</v>
      </c>
      <c r="AK38" s="106" t="s">
        <v>77</v>
      </c>
      <c r="AL38" s="893"/>
      <c r="AM38" s="106" t="s">
        <v>77</v>
      </c>
    </row>
    <row r="39" spans="1:39">
      <c r="A39" s="1472"/>
      <c r="B39" s="1483"/>
      <c r="C39" s="1472"/>
      <c r="D39" s="1488"/>
      <c r="E39" s="1472"/>
      <c r="F39" s="1472"/>
      <c r="G39" s="1472"/>
      <c r="H39" s="1472"/>
      <c r="I39" s="1472"/>
      <c r="J39" s="1513"/>
      <c r="K39" s="1475"/>
      <c r="L39" s="1478"/>
      <c r="M39" s="873" t="s">
        <v>1379</v>
      </c>
      <c r="N39" s="107" t="s">
        <v>77</v>
      </c>
      <c r="O39" s="107" t="s">
        <v>77</v>
      </c>
      <c r="P39" s="107" t="s">
        <v>77</v>
      </c>
      <c r="Q39" s="1488"/>
      <c r="R39" s="1472"/>
      <c r="S39" s="1472"/>
      <c r="T39" s="1472"/>
      <c r="U39" s="1472"/>
      <c r="V39" s="106" t="s">
        <v>77</v>
      </c>
      <c r="W39" s="106" t="s">
        <v>77</v>
      </c>
      <c r="X39" s="106" t="s">
        <v>77</v>
      </c>
      <c r="Y39" s="106" t="s">
        <v>77</v>
      </c>
      <c r="Z39" s="106" t="s">
        <v>77</v>
      </c>
      <c r="AA39" s="106" t="s">
        <v>77</v>
      </c>
      <c r="AB39" s="106" t="s">
        <v>77</v>
      </c>
      <c r="AC39" s="106" t="s">
        <v>77</v>
      </c>
      <c r="AD39" s="902" t="s">
        <v>77</v>
      </c>
      <c r="AE39" s="106" t="s">
        <v>77</v>
      </c>
      <c r="AF39" s="106" t="s">
        <v>77</v>
      </c>
      <c r="AG39" s="106" t="s">
        <v>77</v>
      </c>
      <c r="AH39" s="106" t="s">
        <v>77</v>
      </c>
      <c r="AI39" s="106" t="s">
        <v>77</v>
      </c>
      <c r="AJ39" s="106" t="s">
        <v>77</v>
      </c>
      <c r="AK39" s="106" t="s">
        <v>77</v>
      </c>
      <c r="AL39" s="106" t="s">
        <v>77</v>
      </c>
      <c r="AM39" s="106" t="s">
        <v>77</v>
      </c>
    </row>
    <row r="40" spans="1:39">
      <c r="A40" s="1472"/>
      <c r="B40" s="1483"/>
      <c r="C40" s="1472"/>
      <c r="D40" s="1488"/>
      <c r="E40" s="1472"/>
      <c r="F40" s="1472"/>
      <c r="G40" s="1472"/>
      <c r="H40" s="1472"/>
      <c r="I40" s="1472"/>
      <c r="J40" s="1513"/>
      <c r="K40" s="1475"/>
      <c r="L40" s="1478"/>
      <c r="M40" s="873" t="s">
        <v>1380</v>
      </c>
      <c r="N40" s="107" t="s">
        <v>77</v>
      </c>
      <c r="O40" s="107" t="s">
        <v>77</v>
      </c>
      <c r="P40" s="107" t="s">
        <v>77</v>
      </c>
      <c r="Q40" s="1488"/>
      <c r="R40" s="1472"/>
      <c r="S40" s="1472"/>
      <c r="T40" s="1472"/>
      <c r="U40" s="1472"/>
      <c r="V40" s="106" t="s">
        <v>77</v>
      </c>
      <c r="W40" s="106" t="s">
        <v>77</v>
      </c>
      <c r="X40" s="106" t="s">
        <v>77</v>
      </c>
      <c r="Y40" s="106" t="s">
        <v>77</v>
      </c>
      <c r="Z40" s="106" t="s">
        <v>77</v>
      </c>
      <c r="AA40" s="106" t="s">
        <v>77</v>
      </c>
      <c r="AB40" s="106" t="s">
        <v>77</v>
      </c>
      <c r="AC40" s="106" t="s">
        <v>77</v>
      </c>
      <c r="AD40" s="902" t="s">
        <v>77</v>
      </c>
      <c r="AE40" s="106" t="s">
        <v>77</v>
      </c>
      <c r="AF40" s="106" t="s">
        <v>77</v>
      </c>
      <c r="AG40" s="106" t="s">
        <v>77</v>
      </c>
      <c r="AH40" s="106" t="s">
        <v>77</v>
      </c>
      <c r="AI40" s="106" t="s">
        <v>77</v>
      </c>
      <c r="AJ40" s="106" t="s">
        <v>77</v>
      </c>
      <c r="AK40" s="106" t="s">
        <v>77</v>
      </c>
      <c r="AL40" s="106" t="s">
        <v>77</v>
      </c>
      <c r="AM40" s="106" t="s">
        <v>77</v>
      </c>
    </row>
    <row r="41" spans="1:39">
      <c r="A41" s="1472"/>
      <c r="B41" s="1483"/>
      <c r="C41" s="1472"/>
      <c r="D41" s="1488"/>
      <c r="E41" s="1472"/>
      <c r="F41" s="1472"/>
      <c r="G41" s="1472"/>
      <c r="H41" s="1472"/>
      <c r="I41" s="1472"/>
      <c r="J41" s="1513"/>
      <c r="K41" s="1475"/>
      <c r="L41" s="1478"/>
      <c r="M41" s="873" t="s">
        <v>1381</v>
      </c>
      <c r="N41" s="107" t="s">
        <v>77</v>
      </c>
      <c r="O41" s="107" t="s">
        <v>77</v>
      </c>
      <c r="P41" s="107" t="s">
        <v>77</v>
      </c>
      <c r="Q41" s="1488"/>
      <c r="R41" s="1472"/>
      <c r="S41" s="1472"/>
      <c r="T41" s="1472"/>
      <c r="U41" s="1472"/>
      <c r="V41" s="106" t="s">
        <v>77</v>
      </c>
      <c r="W41" s="106" t="s">
        <v>77</v>
      </c>
      <c r="X41" s="106" t="s">
        <v>77</v>
      </c>
      <c r="Y41" s="106" t="s">
        <v>77</v>
      </c>
      <c r="Z41" s="106" t="s">
        <v>77</v>
      </c>
      <c r="AA41" s="106" t="s">
        <v>77</v>
      </c>
      <c r="AB41" s="106" t="s">
        <v>77</v>
      </c>
      <c r="AC41" s="106" t="s">
        <v>77</v>
      </c>
      <c r="AD41" s="902" t="s">
        <v>77</v>
      </c>
      <c r="AE41" s="106" t="s">
        <v>77</v>
      </c>
      <c r="AF41" s="106" t="s">
        <v>77</v>
      </c>
      <c r="AG41" s="106" t="s">
        <v>77</v>
      </c>
      <c r="AH41" s="106" t="s">
        <v>77</v>
      </c>
      <c r="AI41" s="106" t="s">
        <v>77</v>
      </c>
      <c r="AJ41" s="106" t="s">
        <v>77</v>
      </c>
      <c r="AK41" s="106" t="s">
        <v>77</v>
      </c>
      <c r="AL41" s="106" t="s">
        <v>77</v>
      </c>
      <c r="AM41" s="106" t="s">
        <v>77</v>
      </c>
    </row>
    <row r="42" spans="1:39">
      <c r="A42" s="1472"/>
      <c r="B42" s="1483"/>
      <c r="C42" s="1472"/>
      <c r="D42" s="1488"/>
      <c r="E42" s="1472"/>
      <c r="F42" s="1472"/>
      <c r="G42" s="1472"/>
      <c r="H42" s="1472"/>
      <c r="I42" s="1472"/>
      <c r="J42" s="1513"/>
      <c r="K42" s="1475"/>
      <c r="L42" s="1478"/>
      <c r="M42" s="873" t="s">
        <v>1382</v>
      </c>
      <c r="N42" s="107" t="s">
        <v>77</v>
      </c>
      <c r="O42" s="107" t="s">
        <v>77</v>
      </c>
      <c r="P42" s="107" t="s">
        <v>77</v>
      </c>
      <c r="Q42" s="1488"/>
      <c r="R42" s="1472"/>
      <c r="S42" s="1472"/>
      <c r="T42" s="1472"/>
      <c r="U42" s="1472"/>
      <c r="V42" s="106" t="s">
        <v>77</v>
      </c>
      <c r="W42" s="106" t="s">
        <v>77</v>
      </c>
      <c r="X42" s="106" t="s">
        <v>77</v>
      </c>
      <c r="Y42" s="106" t="s">
        <v>77</v>
      </c>
      <c r="Z42" s="106" t="s">
        <v>77</v>
      </c>
      <c r="AA42" s="106" t="s">
        <v>77</v>
      </c>
      <c r="AB42" s="106" t="s">
        <v>77</v>
      </c>
      <c r="AC42" s="106" t="s">
        <v>77</v>
      </c>
      <c r="AD42" s="902" t="s">
        <v>77</v>
      </c>
      <c r="AE42" s="106" t="s">
        <v>77</v>
      </c>
      <c r="AF42" s="106" t="s">
        <v>77</v>
      </c>
      <c r="AG42" s="106" t="s">
        <v>77</v>
      </c>
      <c r="AH42" s="106" t="s">
        <v>77</v>
      </c>
      <c r="AI42" s="106" t="s">
        <v>77</v>
      </c>
      <c r="AJ42" s="106" t="s">
        <v>77</v>
      </c>
      <c r="AK42" s="106" t="s">
        <v>77</v>
      </c>
      <c r="AL42" s="106" t="s">
        <v>77</v>
      </c>
      <c r="AM42" s="106" t="s">
        <v>77</v>
      </c>
    </row>
    <row r="43" spans="1:39" ht="30">
      <c r="A43" s="1472"/>
      <c r="B43" s="1483"/>
      <c r="C43" s="1472"/>
      <c r="D43" s="1488"/>
      <c r="E43" s="1472"/>
      <c r="F43" s="1472"/>
      <c r="G43" s="1472"/>
      <c r="H43" s="1472"/>
      <c r="I43" s="1472"/>
      <c r="J43" s="1513"/>
      <c r="K43" s="1475"/>
      <c r="L43" s="1478"/>
      <c r="M43" s="873" t="s">
        <v>1392</v>
      </c>
      <c r="N43" s="107" t="s">
        <v>77</v>
      </c>
      <c r="O43" s="107" t="s">
        <v>77</v>
      </c>
      <c r="P43" s="107" t="s">
        <v>77</v>
      </c>
      <c r="Q43" s="1488"/>
      <c r="R43" s="1472"/>
      <c r="S43" s="1472"/>
      <c r="T43" s="1472"/>
      <c r="U43" s="1472"/>
      <c r="V43" s="106" t="s">
        <v>77</v>
      </c>
      <c r="W43" s="106" t="s">
        <v>77</v>
      </c>
      <c r="X43" s="106" t="s">
        <v>77</v>
      </c>
      <c r="Y43" s="106" t="s">
        <v>77</v>
      </c>
      <c r="Z43" s="106" t="s">
        <v>77</v>
      </c>
      <c r="AA43" s="106" t="s">
        <v>77</v>
      </c>
      <c r="AB43" s="106" t="s">
        <v>77</v>
      </c>
      <c r="AC43" s="106" t="s">
        <v>77</v>
      </c>
      <c r="AD43" s="902" t="s">
        <v>77</v>
      </c>
      <c r="AE43" s="106" t="s">
        <v>77</v>
      </c>
      <c r="AF43" s="106" t="s">
        <v>77</v>
      </c>
      <c r="AG43" s="106" t="s">
        <v>77</v>
      </c>
      <c r="AH43" s="106" t="s">
        <v>77</v>
      </c>
      <c r="AI43" s="106" t="s">
        <v>77</v>
      </c>
      <c r="AJ43" s="106" t="s">
        <v>77</v>
      </c>
      <c r="AK43" s="106" t="s">
        <v>77</v>
      </c>
      <c r="AL43" s="106" t="s">
        <v>77</v>
      </c>
      <c r="AM43" s="106" t="s">
        <v>77</v>
      </c>
    </row>
    <row r="44" spans="1:39">
      <c r="A44" s="1472"/>
      <c r="B44" s="1483"/>
      <c r="C44" s="1472"/>
      <c r="D44" s="1488"/>
      <c r="E44" s="1472"/>
      <c r="F44" s="1472"/>
      <c r="G44" s="1472"/>
      <c r="H44" s="1472"/>
      <c r="I44" s="1472"/>
      <c r="J44" s="1513"/>
      <c r="K44" s="1475"/>
      <c r="L44" s="1478"/>
      <c r="M44" s="873" t="s">
        <v>1400</v>
      </c>
      <c r="N44" s="107" t="s">
        <v>77</v>
      </c>
      <c r="O44" s="107" t="s">
        <v>77</v>
      </c>
      <c r="P44" s="107" t="s">
        <v>77</v>
      </c>
      <c r="Q44" s="1488"/>
      <c r="R44" s="1472"/>
      <c r="S44" s="1472"/>
      <c r="T44" s="1472"/>
      <c r="U44" s="1472"/>
      <c r="V44" s="106" t="s">
        <v>77</v>
      </c>
      <c r="W44" s="106" t="s">
        <v>77</v>
      </c>
      <c r="X44" s="106" t="s">
        <v>77</v>
      </c>
      <c r="Y44" s="106" t="s">
        <v>77</v>
      </c>
      <c r="Z44" s="106" t="s">
        <v>77</v>
      </c>
      <c r="AA44" s="106" t="s">
        <v>77</v>
      </c>
      <c r="AB44" s="106" t="s">
        <v>77</v>
      </c>
      <c r="AC44" s="106" t="s">
        <v>77</v>
      </c>
      <c r="AD44" s="902" t="s">
        <v>77</v>
      </c>
      <c r="AE44" s="106" t="s">
        <v>77</v>
      </c>
      <c r="AF44" s="106" t="s">
        <v>77</v>
      </c>
      <c r="AG44" s="106" t="s">
        <v>77</v>
      </c>
      <c r="AH44" s="106" t="s">
        <v>77</v>
      </c>
      <c r="AI44" s="106" t="s">
        <v>77</v>
      </c>
      <c r="AJ44" s="106" t="s">
        <v>77</v>
      </c>
      <c r="AK44" s="106" t="s">
        <v>77</v>
      </c>
      <c r="AL44" s="106" t="s">
        <v>77</v>
      </c>
      <c r="AM44" s="106" t="s">
        <v>77</v>
      </c>
    </row>
    <row r="45" spans="1:39">
      <c r="A45" s="1480"/>
      <c r="B45" s="1484"/>
      <c r="C45" s="1480"/>
      <c r="D45" s="1489"/>
      <c r="E45" s="1480"/>
      <c r="F45" s="1480"/>
      <c r="G45" s="1480"/>
      <c r="H45" s="1480"/>
      <c r="I45" s="1480"/>
      <c r="J45" s="1514"/>
      <c r="K45" s="1475"/>
      <c r="L45" s="1500"/>
      <c r="M45" s="873" t="s">
        <v>1401</v>
      </c>
      <c r="N45" s="107" t="s">
        <v>77</v>
      </c>
      <c r="O45" s="107" t="s">
        <v>77</v>
      </c>
      <c r="P45" s="107" t="s">
        <v>77</v>
      </c>
      <c r="Q45" s="1489"/>
      <c r="R45" s="1480"/>
      <c r="S45" s="1480"/>
      <c r="T45" s="1480"/>
      <c r="U45" s="1480"/>
      <c r="V45" s="106" t="s">
        <v>77</v>
      </c>
      <c r="W45" s="106" t="s">
        <v>77</v>
      </c>
      <c r="X45" s="106" t="s">
        <v>77</v>
      </c>
      <c r="Y45" s="106" t="s">
        <v>77</v>
      </c>
      <c r="Z45" s="106" t="s">
        <v>77</v>
      </c>
      <c r="AA45" s="106" t="s">
        <v>77</v>
      </c>
      <c r="AB45" s="106" t="s">
        <v>77</v>
      </c>
      <c r="AC45" s="106" t="s">
        <v>77</v>
      </c>
      <c r="AD45" s="902" t="s">
        <v>77</v>
      </c>
      <c r="AE45" s="106" t="s">
        <v>77</v>
      </c>
      <c r="AF45" s="106" t="s">
        <v>77</v>
      </c>
      <c r="AG45" s="106" t="s">
        <v>77</v>
      </c>
      <c r="AH45" s="106" t="s">
        <v>77</v>
      </c>
      <c r="AI45" s="106" t="s">
        <v>77</v>
      </c>
      <c r="AJ45" s="106" t="s">
        <v>77</v>
      </c>
      <c r="AK45" s="106" t="s">
        <v>77</v>
      </c>
      <c r="AL45" s="106" t="s">
        <v>77</v>
      </c>
      <c r="AM45" s="106" t="s">
        <v>77</v>
      </c>
    </row>
    <row r="46" spans="1:39" ht="106.5">
      <c r="A46" s="1479">
        <v>6</v>
      </c>
      <c r="B46" s="1476" t="s">
        <v>1479</v>
      </c>
      <c r="C46" s="1479" t="s">
        <v>1416</v>
      </c>
      <c r="D46" s="1487" t="s">
        <v>1246</v>
      </c>
      <c r="E46" s="1479" t="s">
        <v>1371</v>
      </c>
      <c r="F46" s="1479"/>
      <c r="G46" s="1479">
        <v>2024</v>
      </c>
      <c r="H46" s="1472" t="s">
        <v>1372</v>
      </c>
      <c r="I46" s="1472">
        <v>5</v>
      </c>
      <c r="J46" s="1473" t="s">
        <v>1480</v>
      </c>
      <c r="K46" s="1474" t="s">
        <v>1481</v>
      </c>
      <c r="L46" s="1477" t="s">
        <v>1482</v>
      </c>
      <c r="M46" s="105" t="s">
        <v>1376</v>
      </c>
      <c r="N46" s="104" t="s">
        <v>77</v>
      </c>
      <c r="O46" s="104" t="s">
        <v>77</v>
      </c>
      <c r="P46" s="104" t="s">
        <v>77</v>
      </c>
      <c r="Q46" s="1487" t="s">
        <v>1377</v>
      </c>
      <c r="R46" s="1479">
        <v>2</v>
      </c>
      <c r="S46" s="1479">
        <v>1</v>
      </c>
      <c r="T46" s="1479">
        <v>-1</v>
      </c>
      <c r="U46" s="1479" t="s">
        <v>1378</v>
      </c>
      <c r="V46" s="881" t="s">
        <v>1483</v>
      </c>
      <c r="W46" s="881" t="s">
        <v>1484</v>
      </c>
      <c r="X46" s="881" t="s">
        <v>1485</v>
      </c>
      <c r="Y46" s="881" t="s">
        <v>1486</v>
      </c>
      <c r="Z46" s="881" t="s">
        <v>1387</v>
      </c>
      <c r="AA46" s="881" t="s">
        <v>1425</v>
      </c>
      <c r="AB46" s="881"/>
      <c r="AC46" s="881"/>
      <c r="AD46" s="881"/>
      <c r="AE46" s="881"/>
      <c r="AF46" s="881"/>
      <c r="AG46" s="881"/>
      <c r="AH46" s="881"/>
      <c r="AI46" s="881"/>
      <c r="AJ46" s="881"/>
      <c r="AK46" s="881"/>
      <c r="AL46" s="881"/>
      <c r="AM46" s="881"/>
    </row>
    <row r="47" spans="1:39">
      <c r="A47" s="1472"/>
      <c r="B47" s="1483"/>
      <c r="C47" s="1472"/>
      <c r="D47" s="1488"/>
      <c r="E47" s="1472"/>
      <c r="F47" s="1472"/>
      <c r="G47" s="1472"/>
      <c r="H47" s="1472"/>
      <c r="I47" s="1472"/>
      <c r="J47" s="1473"/>
      <c r="K47" s="1475"/>
      <c r="L47" s="1478"/>
      <c r="M47" s="873" t="s">
        <v>1379</v>
      </c>
      <c r="N47" s="107" t="s">
        <v>77</v>
      </c>
      <c r="O47" s="107" t="s">
        <v>77</v>
      </c>
      <c r="P47" s="107" t="s">
        <v>77</v>
      </c>
      <c r="Q47" s="1488"/>
      <c r="R47" s="1472"/>
      <c r="S47" s="1472"/>
      <c r="T47" s="1472"/>
      <c r="U47" s="1472"/>
      <c r="V47" s="106" t="s">
        <v>77</v>
      </c>
      <c r="W47" s="106" t="s">
        <v>77</v>
      </c>
      <c r="X47" s="106" t="s">
        <v>77</v>
      </c>
      <c r="Y47" s="106" t="s">
        <v>77</v>
      </c>
      <c r="Z47" s="106" t="s">
        <v>77</v>
      </c>
      <c r="AA47" s="106" t="s">
        <v>77</v>
      </c>
      <c r="AB47" s="106" t="s">
        <v>77</v>
      </c>
      <c r="AC47" s="106" t="s">
        <v>77</v>
      </c>
      <c r="AD47" s="106" t="s">
        <v>77</v>
      </c>
      <c r="AE47" s="106" t="s">
        <v>77</v>
      </c>
      <c r="AF47" s="106" t="s">
        <v>77</v>
      </c>
      <c r="AG47" s="106" t="s">
        <v>77</v>
      </c>
      <c r="AH47" s="106" t="s">
        <v>77</v>
      </c>
      <c r="AI47" s="106" t="s">
        <v>77</v>
      </c>
      <c r="AJ47" s="106" t="s">
        <v>77</v>
      </c>
      <c r="AK47" s="106" t="s">
        <v>77</v>
      </c>
      <c r="AL47" s="106" t="s">
        <v>77</v>
      </c>
      <c r="AM47" s="106" t="s">
        <v>77</v>
      </c>
    </row>
    <row r="48" spans="1:39">
      <c r="A48" s="1472"/>
      <c r="B48" s="1483"/>
      <c r="C48" s="1472"/>
      <c r="D48" s="1488"/>
      <c r="E48" s="1472"/>
      <c r="F48" s="1472"/>
      <c r="G48" s="1472"/>
      <c r="H48" s="1472"/>
      <c r="I48" s="1472"/>
      <c r="J48" s="1473"/>
      <c r="K48" s="1475"/>
      <c r="L48" s="1478"/>
      <c r="M48" s="873" t="s">
        <v>1380</v>
      </c>
      <c r="N48" s="107" t="s">
        <v>77</v>
      </c>
      <c r="O48" s="107" t="s">
        <v>77</v>
      </c>
      <c r="P48" s="107" t="s">
        <v>77</v>
      </c>
      <c r="Q48" s="1488"/>
      <c r="R48" s="1472"/>
      <c r="S48" s="1472"/>
      <c r="T48" s="1472"/>
      <c r="U48" s="1472"/>
      <c r="V48" s="106" t="s">
        <v>77</v>
      </c>
      <c r="W48" s="106" t="s">
        <v>77</v>
      </c>
      <c r="X48" s="106" t="s">
        <v>77</v>
      </c>
      <c r="Y48" s="106" t="s">
        <v>77</v>
      </c>
      <c r="Z48" s="106" t="s">
        <v>77</v>
      </c>
      <c r="AA48" s="106" t="s">
        <v>77</v>
      </c>
      <c r="AB48" s="106" t="s">
        <v>77</v>
      </c>
      <c r="AC48" s="106" t="s">
        <v>77</v>
      </c>
      <c r="AD48" s="106" t="s">
        <v>77</v>
      </c>
      <c r="AE48" s="106" t="s">
        <v>77</v>
      </c>
      <c r="AF48" s="106" t="s">
        <v>77</v>
      </c>
      <c r="AG48" s="106" t="s">
        <v>77</v>
      </c>
      <c r="AH48" s="106" t="s">
        <v>77</v>
      </c>
      <c r="AI48" s="106" t="s">
        <v>77</v>
      </c>
      <c r="AJ48" s="106" t="s">
        <v>77</v>
      </c>
      <c r="AK48" s="106" t="s">
        <v>77</v>
      </c>
      <c r="AL48" s="106" t="s">
        <v>77</v>
      </c>
      <c r="AM48" s="106" t="s">
        <v>77</v>
      </c>
    </row>
    <row r="49" spans="1:39" ht="90.75">
      <c r="A49" s="1472"/>
      <c r="B49" s="1483"/>
      <c r="C49" s="1472"/>
      <c r="D49" s="1488"/>
      <c r="E49" s="1472"/>
      <c r="F49" s="1472"/>
      <c r="G49" s="1472"/>
      <c r="H49" s="1472"/>
      <c r="I49" s="1472"/>
      <c r="J49" s="1473"/>
      <c r="K49" s="1475"/>
      <c r="L49" s="1478"/>
      <c r="M49" s="873" t="s">
        <v>1381</v>
      </c>
      <c r="N49" s="107">
        <v>2</v>
      </c>
      <c r="O49" s="107">
        <v>1</v>
      </c>
      <c r="P49" s="107">
        <v>-1</v>
      </c>
      <c r="Q49" s="1488"/>
      <c r="R49" s="1472"/>
      <c r="S49" s="1472"/>
      <c r="T49" s="1472"/>
      <c r="U49" s="1472"/>
      <c r="V49" s="881" t="s">
        <v>1437</v>
      </c>
      <c r="W49" s="881" t="s">
        <v>1438</v>
      </c>
      <c r="X49" s="881" t="s">
        <v>1439</v>
      </c>
      <c r="Y49" s="881" t="s">
        <v>1440</v>
      </c>
      <c r="Z49" s="881" t="s">
        <v>1387</v>
      </c>
      <c r="AA49" s="881" t="s">
        <v>1431</v>
      </c>
      <c r="AB49" s="881"/>
      <c r="AC49" s="881"/>
      <c r="AD49" s="881"/>
      <c r="AE49" s="881"/>
      <c r="AF49" s="881"/>
      <c r="AG49" s="881"/>
      <c r="AH49" s="881"/>
      <c r="AI49" s="881"/>
      <c r="AJ49" s="881"/>
      <c r="AK49" s="881"/>
      <c r="AL49" s="881"/>
      <c r="AM49" s="881"/>
    </row>
    <row r="50" spans="1:39" ht="121.5">
      <c r="A50" s="1472"/>
      <c r="B50" s="1483"/>
      <c r="C50" s="1472"/>
      <c r="D50" s="1488"/>
      <c r="E50" s="1472"/>
      <c r="F50" s="1472"/>
      <c r="G50" s="1472"/>
      <c r="H50" s="1472"/>
      <c r="I50" s="1472"/>
      <c r="J50" s="1473"/>
      <c r="K50" s="1475"/>
      <c r="L50" s="1478"/>
      <c r="M50" s="873" t="s">
        <v>1382</v>
      </c>
      <c r="N50" s="107">
        <v>2</v>
      </c>
      <c r="O50" s="107">
        <v>1</v>
      </c>
      <c r="P50" s="107">
        <v>-1</v>
      </c>
      <c r="Q50" s="1488"/>
      <c r="R50" s="1472"/>
      <c r="S50" s="1472"/>
      <c r="T50" s="1472"/>
      <c r="U50" s="1472"/>
      <c r="V50" s="881" t="s">
        <v>1442</v>
      </c>
      <c r="W50" s="894" t="s">
        <v>1443</v>
      </c>
      <c r="X50" s="881" t="s">
        <v>1444</v>
      </c>
      <c r="Y50" s="881" t="s">
        <v>1445</v>
      </c>
      <c r="Z50" s="881" t="s">
        <v>1387</v>
      </c>
      <c r="AA50" s="881" t="s">
        <v>1487</v>
      </c>
      <c r="AB50" s="881"/>
      <c r="AC50" s="881"/>
      <c r="AD50" s="881"/>
      <c r="AE50" s="881"/>
      <c r="AF50" s="881"/>
      <c r="AG50" s="881"/>
      <c r="AH50" s="881"/>
      <c r="AI50" s="881"/>
      <c r="AJ50" s="881"/>
      <c r="AK50" s="881"/>
      <c r="AL50" s="881"/>
      <c r="AM50" s="881"/>
    </row>
    <row r="51" spans="1:39" ht="30">
      <c r="A51" s="1472"/>
      <c r="B51" s="1483"/>
      <c r="C51" s="1472"/>
      <c r="D51" s="1488"/>
      <c r="E51" s="1472"/>
      <c r="F51" s="1472"/>
      <c r="G51" s="1472"/>
      <c r="H51" s="1472"/>
      <c r="I51" s="1472"/>
      <c r="J51" s="1473"/>
      <c r="K51" s="1475"/>
      <c r="L51" s="1478"/>
      <c r="M51" s="873" t="s">
        <v>1392</v>
      </c>
      <c r="N51" s="107" t="s">
        <v>77</v>
      </c>
      <c r="O51" s="107" t="s">
        <v>77</v>
      </c>
      <c r="P51" s="107" t="s">
        <v>77</v>
      </c>
      <c r="Q51" s="1488"/>
      <c r="R51" s="1472"/>
      <c r="S51" s="1472"/>
      <c r="T51" s="1472"/>
      <c r="U51" s="1472"/>
      <c r="V51" s="106" t="s">
        <v>77</v>
      </c>
      <c r="W51" s="106" t="s">
        <v>77</v>
      </c>
      <c r="X51" s="106" t="s">
        <v>77</v>
      </c>
      <c r="Y51" s="106" t="s">
        <v>77</v>
      </c>
      <c r="Z51" s="106" t="s">
        <v>77</v>
      </c>
      <c r="AA51" s="106" t="s">
        <v>77</v>
      </c>
      <c r="AB51" s="106" t="s">
        <v>77</v>
      </c>
      <c r="AC51" s="106" t="s">
        <v>77</v>
      </c>
      <c r="AD51" s="106" t="s">
        <v>77</v>
      </c>
      <c r="AE51" s="106" t="s">
        <v>77</v>
      </c>
      <c r="AF51" s="106" t="s">
        <v>77</v>
      </c>
      <c r="AG51" s="106" t="s">
        <v>77</v>
      </c>
      <c r="AH51" s="106" t="s">
        <v>77</v>
      </c>
      <c r="AI51" s="106" t="s">
        <v>77</v>
      </c>
      <c r="AJ51" s="106" t="s">
        <v>77</v>
      </c>
      <c r="AK51" s="106" t="s">
        <v>77</v>
      </c>
      <c r="AL51" s="106" t="s">
        <v>77</v>
      </c>
      <c r="AM51" s="106" t="s">
        <v>77</v>
      </c>
    </row>
    <row r="52" spans="1:39" ht="122.25" customHeight="1">
      <c r="A52" s="1472"/>
      <c r="B52" s="1483"/>
      <c r="C52" s="1472"/>
      <c r="D52" s="1488"/>
      <c r="E52" s="1472"/>
      <c r="F52" s="1472"/>
      <c r="G52" s="1472"/>
      <c r="H52" s="1472"/>
      <c r="I52" s="1472"/>
      <c r="J52" s="1473"/>
      <c r="K52" s="1475"/>
      <c r="L52" s="1478"/>
      <c r="M52" s="873" t="s">
        <v>1400</v>
      </c>
      <c r="N52" s="107">
        <v>2</v>
      </c>
      <c r="O52" s="107">
        <v>1</v>
      </c>
      <c r="P52" s="107">
        <v>-1</v>
      </c>
      <c r="Q52" s="1488"/>
      <c r="R52" s="1472"/>
      <c r="S52" s="1472"/>
      <c r="T52" s="1472"/>
      <c r="U52" s="1472"/>
      <c r="V52" s="881" t="s">
        <v>1452</v>
      </c>
      <c r="W52" s="881" t="s">
        <v>1453</v>
      </c>
      <c r="X52" s="881" t="s">
        <v>1454</v>
      </c>
      <c r="Y52" s="881" t="s">
        <v>1455</v>
      </c>
      <c r="Z52" s="881" t="s">
        <v>1387</v>
      </c>
      <c r="AA52" s="881" t="s">
        <v>1451</v>
      </c>
      <c r="AB52" s="881"/>
      <c r="AC52" s="881"/>
      <c r="AD52" s="881"/>
      <c r="AE52" s="881"/>
      <c r="AF52" s="881"/>
      <c r="AG52" s="881"/>
      <c r="AH52" s="881"/>
      <c r="AI52" s="881"/>
      <c r="AJ52" s="881"/>
      <c r="AK52" s="881"/>
      <c r="AL52" s="881"/>
      <c r="AM52" s="881"/>
    </row>
    <row r="53" spans="1:39" ht="90.75">
      <c r="A53" s="1480"/>
      <c r="B53" s="1484"/>
      <c r="C53" s="1480"/>
      <c r="D53" s="1489"/>
      <c r="E53" s="1472"/>
      <c r="F53" s="1472"/>
      <c r="G53" s="1472"/>
      <c r="H53" s="1472"/>
      <c r="I53" s="1472"/>
      <c r="J53" s="1473"/>
      <c r="K53" s="1476"/>
      <c r="L53" s="1478"/>
      <c r="M53" s="873" t="s">
        <v>1401</v>
      </c>
      <c r="N53" s="107">
        <v>2</v>
      </c>
      <c r="O53" s="107">
        <v>1</v>
      </c>
      <c r="P53" s="107">
        <v>-1</v>
      </c>
      <c r="Q53" s="1488"/>
      <c r="R53" s="1472"/>
      <c r="S53" s="1472"/>
      <c r="T53" s="1472"/>
      <c r="U53" s="1472"/>
      <c r="V53" s="881" t="s">
        <v>1456</v>
      </c>
      <c r="W53" s="881" t="s">
        <v>1457</v>
      </c>
      <c r="X53" s="881" t="s">
        <v>1458</v>
      </c>
      <c r="Y53" s="881" t="s">
        <v>1455</v>
      </c>
      <c r="Z53" s="881" t="s">
        <v>1387</v>
      </c>
      <c r="AA53" s="881" t="s">
        <v>1459</v>
      </c>
      <c r="AB53" s="881"/>
      <c r="AC53" s="881"/>
      <c r="AD53" s="881"/>
      <c r="AE53" s="881"/>
      <c r="AF53" s="881"/>
      <c r="AG53" s="881"/>
      <c r="AH53" s="881"/>
      <c r="AI53" s="881"/>
      <c r="AJ53" s="881"/>
      <c r="AK53" s="881"/>
      <c r="AL53" s="881"/>
      <c r="AM53" s="881"/>
    </row>
    <row r="54" spans="1:39" ht="243.75">
      <c r="A54" s="1479">
        <v>7</v>
      </c>
      <c r="B54" s="1476" t="s">
        <v>1488</v>
      </c>
      <c r="C54" s="1479" t="s">
        <v>1489</v>
      </c>
      <c r="D54" s="1495" t="s">
        <v>130</v>
      </c>
      <c r="E54" s="1486" t="s">
        <v>1371</v>
      </c>
      <c r="F54" s="1486"/>
      <c r="G54" s="1486">
        <v>2020</v>
      </c>
      <c r="H54" s="1486" t="s">
        <v>1372</v>
      </c>
      <c r="I54" s="1486">
        <v>8</v>
      </c>
      <c r="J54" s="1491" t="s">
        <v>1417</v>
      </c>
      <c r="K54" s="1474" t="s">
        <v>1490</v>
      </c>
      <c r="L54" s="1474" t="s">
        <v>1419</v>
      </c>
      <c r="M54" s="1454" t="s">
        <v>1376</v>
      </c>
      <c r="N54" s="104">
        <v>2</v>
      </c>
      <c r="O54" s="104">
        <v>1</v>
      </c>
      <c r="P54" s="1460">
        <v>-1</v>
      </c>
      <c r="Q54" s="1498" t="s">
        <v>1377</v>
      </c>
      <c r="R54" s="1486">
        <v>2</v>
      </c>
      <c r="S54" s="1486">
        <v>1</v>
      </c>
      <c r="T54" s="1486">
        <v>-1</v>
      </c>
      <c r="U54" s="1486" t="s">
        <v>1378</v>
      </c>
      <c r="V54" s="1463" t="s">
        <v>1491</v>
      </c>
      <c r="W54" s="894" t="s">
        <v>1492</v>
      </c>
      <c r="X54" s="894" t="s">
        <v>1422</v>
      </c>
      <c r="Y54" s="894" t="s">
        <v>1423</v>
      </c>
      <c r="Z54" s="881" t="s">
        <v>1387</v>
      </c>
      <c r="AA54" s="881" t="s">
        <v>1425</v>
      </c>
    </row>
    <row r="55" spans="1:39" ht="90.75">
      <c r="A55" s="1472"/>
      <c r="B55" s="1483"/>
      <c r="C55" s="1472"/>
      <c r="D55" s="1496"/>
      <c r="E55" s="1486"/>
      <c r="F55" s="1486"/>
      <c r="G55" s="1486"/>
      <c r="H55" s="1486"/>
      <c r="I55" s="1486"/>
      <c r="J55" s="1491"/>
      <c r="K55" s="1475"/>
      <c r="L55" s="1475"/>
      <c r="M55" s="1455" t="s">
        <v>1379</v>
      </c>
      <c r="N55" s="107">
        <v>2</v>
      </c>
      <c r="O55" s="107">
        <v>1</v>
      </c>
      <c r="P55" s="1461">
        <v>-1</v>
      </c>
      <c r="Q55" s="1498"/>
      <c r="R55" s="1486"/>
      <c r="S55" s="1486"/>
      <c r="T55" s="1486"/>
      <c r="U55" s="1486"/>
      <c r="V55" s="896" t="s">
        <v>1426</v>
      </c>
      <c r="W55" s="881" t="s">
        <v>1427</v>
      </c>
      <c r="X55" s="881" t="s">
        <v>1428</v>
      </c>
      <c r="Y55" s="881" t="s">
        <v>1429</v>
      </c>
      <c r="Z55" s="881" t="s">
        <v>1387</v>
      </c>
      <c r="AA55" s="881" t="s">
        <v>1431</v>
      </c>
    </row>
    <row r="56" spans="1:39">
      <c r="A56" s="1472"/>
      <c r="B56" s="1483"/>
      <c r="C56" s="1472"/>
      <c r="D56" s="1496"/>
      <c r="E56" s="1486"/>
      <c r="F56" s="1486"/>
      <c r="G56" s="1486"/>
      <c r="H56" s="1486"/>
      <c r="I56" s="1486"/>
      <c r="J56" s="1491"/>
      <c r="K56" s="1475"/>
      <c r="L56" s="1475"/>
      <c r="M56" s="1452" t="s">
        <v>1380</v>
      </c>
      <c r="N56" s="107" t="s">
        <v>77</v>
      </c>
      <c r="O56" s="107" t="s">
        <v>77</v>
      </c>
      <c r="P56" s="1443" t="s">
        <v>77</v>
      </c>
      <c r="Q56" s="1498"/>
      <c r="R56" s="1486"/>
      <c r="S56" s="1486"/>
      <c r="T56" s="1486"/>
      <c r="U56" s="1486"/>
      <c r="V56" s="1464" t="s">
        <v>77</v>
      </c>
      <c r="W56" s="107" t="s">
        <v>77</v>
      </c>
      <c r="X56" s="107" t="s">
        <v>77</v>
      </c>
      <c r="Y56" s="107" t="s">
        <v>77</v>
      </c>
      <c r="Z56" s="107" t="s">
        <v>77</v>
      </c>
      <c r="AA56" s="107" t="s">
        <v>77</v>
      </c>
      <c r="AB56" s="107" t="s">
        <v>77</v>
      </c>
      <c r="AC56" s="107" t="s">
        <v>77</v>
      </c>
      <c r="AD56" s="107" t="s">
        <v>77</v>
      </c>
      <c r="AE56" s="107" t="s">
        <v>77</v>
      </c>
      <c r="AF56" s="107" t="s">
        <v>77</v>
      </c>
      <c r="AG56" s="107" t="s">
        <v>77</v>
      </c>
      <c r="AH56" s="107" t="s">
        <v>77</v>
      </c>
      <c r="AI56" s="107" t="s">
        <v>77</v>
      </c>
      <c r="AJ56" s="107" t="s">
        <v>77</v>
      </c>
      <c r="AK56" s="107" t="s">
        <v>77</v>
      </c>
      <c r="AL56" s="107" t="s">
        <v>77</v>
      </c>
      <c r="AM56" s="107" t="s">
        <v>77</v>
      </c>
    </row>
    <row r="57" spans="1:39" ht="90.75">
      <c r="A57" s="1472"/>
      <c r="B57" s="1483"/>
      <c r="C57" s="1472"/>
      <c r="D57" s="1496"/>
      <c r="E57" s="1486"/>
      <c r="F57" s="1486"/>
      <c r="G57" s="1486"/>
      <c r="H57" s="1486"/>
      <c r="I57" s="1486"/>
      <c r="J57" s="1491"/>
      <c r="K57" s="1475"/>
      <c r="L57" s="1475"/>
      <c r="M57" s="1452" t="s">
        <v>1381</v>
      </c>
      <c r="N57" s="107">
        <v>2</v>
      </c>
      <c r="O57" s="107">
        <v>1</v>
      </c>
      <c r="P57" s="1443">
        <v>-1</v>
      </c>
      <c r="Q57" s="1498"/>
      <c r="R57" s="1486"/>
      <c r="S57" s="1486"/>
      <c r="T57" s="1486"/>
      <c r="U57" s="1486"/>
      <c r="V57" s="896" t="s">
        <v>1437</v>
      </c>
      <c r="W57" s="881" t="s">
        <v>1438</v>
      </c>
      <c r="X57" s="881" t="s">
        <v>1439</v>
      </c>
      <c r="Y57" s="881" t="s">
        <v>1440</v>
      </c>
      <c r="Z57" s="881" t="s">
        <v>1430</v>
      </c>
      <c r="AA57" s="881" t="s">
        <v>1431</v>
      </c>
    </row>
    <row r="58" spans="1:39" ht="121.5">
      <c r="A58" s="1472"/>
      <c r="B58" s="1483"/>
      <c r="C58" s="1472"/>
      <c r="D58" s="1496"/>
      <c r="E58" s="1486"/>
      <c r="F58" s="1486"/>
      <c r="G58" s="1486"/>
      <c r="H58" s="1486"/>
      <c r="I58" s="1486"/>
      <c r="J58" s="1491"/>
      <c r="K58" s="1475"/>
      <c r="L58" s="1475"/>
      <c r="M58" s="1452" t="s">
        <v>1382</v>
      </c>
      <c r="N58" s="107">
        <v>2</v>
      </c>
      <c r="O58" s="107">
        <v>1</v>
      </c>
      <c r="P58" s="1443">
        <v>-1</v>
      </c>
      <c r="Q58" s="1498"/>
      <c r="R58" s="1486"/>
      <c r="S58" s="1486"/>
      <c r="T58" s="1486"/>
      <c r="U58" s="1486"/>
      <c r="V58" s="896" t="s">
        <v>1442</v>
      </c>
      <c r="W58" s="894" t="s">
        <v>1443</v>
      </c>
      <c r="X58" s="881" t="s">
        <v>1444</v>
      </c>
      <c r="Y58" s="881" t="s">
        <v>1445</v>
      </c>
      <c r="Z58" s="881" t="s">
        <v>1430</v>
      </c>
      <c r="AA58" s="881" t="s">
        <v>1487</v>
      </c>
    </row>
    <row r="59" spans="1:39" ht="90.75">
      <c r="A59" s="1472"/>
      <c r="B59" s="1483"/>
      <c r="C59" s="1472"/>
      <c r="D59" s="1496"/>
      <c r="E59" s="1486"/>
      <c r="F59" s="1486"/>
      <c r="G59" s="1486"/>
      <c r="H59" s="1486"/>
      <c r="I59" s="1486"/>
      <c r="J59" s="1491"/>
      <c r="K59" s="1475"/>
      <c r="L59" s="1475"/>
      <c r="M59" s="1452" t="s">
        <v>1392</v>
      </c>
      <c r="N59" s="107">
        <v>2</v>
      </c>
      <c r="O59" s="107">
        <v>1</v>
      </c>
      <c r="P59" s="1443">
        <v>-1</v>
      </c>
      <c r="Q59" s="1498"/>
      <c r="R59" s="1486"/>
      <c r="S59" s="1486"/>
      <c r="T59" s="1486"/>
      <c r="U59" s="1486"/>
      <c r="V59" s="896" t="s">
        <v>1447</v>
      </c>
      <c r="W59" s="881" t="s">
        <v>1448</v>
      </c>
      <c r="X59" s="881" t="s">
        <v>1449</v>
      </c>
      <c r="Y59" s="881" t="s">
        <v>1450</v>
      </c>
      <c r="Z59" s="881" t="s">
        <v>1430</v>
      </c>
      <c r="AA59" s="881" t="s">
        <v>1451</v>
      </c>
    </row>
    <row r="60" spans="1:39" ht="106.5">
      <c r="A60" s="1472"/>
      <c r="B60" s="1483"/>
      <c r="C60" s="1472"/>
      <c r="D60" s="1496"/>
      <c r="E60" s="1486"/>
      <c r="F60" s="1486"/>
      <c r="G60" s="1486"/>
      <c r="H60" s="1486"/>
      <c r="I60" s="1486"/>
      <c r="J60" s="1491"/>
      <c r="K60" s="1475"/>
      <c r="L60" s="1475"/>
      <c r="M60" s="1455" t="s">
        <v>1400</v>
      </c>
      <c r="N60" s="107">
        <v>2</v>
      </c>
      <c r="O60" s="107">
        <v>1</v>
      </c>
      <c r="P60" s="1461">
        <v>-1</v>
      </c>
      <c r="Q60" s="1498"/>
      <c r="R60" s="1486"/>
      <c r="S60" s="1486"/>
      <c r="T60" s="1486"/>
      <c r="U60" s="1486"/>
      <c r="V60" s="896" t="s">
        <v>1452</v>
      </c>
      <c r="W60" s="881" t="s">
        <v>1453</v>
      </c>
      <c r="X60" s="881" t="s">
        <v>1454</v>
      </c>
      <c r="Y60" s="881" t="s">
        <v>1455</v>
      </c>
      <c r="Z60" s="881" t="s">
        <v>1387</v>
      </c>
      <c r="AA60" s="881" t="s">
        <v>1451</v>
      </c>
    </row>
    <row r="61" spans="1:39" ht="90.75">
      <c r="A61" s="1480"/>
      <c r="B61" s="1484"/>
      <c r="C61" s="1480"/>
      <c r="D61" s="1497"/>
      <c r="E61" s="1486"/>
      <c r="F61" s="1486"/>
      <c r="G61" s="1486"/>
      <c r="H61" s="1486"/>
      <c r="I61" s="1486"/>
      <c r="J61" s="1491"/>
      <c r="K61" s="1475"/>
      <c r="L61" s="1475"/>
      <c r="M61" s="1456" t="s">
        <v>1401</v>
      </c>
      <c r="N61" s="903">
        <v>2</v>
      </c>
      <c r="O61" s="903">
        <v>1</v>
      </c>
      <c r="P61" s="1462">
        <v>-1</v>
      </c>
      <c r="Q61" s="1498"/>
      <c r="R61" s="1486"/>
      <c r="S61" s="1486"/>
      <c r="T61" s="1486"/>
      <c r="U61" s="1486"/>
      <c r="V61" s="896" t="s">
        <v>1456</v>
      </c>
      <c r="W61" s="881" t="s">
        <v>1457</v>
      </c>
      <c r="X61" s="881" t="s">
        <v>1458</v>
      </c>
      <c r="Y61" s="881" t="s">
        <v>1455</v>
      </c>
      <c r="Z61" s="885" t="s">
        <v>1430</v>
      </c>
      <c r="AA61" s="881" t="s">
        <v>1459</v>
      </c>
    </row>
    <row r="62" spans="1:39" ht="201.75">
      <c r="A62" s="1479">
        <v>8</v>
      </c>
      <c r="B62" s="1476" t="s">
        <v>1493</v>
      </c>
      <c r="C62" s="1479" t="s">
        <v>1416</v>
      </c>
      <c r="D62" s="1495" t="s">
        <v>13</v>
      </c>
      <c r="E62" s="1480" t="s">
        <v>1371</v>
      </c>
      <c r="F62" s="1480"/>
      <c r="G62" s="1480">
        <v>2019</v>
      </c>
      <c r="H62" s="1480" t="s">
        <v>1372</v>
      </c>
      <c r="I62" s="1480">
        <v>9</v>
      </c>
      <c r="J62" s="1526" t="s">
        <v>1417</v>
      </c>
      <c r="K62" s="1434" t="s">
        <v>1494</v>
      </c>
      <c r="L62" s="1457" t="s">
        <v>1495</v>
      </c>
      <c r="M62" s="1465" t="s">
        <v>1376</v>
      </c>
      <c r="N62" s="104">
        <v>2</v>
      </c>
      <c r="O62" s="104">
        <v>1</v>
      </c>
      <c r="P62" s="1466">
        <v>-1</v>
      </c>
      <c r="Q62" s="1489" t="s">
        <v>1377</v>
      </c>
      <c r="R62" s="1480">
        <v>2</v>
      </c>
      <c r="S62" s="1480">
        <v>1</v>
      </c>
      <c r="T62" s="1480">
        <v>-1</v>
      </c>
      <c r="U62" s="1480" t="s">
        <v>1378</v>
      </c>
      <c r="V62" s="1453" t="s">
        <v>1496</v>
      </c>
      <c r="W62" s="905" t="s">
        <v>1497</v>
      </c>
      <c r="X62" s="905" t="s">
        <v>1498</v>
      </c>
      <c r="Y62" s="1467" t="s">
        <v>1499</v>
      </c>
      <c r="Z62" s="894" t="s">
        <v>1500</v>
      </c>
      <c r="AA62" s="896" t="s">
        <v>1501</v>
      </c>
    </row>
    <row r="63" spans="1:39" ht="90.75">
      <c r="A63" s="1472"/>
      <c r="B63" s="1483"/>
      <c r="C63" s="1472"/>
      <c r="D63" s="1496"/>
      <c r="E63" s="1486"/>
      <c r="F63" s="1486"/>
      <c r="G63" s="1486"/>
      <c r="H63" s="1486"/>
      <c r="I63" s="1486"/>
      <c r="J63" s="1491"/>
      <c r="K63" s="104"/>
      <c r="L63" s="104"/>
      <c r="M63" s="1465" t="s">
        <v>1379</v>
      </c>
      <c r="N63" s="104">
        <v>2</v>
      </c>
      <c r="O63" s="104">
        <v>1</v>
      </c>
      <c r="P63" s="1466">
        <v>-1</v>
      </c>
      <c r="Q63" s="1498"/>
      <c r="R63" s="1486"/>
      <c r="S63" s="1486"/>
      <c r="T63" s="1486"/>
      <c r="U63" s="1486"/>
      <c r="V63" s="896" t="s">
        <v>1502</v>
      </c>
      <c r="W63" s="881" t="s">
        <v>1503</v>
      </c>
      <c r="X63" s="105" t="s">
        <v>1504</v>
      </c>
      <c r="Y63" s="105" t="s">
        <v>1505</v>
      </c>
      <c r="Z63" s="887" t="s">
        <v>1387</v>
      </c>
      <c r="AA63" s="881" t="s">
        <v>1501</v>
      </c>
    </row>
    <row r="64" spans="1:39" ht="90.75">
      <c r="A64" s="1472"/>
      <c r="B64" s="1483"/>
      <c r="C64" s="1472"/>
      <c r="D64" s="1496"/>
      <c r="E64" s="1486"/>
      <c r="F64" s="1486"/>
      <c r="G64" s="1486"/>
      <c r="H64" s="1486"/>
      <c r="I64" s="1486"/>
      <c r="J64" s="1491"/>
      <c r="K64" s="104"/>
      <c r="L64" s="104"/>
      <c r="M64" s="1465" t="s">
        <v>1380</v>
      </c>
      <c r="N64" s="104">
        <v>2</v>
      </c>
      <c r="O64" s="104">
        <v>1</v>
      </c>
      <c r="P64" s="1466">
        <v>-1</v>
      </c>
      <c r="Q64" s="1498"/>
      <c r="R64" s="1486"/>
      <c r="S64" s="1486"/>
      <c r="T64" s="1486"/>
      <c r="U64" s="1486"/>
      <c r="V64" s="896" t="s">
        <v>1506</v>
      </c>
      <c r="W64" s="881" t="s">
        <v>1507</v>
      </c>
      <c r="X64" s="105" t="s">
        <v>1508</v>
      </c>
      <c r="Y64" s="105" t="s">
        <v>1505</v>
      </c>
      <c r="Z64" s="881" t="s">
        <v>1387</v>
      </c>
      <c r="AA64" s="881" t="s">
        <v>1501</v>
      </c>
    </row>
    <row r="65" spans="1:39" ht="90.75">
      <c r="A65" s="1472"/>
      <c r="B65" s="1483"/>
      <c r="C65" s="1472"/>
      <c r="D65" s="1496"/>
      <c r="E65" s="1486"/>
      <c r="F65" s="1486"/>
      <c r="G65" s="1486"/>
      <c r="H65" s="1486"/>
      <c r="I65" s="1486"/>
      <c r="J65" s="1491"/>
      <c r="K65" s="104"/>
      <c r="L65" s="104"/>
      <c r="M65" s="105" t="s">
        <v>1381</v>
      </c>
      <c r="N65" s="104">
        <v>2</v>
      </c>
      <c r="O65" s="104">
        <v>1</v>
      </c>
      <c r="P65" s="104">
        <v>-1</v>
      </c>
      <c r="Q65" s="1498"/>
      <c r="R65" s="1486"/>
      <c r="S65" s="1486"/>
      <c r="T65" s="1486"/>
      <c r="U65" s="1486"/>
      <c r="V65" s="896" t="s">
        <v>1463</v>
      </c>
      <c r="W65" s="881" t="s">
        <v>1509</v>
      </c>
      <c r="X65" s="881" t="s">
        <v>1510</v>
      </c>
      <c r="Y65" s="105" t="s">
        <v>1511</v>
      </c>
      <c r="Z65" s="881" t="s">
        <v>1430</v>
      </c>
      <c r="AA65" s="881" t="s">
        <v>1512</v>
      </c>
    </row>
    <row r="66" spans="1:39" ht="106.5">
      <c r="A66" s="1472"/>
      <c r="B66" s="1483"/>
      <c r="C66" s="1472"/>
      <c r="D66" s="1496"/>
      <c r="E66" s="1486"/>
      <c r="F66" s="1486"/>
      <c r="G66" s="1486"/>
      <c r="H66" s="1486"/>
      <c r="I66" s="1486"/>
      <c r="J66" s="1491"/>
      <c r="K66" s="104"/>
      <c r="L66" s="104"/>
      <c r="M66" s="105" t="s">
        <v>1382</v>
      </c>
      <c r="N66" s="104">
        <v>2</v>
      </c>
      <c r="O66" s="104">
        <v>1</v>
      </c>
      <c r="P66" s="104">
        <v>-1</v>
      </c>
      <c r="Q66" s="1498"/>
      <c r="R66" s="1486"/>
      <c r="S66" s="1486"/>
      <c r="T66" s="1486"/>
      <c r="U66" s="1486"/>
      <c r="V66" s="896" t="s">
        <v>1513</v>
      </c>
      <c r="W66" s="881" t="s">
        <v>1514</v>
      </c>
      <c r="X66" s="881" t="s">
        <v>1515</v>
      </c>
      <c r="Y66" s="881" t="s">
        <v>1516</v>
      </c>
      <c r="Z66" s="881" t="s">
        <v>1430</v>
      </c>
      <c r="AA66" s="881" t="s">
        <v>1501</v>
      </c>
    </row>
    <row r="67" spans="1:39" ht="90.75">
      <c r="A67" s="1472"/>
      <c r="B67" s="1483"/>
      <c r="C67" s="1472"/>
      <c r="D67" s="1496"/>
      <c r="E67" s="1486"/>
      <c r="F67" s="1486"/>
      <c r="G67" s="1486"/>
      <c r="H67" s="1486"/>
      <c r="I67" s="1486"/>
      <c r="J67" s="1491"/>
      <c r="K67" s="104"/>
      <c r="L67" s="104"/>
      <c r="M67" s="105" t="s">
        <v>1392</v>
      </c>
      <c r="N67" s="104">
        <v>2</v>
      </c>
      <c r="O67" s="104">
        <v>1</v>
      </c>
      <c r="P67" s="104">
        <v>-1</v>
      </c>
      <c r="Q67" s="1498"/>
      <c r="R67" s="1486"/>
      <c r="S67" s="1486"/>
      <c r="T67" s="1486"/>
      <c r="U67" s="1486"/>
      <c r="V67" s="896" t="s">
        <v>1393</v>
      </c>
      <c r="W67" s="894" t="s">
        <v>1517</v>
      </c>
      <c r="X67" s="894" t="s">
        <v>1517</v>
      </c>
      <c r="Y67" s="105" t="s">
        <v>1511</v>
      </c>
      <c r="Z67" s="881" t="s">
        <v>1430</v>
      </c>
      <c r="AA67" s="881" t="s">
        <v>1518</v>
      </c>
    </row>
    <row r="68" spans="1:39" ht="106.5">
      <c r="A68" s="1472"/>
      <c r="B68" s="1483"/>
      <c r="C68" s="1472"/>
      <c r="D68" s="1496"/>
      <c r="E68" s="1486"/>
      <c r="F68" s="1486"/>
      <c r="G68" s="1486"/>
      <c r="H68" s="1486"/>
      <c r="I68" s="1486"/>
      <c r="J68" s="1491"/>
      <c r="K68" s="104"/>
      <c r="L68" s="104"/>
      <c r="M68" s="105" t="s">
        <v>1400</v>
      </c>
      <c r="N68" s="104">
        <v>2</v>
      </c>
      <c r="O68" s="104">
        <v>1</v>
      </c>
      <c r="P68" s="104">
        <v>-1</v>
      </c>
      <c r="Q68" s="1498"/>
      <c r="R68" s="1486"/>
      <c r="S68" s="1486"/>
      <c r="T68" s="1486"/>
      <c r="U68" s="1486"/>
      <c r="V68" s="896" t="s">
        <v>1519</v>
      </c>
      <c r="W68" s="881" t="s">
        <v>1520</v>
      </c>
      <c r="X68" s="881" t="s">
        <v>1521</v>
      </c>
      <c r="Y68" s="881" t="s">
        <v>1511</v>
      </c>
      <c r="Z68" s="881" t="s">
        <v>1430</v>
      </c>
      <c r="AA68" s="881" t="s">
        <v>1501</v>
      </c>
    </row>
    <row r="69" spans="1:39" ht="121.5">
      <c r="A69" s="1480"/>
      <c r="B69" s="1484"/>
      <c r="C69" s="1480"/>
      <c r="D69" s="1497"/>
      <c r="E69" s="1486"/>
      <c r="F69" s="1486"/>
      <c r="G69" s="1486"/>
      <c r="H69" s="1486"/>
      <c r="I69" s="1486"/>
      <c r="J69" s="1491"/>
      <c r="K69" s="104"/>
      <c r="L69" s="104"/>
      <c r="M69" s="105" t="s">
        <v>1401</v>
      </c>
      <c r="N69" s="104">
        <v>2</v>
      </c>
      <c r="O69" s="104">
        <v>1</v>
      </c>
      <c r="P69" s="104">
        <v>-1</v>
      </c>
      <c r="Q69" s="1498"/>
      <c r="R69" s="1486"/>
      <c r="S69" s="1486"/>
      <c r="T69" s="1486"/>
      <c r="U69" s="1486"/>
      <c r="V69" s="896" t="s">
        <v>1522</v>
      </c>
      <c r="W69" s="881" t="s">
        <v>1523</v>
      </c>
      <c r="X69" s="894" t="s">
        <v>1524</v>
      </c>
      <c r="Y69" s="881" t="s">
        <v>1511</v>
      </c>
      <c r="Z69" s="881" t="s">
        <v>1430</v>
      </c>
      <c r="AA69" s="881" t="s">
        <v>1501</v>
      </c>
    </row>
    <row r="70" spans="1:39" ht="90.75">
      <c r="A70" s="1479">
        <v>9</v>
      </c>
      <c r="B70" s="1476" t="s">
        <v>1525</v>
      </c>
      <c r="C70" s="1479" t="s">
        <v>1416</v>
      </c>
      <c r="D70" s="1487" t="s">
        <v>162</v>
      </c>
      <c r="E70" s="1472" t="s">
        <v>1371</v>
      </c>
      <c r="F70" s="1472"/>
      <c r="G70" s="1472">
        <v>2024</v>
      </c>
      <c r="H70" s="1480" t="s">
        <v>1372</v>
      </c>
      <c r="I70" s="1480">
        <v>6</v>
      </c>
      <c r="J70" s="1526" t="s">
        <v>1417</v>
      </c>
      <c r="K70" s="1476" t="s">
        <v>1526</v>
      </c>
      <c r="L70" s="1476" t="s">
        <v>1527</v>
      </c>
      <c r="M70" s="1434" t="s">
        <v>1376</v>
      </c>
      <c r="N70" s="876" t="s">
        <v>77</v>
      </c>
      <c r="O70" s="876" t="s">
        <v>77</v>
      </c>
      <c r="P70" s="876" t="s">
        <v>77</v>
      </c>
      <c r="Q70" s="1488" t="s">
        <v>1377</v>
      </c>
      <c r="R70" s="1472">
        <v>3</v>
      </c>
      <c r="S70" s="1472">
        <v>2</v>
      </c>
      <c r="T70" s="1472">
        <v>-1</v>
      </c>
      <c r="U70" s="1472" t="s">
        <v>1378</v>
      </c>
      <c r="V70" s="887" t="s">
        <v>1528</v>
      </c>
      <c r="W70" s="887" t="s">
        <v>1529</v>
      </c>
      <c r="X70" s="887" t="s">
        <v>1530</v>
      </c>
      <c r="Y70" s="1459" t="s">
        <v>1531</v>
      </c>
      <c r="Z70" s="881" t="s">
        <v>1430</v>
      </c>
      <c r="AA70" s="887" t="s">
        <v>1532</v>
      </c>
    </row>
    <row r="71" spans="1:39">
      <c r="A71" s="1472"/>
      <c r="B71" s="1483"/>
      <c r="C71" s="1472"/>
      <c r="D71" s="1488"/>
      <c r="E71" s="1472"/>
      <c r="F71" s="1472"/>
      <c r="G71" s="1472"/>
      <c r="H71" s="1486"/>
      <c r="I71" s="1486"/>
      <c r="J71" s="1491"/>
      <c r="K71" s="1483"/>
      <c r="L71" s="1483"/>
      <c r="M71" s="873" t="s">
        <v>1379</v>
      </c>
      <c r="N71" s="107" t="s">
        <v>77</v>
      </c>
      <c r="O71" s="107" t="s">
        <v>77</v>
      </c>
      <c r="P71" s="107" t="s">
        <v>77</v>
      </c>
      <c r="Q71" s="1488"/>
      <c r="R71" s="1472"/>
      <c r="S71" s="1472"/>
      <c r="T71" s="1472"/>
      <c r="U71" s="1472"/>
      <c r="V71" s="107" t="s">
        <v>77</v>
      </c>
      <c r="W71" s="107" t="s">
        <v>77</v>
      </c>
      <c r="X71" s="107" t="s">
        <v>77</v>
      </c>
      <c r="Y71" s="107" t="s">
        <v>77</v>
      </c>
      <c r="Z71" s="107" t="s">
        <v>77</v>
      </c>
      <c r="AA71" s="107" t="s">
        <v>77</v>
      </c>
      <c r="AB71" s="107" t="s">
        <v>77</v>
      </c>
      <c r="AC71" s="107" t="s">
        <v>77</v>
      </c>
      <c r="AD71" s="107" t="s">
        <v>77</v>
      </c>
      <c r="AE71" s="107" t="s">
        <v>77</v>
      </c>
      <c r="AF71" s="107" t="s">
        <v>77</v>
      </c>
      <c r="AG71" s="107" t="s">
        <v>77</v>
      </c>
      <c r="AH71" s="107" t="s">
        <v>77</v>
      </c>
      <c r="AI71" s="107" t="s">
        <v>77</v>
      </c>
      <c r="AJ71" s="107" t="s">
        <v>77</v>
      </c>
      <c r="AK71" s="107" t="s">
        <v>77</v>
      </c>
      <c r="AL71" s="107" t="s">
        <v>77</v>
      </c>
      <c r="AM71" s="107" t="s">
        <v>77</v>
      </c>
    </row>
    <row r="72" spans="1:39">
      <c r="A72" s="1472"/>
      <c r="B72" s="1483"/>
      <c r="C72" s="1472"/>
      <c r="D72" s="1488"/>
      <c r="E72" s="1472"/>
      <c r="F72" s="1472"/>
      <c r="G72" s="1472"/>
      <c r="H72" s="1486"/>
      <c r="I72" s="1486"/>
      <c r="J72" s="1491"/>
      <c r="K72" s="1483"/>
      <c r="L72" s="1483"/>
      <c r="M72" s="873" t="s">
        <v>1380</v>
      </c>
      <c r="N72" s="107" t="s">
        <v>77</v>
      </c>
      <c r="O72" s="107" t="s">
        <v>77</v>
      </c>
      <c r="P72" s="107" t="s">
        <v>77</v>
      </c>
      <c r="Q72" s="1488"/>
      <c r="R72" s="1472"/>
      <c r="S72" s="1472"/>
      <c r="T72" s="1472"/>
      <c r="U72" s="1472"/>
      <c r="V72" s="107" t="s">
        <v>77</v>
      </c>
      <c r="W72" s="107" t="s">
        <v>77</v>
      </c>
      <c r="X72" s="107" t="s">
        <v>77</v>
      </c>
      <c r="Y72" s="107" t="s">
        <v>77</v>
      </c>
      <c r="Z72" s="107" t="s">
        <v>77</v>
      </c>
      <c r="AA72" s="107" t="s">
        <v>77</v>
      </c>
      <c r="AB72" s="107" t="s">
        <v>77</v>
      </c>
      <c r="AC72" s="107" t="s">
        <v>77</v>
      </c>
      <c r="AD72" s="107" t="s">
        <v>77</v>
      </c>
      <c r="AE72" s="107" t="s">
        <v>77</v>
      </c>
      <c r="AF72" s="107" t="s">
        <v>77</v>
      </c>
      <c r="AG72" s="107" t="s">
        <v>77</v>
      </c>
      <c r="AH72" s="107" t="s">
        <v>77</v>
      </c>
      <c r="AI72" s="107" t="s">
        <v>77</v>
      </c>
      <c r="AJ72" s="107" t="s">
        <v>77</v>
      </c>
      <c r="AK72" s="107" t="s">
        <v>77</v>
      </c>
      <c r="AL72" s="107" t="s">
        <v>77</v>
      </c>
      <c r="AM72" s="107" t="s">
        <v>77</v>
      </c>
    </row>
    <row r="73" spans="1:39" ht="75.75">
      <c r="A73" s="1472"/>
      <c r="B73" s="1483"/>
      <c r="C73" s="1472"/>
      <c r="D73" s="1488"/>
      <c r="E73" s="1472"/>
      <c r="F73" s="1472"/>
      <c r="G73" s="1472"/>
      <c r="H73" s="1486"/>
      <c r="I73" s="1486"/>
      <c r="J73" s="1491"/>
      <c r="K73" s="1483"/>
      <c r="L73" s="1483"/>
      <c r="M73" s="1449" t="s">
        <v>1381</v>
      </c>
      <c r="N73" s="104">
        <v>3</v>
      </c>
      <c r="O73" s="104">
        <v>2</v>
      </c>
      <c r="P73" s="1450">
        <v>-1</v>
      </c>
      <c r="Q73" s="1488"/>
      <c r="R73" s="1472"/>
      <c r="S73" s="1472"/>
      <c r="T73" s="1472"/>
      <c r="U73" s="1472"/>
      <c r="V73" s="881" t="s">
        <v>1533</v>
      </c>
      <c r="W73" s="881" t="s">
        <v>1534</v>
      </c>
      <c r="X73" s="887" t="s">
        <v>1535</v>
      </c>
      <c r="Y73" s="1459" t="s">
        <v>1536</v>
      </c>
      <c r="Z73" s="881" t="s">
        <v>1387</v>
      </c>
      <c r="AA73" s="887" t="s">
        <v>1532</v>
      </c>
    </row>
    <row r="74" spans="1:39" ht="75.75">
      <c r="A74" s="1472"/>
      <c r="B74" s="1483"/>
      <c r="C74" s="1472"/>
      <c r="D74" s="1488"/>
      <c r="E74" s="1472"/>
      <c r="F74" s="1472"/>
      <c r="G74" s="1472"/>
      <c r="H74" s="1486"/>
      <c r="I74" s="1486"/>
      <c r="J74" s="1491"/>
      <c r="K74" s="1483"/>
      <c r="L74" s="1483"/>
      <c r="M74" s="1449" t="s">
        <v>1382</v>
      </c>
      <c r="N74" s="104">
        <v>3</v>
      </c>
      <c r="O74" s="104">
        <v>2</v>
      </c>
      <c r="P74" s="1450">
        <v>-1</v>
      </c>
      <c r="Q74" s="1488"/>
      <c r="R74" s="1472"/>
      <c r="S74" s="1472"/>
      <c r="T74" s="1472"/>
      <c r="U74" s="1472"/>
      <c r="V74" s="881" t="s">
        <v>1537</v>
      </c>
      <c r="W74" s="881" t="s">
        <v>1538</v>
      </c>
      <c r="X74" s="887" t="s">
        <v>1539</v>
      </c>
      <c r="Y74" s="1459" t="s">
        <v>1540</v>
      </c>
      <c r="Z74" s="881" t="s">
        <v>1387</v>
      </c>
      <c r="AA74" s="887" t="s">
        <v>1532</v>
      </c>
    </row>
    <row r="75" spans="1:39" ht="91.5" customHeight="1">
      <c r="A75" s="1472"/>
      <c r="B75" s="1483"/>
      <c r="C75" s="1472"/>
      <c r="D75" s="1488"/>
      <c r="E75" s="1472"/>
      <c r="F75" s="1472"/>
      <c r="G75" s="1472"/>
      <c r="H75" s="1486"/>
      <c r="I75" s="1486"/>
      <c r="J75" s="1491"/>
      <c r="K75" s="1483"/>
      <c r="L75" s="1483"/>
      <c r="M75" s="105" t="s">
        <v>1392</v>
      </c>
      <c r="N75" s="104">
        <v>3</v>
      </c>
      <c r="O75" s="104">
        <v>2</v>
      </c>
      <c r="P75" s="104">
        <v>-1</v>
      </c>
      <c r="Q75" s="1488"/>
      <c r="R75" s="1472"/>
      <c r="S75" s="1472"/>
      <c r="T75" s="1472"/>
      <c r="U75" s="1472"/>
      <c r="V75" s="881" t="s">
        <v>1541</v>
      </c>
      <c r="W75" s="881" t="s">
        <v>1542</v>
      </c>
      <c r="X75" s="887" t="s">
        <v>1543</v>
      </c>
      <c r="Y75" s="1459" t="s">
        <v>1536</v>
      </c>
      <c r="Z75" s="881" t="s">
        <v>1430</v>
      </c>
      <c r="AA75" s="887" t="s">
        <v>1532</v>
      </c>
    </row>
    <row r="76" spans="1:39" ht="75.75">
      <c r="A76" s="1472"/>
      <c r="B76" s="1483"/>
      <c r="C76" s="1472"/>
      <c r="D76" s="1488"/>
      <c r="E76" s="1472"/>
      <c r="F76" s="1472"/>
      <c r="G76" s="1472"/>
      <c r="H76" s="1486"/>
      <c r="I76" s="1486"/>
      <c r="J76" s="1491"/>
      <c r="K76" s="1483"/>
      <c r="L76" s="1483"/>
      <c r="M76" s="1449" t="s">
        <v>1400</v>
      </c>
      <c r="N76" s="104">
        <v>3</v>
      </c>
      <c r="O76" s="104">
        <v>2</v>
      </c>
      <c r="P76" s="1450">
        <v>-1</v>
      </c>
      <c r="Q76" s="1488"/>
      <c r="R76" s="1472"/>
      <c r="S76" s="1472"/>
      <c r="T76" s="1472"/>
      <c r="U76" s="1472"/>
      <c r="V76" s="881" t="s">
        <v>1544</v>
      </c>
      <c r="W76" s="881" t="s">
        <v>1545</v>
      </c>
      <c r="X76" s="887" t="s">
        <v>1546</v>
      </c>
      <c r="Y76" s="1459" t="s">
        <v>1547</v>
      </c>
      <c r="Z76" s="881" t="s">
        <v>1387</v>
      </c>
      <c r="AA76" s="887" t="s">
        <v>1532</v>
      </c>
    </row>
    <row r="77" spans="1:39" ht="90.75">
      <c r="A77" s="1480"/>
      <c r="B77" s="1484"/>
      <c r="C77" s="1480"/>
      <c r="D77" s="1489"/>
      <c r="E77" s="1480"/>
      <c r="F77" s="1480"/>
      <c r="G77" s="1480"/>
      <c r="H77" s="1486"/>
      <c r="I77" s="1486"/>
      <c r="J77" s="1491"/>
      <c r="K77" s="1484"/>
      <c r="L77" s="1484"/>
      <c r="M77" s="105" t="s">
        <v>1401</v>
      </c>
      <c r="N77" s="104">
        <v>3</v>
      </c>
      <c r="O77" s="104">
        <v>2</v>
      </c>
      <c r="P77" s="104">
        <v>-1</v>
      </c>
      <c r="Q77" s="1489"/>
      <c r="R77" s="1480"/>
      <c r="S77" s="1480"/>
      <c r="T77" s="1480"/>
      <c r="U77" s="1480"/>
      <c r="V77" s="881" t="s">
        <v>1548</v>
      </c>
      <c r="W77" s="881" t="s">
        <v>1549</v>
      </c>
      <c r="X77" s="887" t="s">
        <v>1550</v>
      </c>
      <c r="Y77" s="1459" t="s">
        <v>1536</v>
      </c>
      <c r="Z77" s="881" t="s">
        <v>1430</v>
      </c>
      <c r="AA77" s="887" t="s">
        <v>1532</v>
      </c>
    </row>
    <row r="78" spans="1:39" ht="201.75">
      <c r="A78" s="1479">
        <v>10</v>
      </c>
      <c r="B78" s="1476" t="s">
        <v>1551</v>
      </c>
      <c r="C78" s="1479" t="s">
        <v>1370</v>
      </c>
      <c r="D78" s="1487" t="s">
        <v>22</v>
      </c>
      <c r="E78" s="1479" t="s">
        <v>1371</v>
      </c>
      <c r="F78" s="1479"/>
      <c r="G78" s="1479">
        <v>2023</v>
      </c>
      <c r="H78" s="1486" t="s">
        <v>1372</v>
      </c>
      <c r="I78" s="1486">
        <v>9</v>
      </c>
      <c r="J78" s="1491" t="s">
        <v>1417</v>
      </c>
      <c r="K78" s="1492" t="s">
        <v>1552</v>
      </c>
      <c r="L78" s="1492" t="s">
        <v>1495</v>
      </c>
      <c r="M78" s="105" t="s">
        <v>1376</v>
      </c>
      <c r="N78" s="104">
        <v>3</v>
      </c>
      <c r="O78" s="104">
        <v>2</v>
      </c>
      <c r="P78" s="104">
        <v>-1</v>
      </c>
      <c r="Q78" s="1487" t="s">
        <v>1377</v>
      </c>
      <c r="R78" s="1479">
        <v>3</v>
      </c>
      <c r="S78" s="1479">
        <v>2</v>
      </c>
      <c r="T78" s="1479">
        <v>-1</v>
      </c>
      <c r="U78" s="1479" t="s">
        <v>1378</v>
      </c>
      <c r="V78" s="905" t="s">
        <v>1553</v>
      </c>
      <c r="W78" s="905" t="s">
        <v>1497</v>
      </c>
      <c r="X78" s="905" t="s">
        <v>1554</v>
      </c>
      <c r="Y78" s="905" t="s">
        <v>1499</v>
      </c>
      <c r="Z78" s="881" t="s">
        <v>1387</v>
      </c>
      <c r="AA78" s="881" t="s">
        <v>1501</v>
      </c>
    </row>
    <row r="79" spans="1:39" ht="121.5" customHeight="1">
      <c r="A79" s="1472"/>
      <c r="B79" s="1483"/>
      <c r="C79" s="1472"/>
      <c r="D79" s="1488"/>
      <c r="E79" s="1472"/>
      <c r="F79" s="1472"/>
      <c r="G79" s="1472"/>
      <c r="H79" s="1486"/>
      <c r="I79" s="1486"/>
      <c r="J79" s="1491"/>
      <c r="K79" s="1493"/>
      <c r="L79" s="1493"/>
      <c r="M79" s="873" t="s">
        <v>1379</v>
      </c>
      <c r="N79" s="107">
        <v>3</v>
      </c>
      <c r="O79" s="107">
        <v>2</v>
      </c>
      <c r="P79" s="107">
        <v>-1</v>
      </c>
      <c r="Q79" s="1488"/>
      <c r="R79" s="1472"/>
      <c r="S79" s="1472"/>
      <c r="T79" s="1472"/>
      <c r="U79" s="1472"/>
      <c r="V79" s="881" t="s">
        <v>1502</v>
      </c>
      <c r="W79" s="881" t="s">
        <v>1555</v>
      </c>
      <c r="X79" s="105" t="s">
        <v>1504</v>
      </c>
      <c r="Y79" s="105" t="s">
        <v>1505</v>
      </c>
      <c r="Z79" s="881" t="s">
        <v>1387</v>
      </c>
      <c r="AA79" s="881" t="s">
        <v>1501</v>
      </c>
    </row>
    <row r="80" spans="1:39" ht="106.5" customHeight="1">
      <c r="A80" s="1472"/>
      <c r="B80" s="1483"/>
      <c r="C80" s="1472"/>
      <c r="D80" s="1488"/>
      <c r="E80" s="1472"/>
      <c r="F80" s="1472"/>
      <c r="G80" s="1472"/>
      <c r="H80" s="1486"/>
      <c r="I80" s="1486"/>
      <c r="J80" s="1491"/>
      <c r="K80" s="1493"/>
      <c r="L80" s="1493"/>
      <c r="M80" s="873" t="s">
        <v>1380</v>
      </c>
      <c r="N80" s="107">
        <v>3</v>
      </c>
      <c r="O80" s="107">
        <v>2</v>
      </c>
      <c r="P80" s="107">
        <v>-1</v>
      </c>
      <c r="Q80" s="1488"/>
      <c r="R80" s="1472"/>
      <c r="S80" s="1472"/>
      <c r="T80" s="1472"/>
      <c r="U80" s="1472"/>
      <c r="V80" s="881" t="s">
        <v>1506</v>
      </c>
      <c r="W80" s="881" t="s">
        <v>1507</v>
      </c>
      <c r="X80" s="105" t="s">
        <v>1508</v>
      </c>
      <c r="Y80" s="105" t="s">
        <v>1505</v>
      </c>
      <c r="Z80" s="881" t="s">
        <v>1387</v>
      </c>
      <c r="AA80" s="881" t="s">
        <v>1501</v>
      </c>
    </row>
    <row r="81" spans="1:27" ht="75.75" customHeight="1">
      <c r="A81" s="1472"/>
      <c r="B81" s="1483"/>
      <c r="C81" s="1472"/>
      <c r="D81" s="1488"/>
      <c r="E81" s="1472"/>
      <c r="F81" s="1472"/>
      <c r="G81" s="1472"/>
      <c r="H81" s="1486"/>
      <c r="I81" s="1486"/>
      <c r="J81" s="1491"/>
      <c r="K81" s="1493"/>
      <c r="L81" s="1493"/>
      <c r="M81" s="873" t="s">
        <v>1381</v>
      </c>
      <c r="N81" s="107">
        <v>3</v>
      </c>
      <c r="O81" s="107">
        <v>1</v>
      </c>
      <c r="P81" s="107">
        <v>-2</v>
      </c>
      <c r="Q81" s="1488"/>
      <c r="R81" s="1472"/>
      <c r="S81" s="1472"/>
      <c r="T81" s="1472"/>
      <c r="U81" s="1472"/>
      <c r="V81" s="881" t="s">
        <v>1463</v>
      </c>
      <c r="W81" s="881" t="s">
        <v>1509</v>
      </c>
      <c r="X81" s="881" t="s">
        <v>1510</v>
      </c>
      <c r="Y81" s="105" t="s">
        <v>1511</v>
      </c>
      <c r="Z81" s="881" t="s">
        <v>1387</v>
      </c>
      <c r="AA81" s="881" t="s">
        <v>1512</v>
      </c>
    </row>
    <row r="82" spans="1:27" ht="106.5">
      <c r="A82" s="1472"/>
      <c r="B82" s="1483"/>
      <c r="C82" s="1472"/>
      <c r="D82" s="1488"/>
      <c r="E82" s="1472"/>
      <c r="F82" s="1472"/>
      <c r="G82" s="1472"/>
      <c r="H82" s="1486"/>
      <c r="I82" s="1486"/>
      <c r="J82" s="1491"/>
      <c r="K82" s="1493"/>
      <c r="L82" s="1493"/>
      <c r="M82" s="873" t="s">
        <v>1382</v>
      </c>
      <c r="N82" s="107">
        <v>3</v>
      </c>
      <c r="O82" s="107">
        <v>1</v>
      </c>
      <c r="P82" s="107">
        <v>-2</v>
      </c>
      <c r="Q82" s="1488"/>
      <c r="R82" s="1472"/>
      <c r="S82" s="1472"/>
      <c r="T82" s="1472"/>
      <c r="U82" s="1472"/>
      <c r="V82" s="881" t="s">
        <v>1513</v>
      </c>
      <c r="W82" s="881" t="s">
        <v>1556</v>
      </c>
      <c r="X82" s="881" t="s">
        <v>1515</v>
      </c>
      <c r="Y82" s="881" t="s">
        <v>1516</v>
      </c>
      <c r="Z82" s="881" t="s">
        <v>1387</v>
      </c>
      <c r="AA82" s="881" t="s">
        <v>1501</v>
      </c>
    </row>
    <row r="83" spans="1:27" ht="75.75">
      <c r="A83" s="1472"/>
      <c r="B83" s="1483"/>
      <c r="C83" s="1472"/>
      <c r="D83" s="1488"/>
      <c r="E83" s="1472"/>
      <c r="F83" s="1472"/>
      <c r="G83" s="1472"/>
      <c r="H83" s="1486"/>
      <c r="I83" s="1486"/>
      <c r="J83" s="1491"/>
      <c r="K83" s="1493"/>
      <c r="L83" s="1493"/>
      <c r="M83" s="873" t="s">
        <v>1392</v>
      </c>
      <c r="N83" s="107">
        <v>3</v>
      </c>
      <c r="O83" s="107">
        <v>2</v>
      </c>
      <c r="P83" s="107">
        <v>-1</v>
      </c>
      <c r="Q83" s="1488"/>
      <c r="R83" s="1472"/>
      <c r="S83" s="1472"/>
      <c r="T83" s="1472"/>
      <c r="U83" s="1472"/>
      <c r="V83" s="881" t="s">
        <v>1393</v>
      </c>
      <c r="W83" s="894" t="s">
        <v>1517</v>
      </c>
      <c r="X83" s="894" t="s">
        <v>1517</v>
      </c>
      <c r="Y83" s="105" t="s">
        <v>1511</v>
      </c>
      <c r="Z83" s="881" t="s">
        <v>1387</v>
      </c>
      <c r="AA83" s="881" t="s">
        <v>1518</v>
      </c>
    </row>
    <row r="84" spans="1:27" ht="121.5" customHeight="1">
      <c r="A84" s="1472"/>
      <c r="B84" s="1483"/>
      <c r="C84" s="1472"/>
      <c r="D84" s="1488"/>
      <c r="E84" s="1472"/>
      <c r="F84" s="1472"/>
      <c r="G84" s="1472"/>
      <c r="H84" s="1486"/>
      <c r="I84" s="1486"/>
      <c r="J84" s="1491"/>
      <c r="K84" s="1493"/>
      <c r="L84" s="1493"/>
      <c r="M84" s="873" t="s">
        <v>1400</v>
      </c>
      <c r="N84" s="107">
        <v>3</v>
      </c>
      <c r="O84" s="107">
        <v>2</v>
      </c>
      <c r="P84" s="107">
        <v>-1</v>
      </c>
      <c r="Q84" s="1488"/>
      <c r="R84" s="1472"/>
      <c r="S84" s="1472"/>
      <c r="T84" s="1472"/>
      <c r="U84" s="1472"/>
      <c r="V84" s="881" t="s">
        <v>1519</v>
      </c>
      <c r="W84" s="881" t="s">
        <v>1520</v>
      </c>
      <c r="X84" s="881" t="s">
        <v>1521</v>
      </c>
      <c r="Y84" s="881" t="s">
        <v>1511</v>
      </c>
      <c r="Z84" s="881" t="s">
        <v>1387</v>
      </c>
      <c r="AA84" s="881" t="s">
        <v>1501</v>
      </c>
    </row>
    <row r="85" spans="1:27" ht="151.5" customHeight="1">
      <c r="A85" s="1480"/>
      <c r="B85" s="1484"/>
      <c r="C85" s="1480"/>
      <c r="D85" s="1489"/>
      <c r="E85" s="1480"/>
      <c r="F85" s="1480"/>
      <c r="G85" s="1480"/>
      <c r="H85" s="1486"/>
      <c r="I85" s="1486"/>
      <c r="J85" s="1491"/>
      <c r="K85" s="1494"/>
      <c r="L85" s="1494"/>
      <c r="M85" s="873" t="s">
        <v>1401</v>
      </c>
      <c r="N85" s="107">
        <v>3</v>
      </c>
      <c r="O85" s="107">
        <v>2</v>
      </c>
      <c r="P85" s="107">
        <v>-1</v>
      </c>
      <c r="Q85" s="1489"/>
      <c r="R85" s="1480"/>
      <c r="S85" s="1480"/>
      <c r="T85" s="1480"/>
      <c r="U85" s="1480"/>
      <c r="V85" s="881" t="s">
        <v>1522</v>
      </c>
      <c r="W85" s="881" t="s">
        <v>1523</v>
      </c>
      <c r="X85" s="894" t="s">
        <v>1524</v>
      </c>
      <c r="Y85" s="881" t="s">
        <v>1511</v>
      </c>
      <c r="Z85" s="881" t="s">
        <v>1387</v>
      </c>
      <c r="AA85" s="881" t="s">
        <v>1501</v>
      </c>
    </row>
    <row r="86" spans="1:27" ht="15" hidden="1" customHeight="1">
      <c r="A86" s="1479">
        <v>14</v>
      </c>
      <c r="B86" s="1476" t="s">
        <v>1557</v>
      </c>
      <c r="C86" s="1479" t="s">
        <v>1416</v>
      </c>
      <c r="D86" s="1487" t="s">
        <v>13</v>
      </c>
      <c r="E86" s="1479" t="s">
        <v>1371</v>
      </c>
      <c r="F86" s="1479"/>
      <c r="G86" s="1479">
        <v>2024</v>
      </c>
      <c r="H86" s="874"/>
      <c r="I86" s="874"/>
      <c r="J86" s="874"/>
      <c r="K86" s="874"/>
      <c r="L86" s="874"/>
      <c r="M86" s="873" t="s">
        <v>1376</v>
      </c>
      <c r="N86" s="107" t="s">
        <v>77</v>
      </c>
      <c r="O86" s="107" t="s">
        <v>77</v>
      </c>
      <c r="P86" s="107" t="s">
        <v>77</v>
      </c>
      <c r="Q86" s="1487" t="s">
        <v>1377</v>
      </c>
      <c r="R86" s="1479" t="s">
        <v>77</v>
      </c>
      <c r="S86" s="1479" t="s">
        <v>77</v>
      </c>
      <c r="T86" s="1479" t="s">
        <v>77</v>
      </c>
      <c r="U86" s="1479" t="s">
        <v>1378</v>
      </c>
      <c r="V86" s="881"/>
      <c r="W86" s="881"/>
    </row>
    <row r="87" spans="1:27" hidden="1">
      <c r="A87" s="1472"/>
      <c r="B87" s="1483"/>
      <c r="C87" s="1472"/>
      <c r="D87" s="1488"/>
      <c r="E87" s="1472"/>
      <c r="F87" s="1472"/>
      <c r="G87" s="1472"/>
      <c r="H87" s="875"/>
      <c r="I87" s="875"/>
      <c r="J87" s="875"/>
      <c r="K87" s="875"/>
      <c r="L87" s="875"/>
      <c r="M87" s="873" t="s">
        <v>1379</v>
      </c>
      <c r="N87" s="107" t="s">
        <v>77</v>
      </c>
      <c r="O87" s="107" t="s">
        <v>77</v>
      </c>
      <c r="P87" s="107" t="s">
        <v>77</v>
      </c>
      <c r="Q87" s="1488"/>
      <c r="R87" s="1472"/>
      <c r="S87" s="1472"/>
      <c r="T87" s="1472"/>
      <c r="U87" s="1472"/>
      <c r="V87" s="881"/>
      <c r="W87" s="881"/>
    </row>
    <row r="88" spans="1:27" hidden="1">
      <c r="A88" s="1472"/>
      <c r="B88" s="1483"/>
      <c r="C88" s="1472"/>
      <c r="D88" s="1488"/>
      <c r="E88" s="1472"/>
      <c r="F88" s="1472"/>
      <c r="G88" s="1472"/>
      <c r="H88" s="875"/>
      <c r="I88" s="875"/>
      <c r="J88" s="875"/>
      <c r="K88" s="875"/>
      <c r="L88" s="875"/>
      <c r="M88" s="873" t="s">
        <v>1380</v>
      </c>
      <c r="N88" s="107" t="s">
        <v>77</v>
      </c>
      <c r="O88" s="107" t="s">
        <v>77</v>
      </c>
      <c r="P88" s="107" t="s">
        <v>77</v>
      </c>
      <c r="Q88" s="1488"/>
      <c r="R88" s="1472"/>
      <c r="S88" s="1472"/>
      <c r="T88" s="1472"/>
      <c r="U88" s="1472"/>
      <c r="V88" s="881"/>
      <c r="W88" s="881"/>
    </row>
    <row r="89" spans="1:27" hidden="1">
      <c r="A89" s="1472"/>
      <c r="B89" s="1483"/>
      <c r="C89" s="1472"/>
      <c r="D89" s="1488"/>
      <c r="E89" s="1472"/>
      <c r="F89" s="1472"/>
      <c r="G89" s="1472"/>
      <c r="H89" s="875"/>
      <c r="I89" s="875"/>
      <c r="J89" s="875"/>
      <c r="K89" s="875"/>
      <c r="L89" s="875"/>
      <c r="M89" s="873" t="s">
        <v>1381</v>
      </c>
      <c r="N89" s="107">
        <v>2</v>
      </c>
      <c r="O89" s="107">
        <v>1</v>
      </c>
      <c r="P89" s="107">
        <v>-1</v>
      </c>
      <c r="Q89" s="1488"/>
      <c r="R89" s="1472"/>
      <c r="S89" s="1472"/>
      <c r="T89" s="1472"/>
      <c r="U89" s="1472"/>
      <c r="V89" s="881"/>
      <c r="W89" s="881"/>
    </row>
    <row r="90" spans="1:27" hidden="1">
      <c r="A90" s="1472"/>
      <c r="B90" s="1483"/>
      <c r="C90" s="1472"/>
      <c r="D90" s="1488"/>
      <c r="E90" s="1472"/>
      <c r="F90" s="1472"/>
      <c r="G90" s="1472"/>
      <c r="H90" s="875"/>
      <c r="I90" s="875"/>
      <c r="J90" s="875"/>
      <c r="K90" s="875"/>
      <c r="L90" s="875"/>
      <c r="M90" s="873" t="s">
        <v>1382</v>
      </c>
      <c r="N90" s="107" t="s">
        <v>77</v>
      </c>
      <c r="O90" s="107" t="s">
        <v>77</v>
      </c>
      <c r="P90" s="107" t="s">
        <v>77</v>
      </c>
      <c r="Q90" s="1488"/>
      <c r="R90" s="1472"/>
      <c r="S90" s="1472"/>
      <c r="T90" s="1472"/>
      <c r="U90" s="1472"/>
      <c r="V90" s="881"/>
      <c r="W90" s="881"/>
    </row>
    <row r="91" spans="1:27" ht="30" hidden="1">
      <c r="A91" s="1472"/>
      <c r="B91" s="1483"/>
      <c r="C91" s="1472"/>
      <c r="D91" s="1488"/>
      <c r="E91" s="1472"/>
      <c r="F91" s="1472"/>
      <c r="G91" s="1472"/>
      <c r="H91" s="875"/>
      <c r="I91" s="875"/>
      <c r="J91" s="875"/>
      <c r="K91" s="875"/>
      <c r="L91" s="875"/>
      <c r="M91" s="873" t="s">
        <v>1392</v>
      </c>
      <c r="N91" s="107" t="s">
        <v>77</v>
      </c>
      <c r="O91" s="107" t="s">
        <v>77</v>
      </c>
      <c r="P91" s="107" t="s">
        <v>77</v>
      </c>
      <c r="Q91" s="1488"/>
      <c r="R91" s="1472"/>
      <c r="S91" s="1472"/>
      <c r="T91" s="1472"/>
      <c r="U91" s="1472"/>
      <c r="V91" s="881"/>
      <c r="W91" s="881"/>
    </row>
    <row r="92" spans="1:27" hidden="1">
      <c r="A92" s="1472"/>
      <c r="B92" s="1483"/>
      <c r="C92" s="1472"/>
      <c r="D92" s="1488"/>
      <c r="E92" s="1472"/>
      <c r="F92" s="1472"/>
      <c r="G92" s="1472"/>
      <c r="H92" s="875"/>
      <c r="I92" s="875"/>
      <c r="J92" s="875"/>
      <c r="K92" s="875"/>
      <c r="L92" s="875"/>
      <c r="M92" s="873" t="s">
        <v>1400</v>
      </c>
      <c r="N92" s="107" t="s">
        <v>77</v>
      </c>
      <c r="O92" s="107" t="s">
        <v>77</v>
      </c>
      <c r="P92" s="107" t="s">
        <v>77</v>
      </c>
      <c r="Q92" s="1488"/>
      <c r="R92" s="1472"/>
      <c r="S92" s="1472"/>
      <c r="T92" s="1472"/>
      <c r="U92" s="1472"/>
      <c r="V92" s="881"/>
      <c r="W92" s="881"/>
    </row>
    <row r="93" spans="1:27" hidden="1">
      <c r="A93" s="1480"/>
      <c r="B93" s="1484"/>
      <c r="C93" s="1480"/>
      <c r="D93" s="1489"/>
      <c r="E93" s="1480"/>
      <c r="F93" s="1480"/>
      <c r="G93" s="1480"/>
      <c r="H93" s="876"/>
      <c r="I93" s="876"/>
      <c r="J93" s="876"/>
      <c r="K93" s="876"/>
      <c r="L93" s="876"/>
      <c r="M93" s="873" t="s">
        <v>1401</v>
      </c>
      <c r="N93" s="107">
        <v>2</v>
      </c>
      <c r="O93" s="107">
        <v>1</v>
      </c>
      <c r="P93" s="107">
        <v>-1</v>
      </c>
      <c r="Q93" s="1489"/>
      <c r="R93" s="1480"/>
      <c r="S93" s="1480"/>
      <c r="T93" s="1480"/>
      <c r="U93" s="1480"/>
      <c r="V93" s="881"/>
      <c r="W93" s="881"/>
    </row>
    <row r="94" spans="1:27" ht="15" hidden="1" customHeight="1">
      <c r="A94" s="1479">
        <v>15</v>
      </c>
      <c r="B94" s="1476" t="s">
        <v>1558</v>
      </c>
      <c r="C94" s="1479" t="s">
        <v>1416</v>
      </c>
      <c r="D94" s="1487" t="s">
        <v>13</v>
      </c>
      <c r="E94" s="1479"/>
      <c r="F94" s="1479" t="s">
        <v>1371</v>
      </c>
      <c r="G94" s="1479">
        <v>2024</v>
      </c>
      <c r="H94" s="874"/>
      <c r="I94" s="874"/>
      <c r="J94" s="874"/>
      <c r="K94" s="874"/>
      <c r="L94" s="874"/>
      <c r="M94" s="873" t="s">
        <v>1376</v>
      </c>
      <c r="N94" s="107">
        <v>2</v>
      </c>
      <c r="O94" s="107">
        <v>2</v>
      </c>
      <c r="P94" s="107">
        <v>0</v>
      </c>
      <c r="Q94" s="1487" t="s">
        <v>1377</v>
      </c>
      <c r="R94" s="1479">
        <v>3</v>
      </c>
      <c r="S94" s="1479">
        <v>2</v>
      </c>
      <c r="T94" s="1479">
        <v>-1</v>
      </c>
      <c r="U94" s="1479" t="s">
        <v>1378</v>
      </c>
      <c r="V94" s="885"/>
      <c r="W94" s="885"/>
    </row>
    <row r="95" spans="1:27" hidden="1">
      <c r="A95" s="1472"/>
      <c r="B95" s="1483"/>
      <c r="C95" s="1472"/>
      <c r="D95" s="1488"/>
      <c r="E95" s="1472"/>
      <c r="F95" s="1472"/>
      <c r="G95" s="1472"/>
      <c r="H95" s="875"/>
      <c r="I95" s="875"/>
      <c r="J95" s="875"/>
      <c r="K95" s="875"/>
      <c r="L95" s="875"/>
      <c r="M95" s="873" t="s">
        <v>1379</v>
      </c>
      <c r="N95" s="107">
        <v>2</v>
      </c>
      <c r="O95" s="107">
        <v>2</v>
      </c>
      <c r="P95" s="107">
        <v>0</v>
      </c>
      <c r="Q95" s="1488"/>
      <c r="R95" s="1472"/>
      <c r="S95" s="1472"/>
      <c r="T95" s="1472"/>
      <c r="U95" s="1472"/>
      <c r="V95" s="886"/>
      <c r="W95" s="886"/>
    </row>
    <row r="96" spans="1:27" hidden="1">
      <c r="A96" s="1472"/>
      <c r="B96" s="1483"/>
      <c r="C96" s="1472"/>
      <c r="D96" s="1488"/>
      <c r="E96" s="1472"/>
      <c r="F96" s="1472"/>
      <c r="G96" s="1472"/>
      <c r="H96" s="875"/>
      <c r="I96" s="875"/>
      <c r="J96" s="875"/>
      <c r="K96" s="875"/>
      <c r="L96" s="875"/>
      <c r="M96" s="873" t="s">
        <v>1380</v>
      </c>
      <c r="N96" s="107">
        <v>2</v>
      </c>
      <c r="O96" s="107">
        <v>2</v>
      </c>
      <c r="P96" s="107">
        <v>0</v>
      </c>
      <c r="Q96" s="1488"/>
      <c r="R96" s="1472"/>
      <c r="S96" s="1472"/>
      <c r="T96" s="1472"/>
      <c r="U96" s="1472"/>
      <c r="V96" s="886"/>
      <c r="W96" s="886"/>
    </row>
    <row r="97" spans="1:30" hidden="1">
      <c r="A97" s="1472"/>
      <c r="B97" s="1483"/>
      <c r="C97" s="1472"/>
      <c r="D97" s="1488"/>
      <c r="E97" s="1472"/>
      <c r="F97" s="1472"/>
      <c r="G97" s="1472"/>
      <c r="H97" s="875"/>
      <c r="I97" s="875"/>
      <c r="J97" s="875"/>
      <c r="K97" s="875"/>
      <c r="L97" s="875"/>
      <c r="M97" s="873" t="s">
        <v>1381</v>
      </c>
      <c r="N97" s="107">
        <v>2</v>
      </c>
      <c r="O97" s="107">
        <v>2</v>
      </c>
      <c r="P97" s="107">
        <v>0</v>
      </c>
      <c r="Q97" s="1488"/>
      <c r="R97" s="1472"/>
      <c r="S97" s="1472"/>
      <c r="T97" s="1472"/>
      <c r="U97" s="1472"/>
      <c r="V97" s="886"/>
      <c r="W97" s="886"/>
    </row>
    <row r="98" spans="1:30" hidden="1">
      <c r="A98" s="1472"/>
      <c r="B98" s="1483"/>
      <c r="C98" s="1472"/>
      <c r="D98" s="1488"/>
      <c r="E98" s="1472"/>
      <c r="F98" s="1472"/>
      <c r="G98" s="1472"/>
      <c r="H98" s="875"/>
      <c r="I98" s="875"/>
      <c r="J98" s="875"/>
      <c r="K98" s="875"/>
      <c r="L98" s="875"/>
      <c r="M98" s="873" t="s">
        <v>1382</v>
      </c>
      <c r="N98" s="107">
        <v>2</v>
      </c>
      <c r="O98" s="107">
        <v>2</v>
      </c>
      <c r="P98" s="107">
        <v>0</v>
      </c>
      <c r="Q98" s="1488"/>
      <c r="R98" s="1472"/>
      <c r="S98" s="1472"/>
      <c r="T98" s="1472"/>
      <c r="U98" s="1472"/>
      <c r="V98" s="886"/>
      <c r="W98" s="886"/>
    </row>
    <row r="99" spans="1:30" ht="30" hidden="1">
      <c r="A99" s="1472"/>
      <c r="B99" s="1483"/>
      <c r="C99" s="1472"/>
      <c r="D99" s="1488"/>
      <c r="E99" s="1472"/>
      <c r="F99" s="1472"/>
      <c r="G99" s="1472"/>
      <c r="H99" s="875"/>
      <c r="I99" s="875"/>
      <c r="J99" s="875"/>
      <c r="K99" s="875"/>
      <c r="L99" s="875"/>
      <c r="M99" s="873" t="s">
        <v>1392</v>
      </c>
      <c r="N99" s="107">
        <v>2</v>
      </c>
      <c r="O99" s="107">
        <v>2</v>
      </c>
      <c r="P99" s="107">
        <v>0</v>
      </c>
      <c r="Q99" s="1488"/>
      <c r="R99" s="1472"/>
      <c r="S99" s="1472"/>
      <c r="T99" s="1472"/>
      <c r="U99" s="1472"/>
      <c r="V99" s="886"/>
      <c r="W99" s="886"/>
    </row>
    <row r="100" spans="1:30" hidden="1">
      <c r="A100" s="1472"/>
      <c r="B100" s="1483"/>
      <c r="C100" s="1472"/>
      <c r="D100" s="1488"/>
      <c r="E100" s="1472"/>
      <c r="F100" s="1472"/>
      <c r="G100" s="1472"/>
      <c r="H100" s="875"/>
      <c r="I100" s="875"/>
      <c r="J100" s="875"/>
      <c r="K100" s="875"/>
      <c r="L100" s="875"/>
      <c r="M100" s="873" t="s">
        <v>1400</v>
      </c>
      <c r="N100" s="107">
        <v>2</v>
      </c>
      <c r="O100" s="107">
        <v>2</v>
      </c>
      <c r="P100" s="107">
        <v>0</v>
      </c>
      <c r="Q100" s="1488"/>
      <c r="R100" s="1472"/>
      <c r="S100" s="1472"/>
      <c r="T100" s="1472"/>
      <c r="U100" s="1472"/>
      <c r="V100" s="886"/>
      <c r="W100" s="886"/>
    </row>
    <row r="101" spans="1:30" hidden="1">
      <c r="A101" s="1480"/>
      <c r="B101" s="1484"/>
      <c r="C101" s="1480"/>
      <c r="D101" s="1489"/>
      <c r="E101" s="1480"/>
      <c r="F101" s="1480"/>
      <c r="G101" s="1480"/>
      <c r="H101" s="876"/>
      <c r="I101" s="876"/>
      <c r="J101" s="876"/>
      <c r="K101" s="876"/>
      <c r="L101" s="876"/>
      <c r="M101" s="873" t="s">
        <v>1401</v>
      </c>
      <c r="N101" s="107">
        <v>2</v>
      </c>
      <c r="O101" s="107">
        <v>2</v>
      </c>
      <c r="P101" s="107">
        <v>0</v>
      </c>
      <c r="Q101" s="1489"/>
      <c r="R101" s="1480"/>
      <c r="S101" s="1480"/>
      <c r="T101" s="1480"/>
      <c r="U101" s="1480"/>
      <c r="V101" s="887"/>
      <c r="W101" s="887"/>
    </row>
    <row r="102" spans="1:30" ht="201.75">
      <c r="A102" s="1479">
        <v>11</v>
      </c>
      <c r="B102" s="1476" t="s">
        <v>1559</v>
      </c>
      <c r="C102" s="1479" t="s">
        <v>1416</v>
      </c>
      <c r="D102" s="1487" t="s">
        <v>22</v>
      </c>
      <c r="E102" s="1479" t="s">
        <v>1371</v>
      </c>
      <c r="F102" s="1479"/>
      <c r="G102" s="1479">
        <v>2018</v>
      </c>
      <c r="H102" s="1486" t="s">
        <v>1372</v>
      </c>
      <c r="I102" s="1486">
        <v>9</v>
      </c>
      <c r="J102" s="1491" t="s">
        <v>1417</v>
      </c>
      <c r="K102" s="1448" t="s">
        <v>1494</v>
      </c>
      <c r="L102" s="1433" t="s">
        <v>1495</v>
      </c>
      <c r="M102" s="873" t="s">
        <v>1376</v>
      </c>
      <c r="N102" s="107">
        <v>3</v>
      </c>
      <c r="O102" s="107">
        <v>2</v>
      </c>
      <c r="P102" s="107">
        <v>-1</v>
      </c>
      <c r="Q102" s="1487" t="s">
        <v>1377</v>
      </c>
      <c r="R102" s="1479">
        <v>3</v>
      </c>
      <c r="S102" s="1479">
        <v>2</v>
      </c>
      <c r="T102" s="1479">
        <v>-1</v>
      </c>
      <c r="U102" s="1479" t="s">
        <v>1378</v>
      </c>
      <c r="V102" s="905" t="s">
        <v>1553</v>
      </c>
      <c r="W102" s="905" t="s">
        <v>1497</v>
      </c>
      <c r="X102" s="905" t="s">
        <v>1554</v>
      </c>
      <c r="Y102" s="905" t="s">
        <v>1499</v>
      </c>
      <c r="Z102" s="881" t="s">
        <v>1387</v>
      </c>
      <c r="AA102" s="881" t="s">
        <v>1501</v>
      </c>
    </row>
    <row r="103" spans="1:30" ht="45.75" customHeight="1">
      <c r="A103" s="1472"/>
      <c r="B103" s="1483"/>
      <c r="C103" s="1472"/>
      <c r="D103" s="1488"/>
      <c r="E103" s="1472"/>
      <c r="F103" s="1472"/>
      <c r="G103" s="1472"/>
      <c r="H103" s="1486"/>
      <c r="I103" s="1486"/>
      <c r="J103" s="1491"/>
      <c r="K103" s="875"/>
      <c r="L103" s="875"/>
      <c r="M103" s="873" t="s">
        <v>1379</v>
      </c>
      <c r="N103" s="107">
        <v>3</v>
      </c>
      <c r="O103" s="107">
        <v>2</v>
      </c>
      <c r="P103" s="107">
        <v>-1</v>
      </c>
      <c r="Q103" s="1488"/>
      <c r="R103" s="1472"/>
      <c r="S103" s="1472"/>
      <c r="T103" s="1472"/>
      <c r="U103" s="1472"/>
      <c r="V103" s="881" t="s">
        <v>1502</v>
      </c>
      <c r="W103" s="881" t="s">
        <v>1555</v>
      </c>
      <c r="X103" s="105" t="s">
        <v>1504</v>
      </c>
      <c r="Y103" s="105" t="s">
        <v>1505</v>
      </c>
      <c r="Z103" s="881" t="s">
        <v>1387</v>
      </c>
      <c r="AA103" s="881" t="s">
        <v>1501</v>
      </c>
    </row>
    <row r="104" spans="1:30" ht="106.5">
      <c r="A104" s="1472"/>
      <c r="B104" s="1483"/>
      <c r="C104" s="1472"/>
      <c r="D104" s="1488"/>
      <c r="E104" s="1472"/>
      <c r="F104" s="1472"/>
      <c r="G104" s="1472"/>
      <c r="H104" s="1486"/>
      <c r="I104" s="1486"/>
      <c r="J104" s="1491"/>
      <c r="K104" s="875"/>
      <c r="L104" s="875"/>
      <c r="M104" s="873" t="s">
        <v>1380</v>
      </c>
      <c r="N104" s="107">
        <v>3</v>
      </c>
      <c r="O104" s="107">
        <v>2</v>
      </c>
      <c r="P104" s="107">
        <v>-1</v>
      </c>
      <c r="Q104" s="1488"/>
      <c r="R104" s="1472"/>
      <c r="S104" s="1472"/>
      <c r="T104" s="1472"/>
      <c r="U104" s="1472"/>
      <c r="V104" s="881" t="s">
        <v>1506</v>
      </c>
      <c r="W104" s="881" t="s">
        <v>1507</v>
      </c>
      <c r="X104" s="105" t="s">
        <v>1508</v>
      </c>
      <c r="Y104" s="105" t="s">
        <v>1505</v>
      </c>
      <c r="Z104" s="881" t="s">
        <v>1387</v>
      </c>
      <c r="AA104" s="881" t="s">
        <v>1501</v>
      </c>
    </row>
    <row r="105" spans="1:30" ht="75.75">
      <c r="A105" s="1472"/>
      <c r="B105" s="1483"/>
      <c r="C105" s="1472"/>
      <c r="D105" s="1488"/>
      <c r="E105" s="1472"/>
      <c r="F105" s="1472"/>
      <c r="G105" s="1472"/>
      <c r="H105" s="1486"/>
      <c r="I105" s="1486"/>
      <c r="J105" s="1491"/>
      <c r="K105" s="875"/>
      <c r="L105" s="875"/>
      <c r="M105" s="873" t="s">
        <v>1381</v>
      </c>
      <c r="N105" s="107">
        <v>3</v>
      </c>
      <c r="O105" s="107">
        <v>2</v>
      </c>
      <c r="P105" s="107">
        <v>-1</v>
      </c>
      <c r="Q105" s="1488"/>
      <c r="R105" s="1472"/>
      <c r="S105" s="1472"/>
      <c r="T105" s="1472"/>
      <c r="U105" s="1472"/>
      <c r="V105" s="881" t="s">
        <v>1463</v>
      </c>
      <c r="W105" s="881" t="s">
        <v>1509</v>
      </c>
      <c r="X105" s="881" t="s">
        <v>1510</v>
      </c>
      <c r="Y105" s="105" t="s">
        <v>1511</v>
      </c>
      <c r="Z105" s="881" t="s">
        <v>1387</v>
      </c>
      <c r="AA105" s="881" t="s">
        <v>1512</v>
      </c>
    </row>
    <row r="106" spans="1:30" ht="121.5">
      <c r="A106" s="1472"/>
      <c r="B106" s="1483"/>
      <c r="C106" s="1472"/>
      <c r="D106" s="1488"/>
      <c r="E106" s="1472"/>
      <c r="F106" s="1472"/>
      <c r="G106" s="1472"/>
      <c r="H106" s="1486"/>
      <c r="I106" s="1486"/>
      <c r="J106" s="1491"/>
      <c r="K106" s="875"/>
      <c r="L106" s="875"/>
      <c r="M106" s="873" t="s">
        <v>1382</v>
      </c>
      <c r="N106" s="107">
        <v>3</v>
      </c>
      <c r="O106" s="107">
        <v>2</v>
      </c>
      <c r="P106" s="107">
        <v>-1</v>
      </c>
      <c r="Q106" s="1488"/>
      <c r="R106" s="1472"/>
      <c r="S106" s="1472"/>
      <c r="T106" s="1472"/>
      <c r="U106" s="1472"/>
      <c r="V106" s="881" t="s">
        <v>1513</v>
      </c>
      <c r="W106" s="881" t="s">
        <v>1514</v>
      </c>
      <c r="X106" s="881" t="s">
        <v>1515</v>
      </c>
      <c r="Y106" s="881" t="s">
        <v>1516</v>
      </c>
      <c r="Z106" s="881" t="s">
        <v>1387</v>
      </c>
      <c r="AA106" s="881" t="s">
        <v>1501</v>
      </c>
    </row>
    <row r="107" spans="1:30" ht="75.75">
      <c r="A107" s="1472"/>
      <c r="B107" s="1483"/>
      <c r="C107" s="1472"/>
      <c r="D107" s="1488"/>
      <c r="E107" s="1472"/>
      <c r="F107" s="1472"/>
      <c r="G107" s="1472"/>
      <c r="H107" s="1486"/>
      <c r="I107" s="1486"/>
      <c r="J107" s="1491"/>
      <c r="K107" s="875"/>
      <c r="L107" s="875"/>
      <c r="M107" s="873" t="s">
        <v>1392</v>
      </c>
      <c r="N107" s="107">
        <v>3</v>
      </c>
      <c r="O107" s="107">
        <v>2</v>
      </c>
      <c r="P107" s="107">
        <v>-1</v>
      </c>
      <c r="Q107" s="1488"/>
      <c r="R107" s="1472"/>
      <c r="S107" s="1472"/>
      <c r="T107" s="1472"/>
      <c r="U107" s="1472"/>
      <c r="V107" s="881" t="s">
        <v>1393</v>
      </c>
      <c r="W107" s="894" t="s">
        <v>1517</v>
      </c>
      <c r="X107" s="894" t="s">
        <v>1517</v>
      </c>
      <c r="Y107" s="105" t="s">
        <v>1511</v>
      </c>
      <c r="Z107" s="881" t="s">
        <v>1387</v>
      </c>
      <c r="AA107" s="881" t="s">
        <v>1518</v>
      </c>
    </row>
    <row r="108" spans="1:30" ht="121.5">
      <c r="A108" s="1472"/>
      <c r="B108" s="1483"/>
      <c r="C108" s="1472"/>
      <c r="D108" s="1488"/>
      <c r="E108" s="1472"/>
      <c r="F108" s="1472"/>
      <c r="G108" s="1472"/>
      <c r="H108" s="1486"/>
      <c r="I108" s="1486"/>
      <c r="J108" s="1491"/>
      <c r="K108" s="875"/>
      <c r="L108" s="875"/>
      <c r="M108" s="873" t="s">
        <v>1400</v>
      </c>
      <c r="N108" s="107">
        <v>3</v>
      </c>
      <c r="O108" s="107">
        <v>2</v>
      </c>
      <c r="P108" s="107">
        <v>-1</v>
      </c>
      <c r="Q108" s="1488"/>
      <c r="R108" s="1472"/>
      <c r="S108" s="1472"/>
      <c r="T108" s="1472"/>
      <c r="U108" s="1472"/>
      <c r="V108" s="881" t="s">
        <v>1519</v>
      </c>
      <c r="W108" s="881" t="s">
        <v>1520</v>
      </c>
      <c r="X108" s="881" t="s">
        <v>1521</v>
      </c>
      <c r="Y108" s="881" t="s">
        <v>1511</v>
      </c>
      <c r="Z108" s="881" t="s">
        <v>1387</v>
      </c>
      <c r="AA108" s="881" t="s">
        <v>1501</v>
      </c>
    </row>
    <row r="109" spans="1:30" ht="151.5">
      <c r="A109" s="1480"/>
      <c r="B109" s="1484"/>
      <c r="C109" s="1480"/>
      <c r="D109" s="1489"/>
      <c r="E109" s="1480"/>
      <c r="F109" s="1480"/>
      <c r="G109" s="1480"/>
      <c r="H109" s="1486"/>
      <c r="I109" s="1486"/>
      <c r="J109" s="1491"/>
      <c r="K109" s="876"/>
      <c r="L109" s="876"/>
      <c r="M109" s="873" t="s">
        <v>1401</v>
      </c>
      <c r="N109" s="107">
        <v>3</v>
      </c>
      <c r="O109" s="107">
        <v>2</v>
      </c>
      <c r="P109" s="107">
        <v>-1</v>
      </c>
      <c r="Q109" s="1489"/>
      <c r="R109" s="1480"/>
      <c r="S109" s="1480"/>
      <c r="T109" s="1480"/>
      <c r="U109" s="1480"/>
      <c r="V109" s="881" t="s">
        <v>1522</v>
      </c>
      <c r="W109" s="881" t="s">
        <v>1523</v>
      </c>
      <c r="X109" s="894" t="s">
        <v>1524</v>
      </c>
      <c r="Y109" s="881" t="s">
        <v>1511</v>
      </c>
      <c r="Z109" s="881" t="s">
        <v>1387</v>
      </c>
      <c r="AA109" s="881" t="s">
        <v>1501</v>
      </c>
    </row>
    <row r="110" spans="1:30" ht="15" customHeight="1">
      <c r="A110" s="1479">
        <v>12</v>
      </c>
      <c r="B110" s="1476" t="s">
        <v>1560</v>
      </c>
      <c r="C110" s="1479" t="s">
        <v>1416</v>
      </c>
      <c r="D110" s="1487" t="s">
        <v>13</v>
      </c>
      <c r="E110" s="1479" t="s">
        <v>1371</v>
      </c>
      <c r="F110" s="1479"/>
      <c r="G110" s="1479">
        <v>2024</v>
      </c>
      <c r="H110" s="1472" t="s">
        <v>1372</v>
      </c>
      <c r="I110" s="1472">
        <v>2</v>
      </c>
      <c r="J110" s="1481" t="s">
        <v>1373</v>
      </c>
      <c r="K110" s="1476" t="s">
        <v>1561</v>
      </c>
      <c r="L110" s="1485" t="s">
        <v>1527</v>
      </c>
      <c r="M110" s="873" t="s">
        <v>1376</v>
      </c>
      <c r="N110" s="107" t="s">
        <v>77</v>
      </c>
      <c r="O110" s="107" t="s">
        <v>77</v>
      </c>
      <c r="P110" s="107" t="s">
        <v>77</v>
      </c>
      <c r="Q110" s="1487" t="s">
        <v>1377</v>
      </c>
      <c r="R110" s="1479" t="s">
        <v>77</v>
      </c>
      <c r="S110" s="1479" t="s">
        <v>77</v>
      </c>
      <c r="T110" s="1479" t="s">
        <v>77</v>
      </c>
      <c r="U110" s="1479" t="s">
        <v>1378</v>
      </c>
      <c r="V110" s="107" t="s">
        <v>77</v>
      </c>
      <c r="W110" s="107" t="s">
        <v>77</v>
      </c>
      <c r="X110" s="107" t="s">
        <v>77</v>
      </c>
      <c r="Y110" s="107" t="s">
        <v>77</v>
      </c>
      <c r="Z110" s="107" t="s">
        <v>77</v>
      </c>
      <c r="AA110" s="107" t="s">
        <v>77</v>
      </c>
      <c r="AB110" s="107" t="s">
        <v>77</v>
      </c>
      <c r="AC110" s="107" t="s">
        <v>77</v>
      </c>
      <c r="AD110" s="107" t="s">
        <v>77</v>
      </c>
    </row>
    <row r="111" spans="1:30">
      <c r="A111" s="1472"/>
      <c r="B111" s="1483"/>
      <c r="C111" s="1472"/>
      <c r="D111" s="1488"/>
      <c r="E111" s="1472"/>
      <c r="F111" s="1472"/>
      <c r="G111" s="1472"/>
      <c r="H111" s="1472"/>
      <c r="I111" s="1472"/>
      <c r="J111" s="1481"/>
      <c r="K111" s="1483"/>
      <c r="L111" s="1483"/>
      <c r="M111" s="873" t="s">
        <v>1379</v>
      </c>
      <c r="N111" s="107" t="s">
        <v>77</v>
      </c>
      <c r="O111" s="107" t="s">
        <v>77</v>
      </c>
      <c r="P111" s="107" t="s">
        <v>77</v>
      </c>
      <c r="Q111" s="1488"/>
      <c r="R111" s="1472"/>
      <c r="S111" s="1472"/>
      <c r="T111" s="1472"/>
      <c r="U111" s="1472"/>
      <c r="V111" s="107" t="s">
        <v>77</v>
      </c>
      <c r="W111" s="107" t="s">
        <v>77</v>
      </c>
      <c r="X111" s="107" t="s">
        <v>77</v>
      </c>
      <c r="Y111" s="107" t="s">
        <v>77</v>
      </c>
      <c r="Z111" s="107" t="s">
        <v>77</v>
      </c>
      <c r="AA111" s="107" t="s">
        <v>77</v>
      </c>
      <c r="AB111" s="107" t="s">
        <v>77</v>
      </c>
      <c r="AC111" s="107" t="s">
        <v>77</v>
      </c>
      <c r="AD111" s="107" t="s">
        <v>77</v>
      </c>
    </row>
    <row r="112" spans="1:30">
      <c r="A112" s="1472"/>
      <c r="B112" s="1483"/>
      <c r="C112" s="1472"/>
      <c r="D112" s="1488"/>
      <c r="E112" s="1472"/>
      <c r="F112" s="1472"/>
      <c r="G112" s="1472"/>
      <c r="H112" s="1472"/>
      <c r="I112" s="1472"/>
      <c r="J112" s="1481"/>
      <c r="K112" s="1483"/>
      <c r="L112" s="1483"/>
      <c r="M112" s="873" t="s">
        <v>1380</v>
      </c>
      <c r="N112" s="107" t="s">
        <v>77</v>
      </c>
      <c r="O112" s="107" t="s">
        <v>77</v>
      </c>
      <c r="P112" s="107" t="s">
        <v>77</v>
      </c>
      <c r="Q112" s="1488"/>
      <c r="R112" s="1472"/>
      <c r="S112" s="1472"/>
      <c r="T112" s="1472"/>
      <c r="U112" s="1472"/>
      <c r="V112" s="107" t="s">
        <v>77</v>
      </c>
      <c r="W112" s="107" t="s">
        <v>77</v>
      </c>
      <c r="X112" s="107" t="s">
        <v>77</v>
      </c>
      <c r="Y112" s="107" t="s">
        <v>77</v>
      </c>
      <c r="Z112" s="107" t="s">
        <v>77</v>
      </c>
      <c r="AA112" s="107" t="s">
        <v>77</v>
      </c>
      <c r="AB112" s="107" t="s">
        <v>77</v>
      </c>
      <c r="AC112" s="107" t="s">
        <v>77</v>
      </c>
      <c r="AD112" s="107" t="s">
        <v>77</v>
      </c>
    </row>
    <row r="113" spans="1:39" ht="75.75">
      <c r="A113" s="1472"/>
      <c r="B113" s="1483"/>
      <c r="C113" s="1472"/>
      <c r="D113" s="1488"/>
      <c r="E113" s="1472"/>
      <c r="F113" s="1472"/>
      <c r="G113" s="1472"/>
      <c r="H113" s="1472"/>
      <c r="I113" s="1472"/>
      <c r="J113" s="1481"/>
      <c r="K113" s="1483"/>
      <c r="L113" s="1483"/>
      <c r="M113" s="873" t="s">
        <v>1381</v>
      </c>
      <c r="N113" s="107">
        <v>2</v>
      </c>
      <c r="O113" s="107">
        <v>1</v>
      </c>
      <c r="P113" s="107">
        <v>-1</v>
      </c>
      <c r="Q113" s="1488"/>
      <c r="R113" s="1472"/>
      <c r="S113" s="1472"/>
      <c r="T113" s="1472"/>
      <c r="U113" s="1472"/>
      <c r="V113" s="881" t="s">
        <v>1463</v>
      </c>
      <c r="W113" s="881" t="s">
        <v>1509</v>
      </c>
      <c r="X113" s="881" t="s">
        <v>1510</v>
      </c>
      <c r="Y113" s="105" t="s">
        <v>1511</v>
      </c>
      <c r="Z113" s="881" t="s">
        <v>1387</v>
      </c>
      <c r="AA113" s="881" t="s">
        <v>1512</v>
      </c>
      <c r="AB113" s="900" t="s">
        <v>1562</v>
      </c>
      <c r="AC113" s="881" t="s">
        <v>1563</v>
      </c>
      <c r="AD113" s="900" t="s">
        <v>1564</v>
      </c>
      <c r="AG113" s="900" t="s">
        <v>1565</v>
      </c>
    </row>
    <row r="114" spans="1:39">
      <c r="A114" s="1472"/>
      <c r="B114" s="1483"/>
      <c r="C114" s="1472"/>
      <c r="D114" s="1488"/>
      <c r="E114" s="1472"/>
      <c r="F114" s="1472"/>
      <c r="G114" s="1472"/>
      <c r="H114" s="1472"/>
      <c r="I114" s="1472"/>
      <c r="J114" s="1481"/>
      <c r="K114" s="1483"/>
      <c r="L114" s="1483"/>
      <c r="M114" s="873" t="s">
        <v>1382</v>
      </c>
      <c r="N114" s="107" t="s">
        <v>77</v>
      </c>
      <c r="O114" s="107" t="s">
        <v>77</v>
      </c>
      <c r="P114" s="107" t="s">
        <v>77</v>
      </c>
      <c r="Q114" s="1488"/>
      <c r="R114" s="1472"/>
      <c r="S114" s="1472"/>
      <c r="T114" s="1472"/>
      <c r="U114" s="1472"/>
      <c r="V114" s="107" t="s">
        <v>77</v>
      </c>
      <c r="W114" s="107" t="s">
        <v>77</v>
      </c>
      <c r="X114" s="107" t="s">
        <v>77</v>
      </c>
      <c r="Y114" s="107" t="s">
        <v>77</v>
      </c>
      <c r="Z114" s="107" t="s">
        <v>77</v>
      </c>
      <c r="AA114" s="107" t="s">
        <v>77</v>
      </c>
      <c r="AB114" s="107" t="s">
        <v>77</v>
      </c>
      <c r="AC114" s="107" t="s">
        <v>77</v>
      </c>
      <c r="AD114" s="107" t="s">
        <v>77</v>
      </c>
    </row>
    <row r="115" spans="1:39" ht="75.75">
      <c r="A115" s="1472"/>
      <c r="B115" s="1483"/>
      <c r="C115" s="1472"/>
      <c r="D115" s="1488"/>
      <c r="E115" s="1472"/>
      <c r="F115" s="1472"/>
      <c r="G115" s="1472"/>
      <c r="H115" s="1472"/>
      <c r="I115" s="1472"/>
      <c r="J115" s="1481"/>
      <c r="K115" s="1483"/>
      <c r="L115" s="1483"/>
      <c r="M115" s="873" t="s">
        <v>1392</v>
      </c>
      <c r="N115" s="107">
        <v>2</v>
      </c>
      <c r="O115" s="107">
        <v>1</v>
      </c>
      <c r="P115" s="107">
        <v>-1</v>
      </c>
      <c r="Q115" s="1488"/>
      <c r="R115" s="1472"/>
      <c r="S115" s="1472"/>
      <c r="T115" s="1472"/>
      <c r="U115" s="1472"/>
      <c r="V115" s="881" t="s">
        <v>1393</v>
      </c>
      <c r="W115" s="894" t="s">
        <v>1517</v>
      </c>
      <c r="X115" s="894" t="s">
        <v>1517</v>
      </c>
      <c r="Y115" s="105" t="s">
        <v>1511</v>
      </c>
      <c r="Z115" s="881" t="s">
        <v>1387</v>
      </c>
      <c r="AA115" s="881" t="s">
        <v>1518</v>
      </c>
      <c r="AB115" s="897" t="s">
        <v>1566</v>
      </c>
      <c r="AC115" s="897" t="s">
        <v>1566</v>
      </c>
      <c r="AD115" s="900" t="s">
        <v>1564</v>
      </c>
      <c r="AG115" s="900" t="s">
        <v>1565</v>
      </c>
    </row>
    <row r="116" spans="1:39">
      <c r="A116" s="1472"/>
      <c r="B116" s="1483"/>
      <c r="C116" s="1472"/>
      <c r="D116" s="1488"/>
      <c r="E116" s="1472"/>
      <c r="F116" s="1472"/>
      <c r="G116" s="1472"/>
      <c r="H116" s="1472"/>
      <c r="I116" s="1472"/>
      <c r="J116" s="1481"/>
      <c r="K116" s="1483"/>
      <c r="L116" s="1483"/>
      <c r="M116" s="873" t="s">
        <v>1400</v>
      </c>
      <c r="N116" s="107" t="s">
        <v>77</v>
      </c>
      <c r="O116" s="107" t="s">
        <v>77</v>
      </c>
      <c r="P116" s="107" t="s">
        <v>77</v>
      </c>
      <c r="Q116" s="1488"/>
      <c r="R116" s="1472"/>
      <c r="S116" s="1472"/>
      <c r="T116" s="1472"/>
      <c r="U116" s="1472"/>
      <c r="V116" s="107" t="s">
        <v>77</v>
      </c>
      <c r="W116" s="107" t="s">
        <v>77</v>
      </c>
      <c r="X116" s="107" t="s">
        <v>77</v>
      </c>
      <c r="Y116" s="107" t="s">
        <v>77</v>
      </c>
      <c r="Z116" s="107" t="s">
        <v>77</v>
      </c>
      <c r="AA116" s="107" t="s">
        <v>77</v>
      </c>
      <c r="AB116" s="107" t="s">
        <v>77</v>
      </c>
      <c r="AC116" s="107" t="s">
        <v>77</v>
      </c>
      <c r="AD116" s="107" t="s">
        <v>77</v>
      </c>
    </row>
    <row r="117" spans="1:39">
      <c r="A117" s="1480"/>
      <c r="B117" s="1484"/>
      <c r="C117" s="1480"/>
      <c r="D117" s="1489"/>
      <c r="E117" s="1480"/>
      <c r="F117" s="1480"/>
      <c r="G117" s="1480"/>
      <c r="H117" s="1480"/>
      <c r="I117" s="1480"/>
      <c r="J117" s="1482"/>
      <c r="K117" s="1484"/>
      <c r="L117" s="1484"/>
      <c r="M117" s="873" t="s">
        <v>1401</v>
      </c>
      <c r="N117" s="107" t="s">
        <v>77</v>
      </c>
      <c r="O117" s="107" t="s">
        <v>77</v>
      </c>
      <c r="P117" s="107" t="s">
        <v>77</v>
      </c>
      <c r="Q117" s="1489"/>
      <c r="R117" s="1480"/>
      <c r="S117" s="1480"/>
      <c r="T117" s="1480"/>
      <c r="U117" s="1480"/>
      <c r="V117" s="107" t="s">
        <v>77</v>
      </c>
      <c r="W117" s="107" t="s">
        <v>77</v>
      </c>
      <c r="X117" s="107" t="s">
        <v>77</v>
      </c>
      <c r="Y117" s="107" t="s">
        <v>77</v>
      </c>
      <c r="Z117" s="107" t="s">
        <v>77</v>
      </c>
      <c r="AA117" s="107" t="s">
        <v>77</v>
      </c>
      <c r="AB117" s="107" t="s">
        <v>77</v>
      </c>
      <c r="AC117" s="107" t="s">
        <v>77</v>
      </c>
      <c r="AD117" s="107" t="s">
        <v>77</v>
      </c>
    </row>
    <row r="118" spans="1:39" ht="15" customHeight="1">
      <c r="A118" s="1479">
        <v>13</v>
      </c>
      <c r="B118" s="1476" t="s">
        <v>1567</v>
      </c>
      <c r="C118" s="1479" t="s">
        <v>1416</v>
      </c>
      <c r="D118" s="1487" t="s">
        <v>13</v>
      </c>
      <c r="E118" s="1479" t="s">
        <v>1371</v>
      </c>
      <c r="F118" s="1479"/>
      <c r="G118" s="1479">
        <v>2024</v>
      </c>
      <c r="H118" s="1472" t="s">
        <v>1372</v>
      </c>
      <c r="I118" s="1472">
        <v>3</v>
      </c>
      <c r="J118" s="1473" t="s">
        <v>1480</v>
      </c>
      <c r="K118" s="874"/>
      <c r="L118" s="1433" t="s">
        <v>1495</v>
      </c>
      <c r="M118" s="873" t="s">
        <v>1376</v>
      </c>
      <c r="N118" s="107" t="s">
        <v>77</v>
      </c>
      <c r="O118" s="107" t="s">
        <v>77</v>
      </c>
      <c r="P118" s="107" t="s">
        <v>77</v>
      </c>
      <c r="Q118" s="1487" t="s">
        <v>1377</v>
      </c>
      <c r="R118" s="1479" t="s">
        <v>77</v>
      </c>
      <c r="S118" s="1479" t="s">
        <v>77</v>
      </c>
      <c r="T118" s="1479" t="s">
        <v>77</v>
      </c>
      <c r="U118" s="1479" t="s">
        <v>1378</v>
      </c>
      <c r="V118" s="107" t="s">
        <v>77</v>
      </c>
      <c r="W118" s="107" t="s">
        <v>77</v>
      </c>
      <c r="X118" s="107" t="s">
        <v>77</v>
      </c>
      <c r="Y118" s="107" t="s">
        <v>77</v>
      </c>
      <c r="Z118" s="107" t="s">
        <v>77</v>
      </c>
      <c r="AA118" s="107" t="s">
        <v>77</v>
      </c>
      <c r="AB118" s="107" t="s">
        <v>77</v>
      </c>
      <c r="AC118" s="107" t="s">
        <v>77</v>
      </c>
      <c r="AD118" s="107" t="s">
        <v>77</v>
      </c>
      <c r="AE118" s="107" t="s">
        <v>77</v>
      </c>
      <c r="AF118" s="107" t="s">
        <v>77</v>
      </c>
      <c r="AG118" s="107" t="s">
        <v>77</v>
      </c>
      <c r="AH118" s="107" t="s">
        <v>77</v>
      </c>
      <c r="AI118" s="107" t="s">
        <v>77</v>
      </c>
      <c r="AJ118" s="107" t="s">
        <v>77</v>
      </c>
      <c r="AK118" s="107" t="s">
        <v>77</v>
      </c>
      <c r="AL118" s="107" t="s">
        <v>77</v>
      </c>
      <c r="AM118" s="107" t="s">
        <v>77</v>
      </c>
    </row>
    <row r="119" spans="1:39">
      <c r="A119" s="1472"/>
      <c r="B119" s="1483"/>
      <c r="C119" s="1472"/>
      <c r="D119" s="1488"/>
      <c r="E119" s="1472"/>
      <c r="F119" s="1472"/>
      <c r="G119" s="1472"/>
      <c r="H119" s="1472"/>
      <c r="I119" s="1472"/>
      <c r="J119" s="1473"/>
      <c r="K119" s="875"/>
      <c r="L119" s="875"/>
      <c r="M119" s="873" t="s">
        <v>1379</v>
      </c>
      <c r="N119" s="107" t="s">
        <v>77</v>
      </c>
      <c r="O119" s="107" t="s">
        <v>77</v>
      </c>
      <c r="P119" s="107" t="s">
        <v>77</v>
      </c>
      <c r="Q119" s="1488"/>
      <c r="R119" s="1472"/>
      <c r="S119" s="1472"/>
      <c r="T119" s="1472"/>
      <c r="U119" s="1472"/>
      <c r="V119" s="107" t="s">
        <v>77</v>
      </c>
      <c r="W119" s="107" t="s">
        <v>77</v>
      </c>
      <c r="X119" s="107" t="s">
        <v>77</v>
      </c>
      <c r="Y119" s="107" t="s">
        <v>77</v>
      </c>
      <c r="Z119" s="107" t="s">
        <v>77</v>
      </c>
      <c r="AA119" s="107" t="s">
        <v>77</v>
      </c>
      <c r="AB119" s="107" t="s">
        <v>77</v>
      </c>
      <c r="AC119" s="107" t="s">
        <v>77</v>
      </c>
      <c r="AD119" s="107" t="s">
        <v>77</v>
      </c>
      <c r="AE119" s="107" t="s">
        <v>77</v>
      </c>
      <c r="AF119" s="107" t="s">
        <v>77</v>
      </c>
      <c r="AG119" s="107" t="s">
        <v>77</v>
      </c>
      <c r="AH119" s="107" t="s">
        <v>77</v>
      </c>
      <c r="AI119" s="107" t="s">
        <v>77</v>
      </c>
      <c r="AJ119" s="107" t="s">
        <v>77</v>
      </c>
      <c r="AK119" s="107" t="s">
        <v>77</v>
      </c>
      <c r="AL119" s="107" t="s">
        <v>77</v>
      </c>
      <c r="AM119" s="107" t="s">
        <v>77</v>
      </c>
    </row>
    <row r="120" spans="1:39">
      <c r="A120" s="1472"/>
      <c r="B120" s="1483"/>
      <c r="C120" s="1472"/>
      <c r="D120" s="1488"/>
      <c r="E120" s="1472"/>
      <c r="F120" s="1472"/>
      <c r="G120" s="1472"/>
      <c r="H120" s="1472"/>
      <c r="I120" s="1472"/>
      <c r="J120" s="1473"/>
      <c r="K120" s="875"/>
      <c r="L120" s="875"/>
      <c r="M120" s="873" t="s">
        <v>1380</v>
      </c>
      <c r="N120" s="107" t="s">
        <v>77</v>
      </c>
      <c r="O120" s="107" t="s">
        <v>77</v>
      </c>
      <c r="P120" s="107" t="s">
        <v>77</v>
      </c>
      <c r="Q120" s="1488"/>
      <c r="R120" s="1472"/>
      <c r="S120" s="1472"/>
      <c r="T120" s="1472"/>
      <c r="U120" s="1472"/>
      <c r="V120" s="107" t="s">
        <v>77</v>
      </c>
      <c r="W120" s="107" t="s">
        <v>77</v>
      </c>
      <c r="X120" s="107" t="s">
        <v>77</v>
      </c>
      <c r="Y120" s="107" t="s">
        <v>77</v>
      </c>
      <c r="Z120" s="107" t="s">
        <v>77</v>
      </c>
      <c r="AA120" s="107" t="s">
        <v>77</v>
      </c>
      <c r="AB120" s="107" t="s">
        <v>77</v>
      </c>
      <c r="AC120" s="107" t="s">
        <v>77</v>
      </c>
      <c r="AD120" s="107" t="s">
        <v>77</v>
      </c>
      <c r="AE120" s="107" t="s">
        <v>77</v>
      </c>
      <c r="AF120" s="107" t="s">
        <v>77</v>
      </c>
      <c r="AG120" s="107" t="s">
        <v>77</v>
      </c>
      <c r="AH120" s="107" t="s">
        <v>77</v>
      </c>
      <c r="AI120" s="107" t="s">
        <v>77</v>
      </c>
      <c r="AJ120" s="107" t="s">
        <v>77</v>
      </c>
      <c r="AK120" s="107" t="s">
        <v>77</v>
      </c>
      <c r="AL120" s="107" t="s">
        <v>77</v>
      </c>
      <c r="AM120" s="107" t="s">
        <v>77</v>
      </c>
    </row>
    <row r="121" spans="1:39">
      <c r="A121" s="1472"/>
      <c r="B121" s="1483"/>
      <c r="C121" s="1472"/>
      <c r="D121" s="1488"/>
      <c r="E121" s="1472"/>
      <c r="F121" s="1472"/>
      <c r="G121" s="1472"/>
      <c r="H121" s="1472"/>
      <c r="I121" s="1472"/>
      <c r="J121" s="1473"/>
      <c r="K121" s="875"/>
      <c r="L121" s="875"/>
      <c r="M121" s="873" t="s">
        <v>1381</v>
      </c>
      <c r="N121" s="107" t="s">
        <v>77</v>
      </c>
      <c r="O121" s="107" t="s">
        <v>77</v>
      </c>
      <c r="P121" s="107" t="s">
        <v>77</v>
      </c>
      <c r="Q121" s="1488"/>
      <c r="R121" s="1472"/>
      <c r="S121" s="1472"/>
      <c r="T121" s="1472"/>
      <c r="U121" s="1472"/>
      <c r="V121" s="107" t="s">
        <v>77</v>
      </c>
      <c r="W121" s="107" t="s">
        <v>77</v>
      </c>
      <c r="X121" s="107" t="s">
        <v>77</v>
      </c>
      <c r="Y121" s="107" t="s">
        <v>77</v>
      </c>
      <c r="Z121" s="107" t="s">
        <v>77</v>
      </c>
      <c r="AA121" s="107" t="s">
        <v>77</v>
      </c>
      <c r="AB121" s="107" t="s">
        <v>77</v>
      </c>
      <c r="AC121" s="107" t="s">
        <v>77</v>
      </c>
      <c r="AD121" s="107" t="s">
        <v>77</v>
      </c>
      <c r="AE121" s="107" t="s">
        <v>77</v>
      </c>
      <c r="AF121" s="107" t="s">
        <v>77</v>
      </c>
      <c r="AG121" s="107" t="s">
        <v>77</v>
      </c>
      <c r="AH121" s="107" t="s">
        <v>77</v>
      </c>
      <c r="AI121" s="107" t="s">
        <v>77</v>
      </c>
      <c r="AJ121" s="107" t="s">
        <v>77</v>
      </c>
      <c r="AK121" s="107" t="s">
        <v>77</v>
      </c>
      <c r="AL121" s="107" t="s">
        <v>77</v>
      </c>
      <c r="AM121" s="107" t="s">
        <v>77</v>
      </c>
    </row>
    <row r="122" spans="1:39">
      <c r="A122" s="1472"/>
      <c r="B122" s="1483"/>
      <c r="C122" s="1472"/>
      <c r="D122" s="1488"/>
      <c r="E122" s="1472"/>
      <c r="F122" s="1472"/>
      <c r="G122" s="1472"/>
      <c r="H122" s="1472"/>
      <c r="I122" s="1472"/>
      <c r="J122" s="1473"/>
      <c r="K122" s="875"/>
      <c r="L122" s="875"/>
      <c r="M122" s="873" t="s">
        <v>1382</v>
      </c>
      <c r="N122" s="107">
        <v>2</v>
      </c>
      <c r="O122" s="107">
        <v>1</v>
      </c>
      <c r="P122" s="107">
        <v>-1</v>
      </c>
      <c r="Q122" s="1488"/>
      <c r="R122" s="1472"/>
      <c r="S122" s="1472"/>
      <c r="T122" s="1472"/>
      <c r="U122" s="1472"/>
      <c r="V122" s="881"/>
      <c r="W122" s="881"/>
    </row>
    <row r="123" spans="1:39" ht="75.75">
      <c r="A123" s="1472"/>
      <c r="B123" s="1483"/>
      <c r="C123" s="1472"/>
      <c r="D123" s="1488"/>
      <c r="E123" s="1472"/>
      <c r="F123" s="1472"/>
      <c r="G123" s="1472"/>
      <c r="H123" s="1472"/>
      <c r="I123" s="1472"/>
      <c r="J123" s="1473"/>
      <c r="K123" s="875"/>
      <c r="L123" s="875"/>
      <c r="M123" s="873" t="s">
        <v>1392</v>
      </c>
      <c r="N123" s="107">
        <v>2</v>
      </c>
      <c r="O123" s="107">
        <v>1</v>
      </c>
      <c r="P123" s="107">
        <v>-1</v>
      </c>
      <c r="Q123" s="1488"/>
      <c r="R123" s="1472"/>
      <c r="S123" s="1472"/>
      <c r="T123" s="1472"/>
      <c r="U123" s="1472"/>
      <c r="V123" s="881" t="s">
        <v>1393</v>
      </c>
      <c r="W123" s="894" t="s">
        <v>1517</v>
      </c>
      <c r="X123" s="894" t="s">
        <v>1517</v>
      </c>
      <c r="Y123" s="894" t="s">
        <v>1568</v>
      </c>
      <c r="Z123" s="881" t="s">
        <v>1387</v>
      </c>
      <c r="AA123" s="881" t="s">
        <v>1518</v>
      </c>
    </row>
    <row r="124" spans="1:39">
      <c r="A124" s="1472"/>
      <c r="B124" s="1483"/>
      <c r="C124" s="1472"/>
      <c r="D124" s="1488"/>
      <c r="E124" s="1472"/>
      <c r="F124" s="1472"/>
      <c r="G124" s="1472"/>
      <c r="H124" s="1472"/>
      <c r="I124" s="1472"/>
      <c r="J124" s="1473"/>
      <c r="K124" s="875"/>
      <c r="L124" s="875"/>
      <c r="M124" s="873" t="s">
        <v>1400</v>
      </c>
      <c r="N124" s="107" t="s">
        <v>77</v>
      </c>
      <c r="O124" s="107" t="s">
        <v>77</v>
      </c>
      <c r="P124" s="107" t="s">
        <v>77</v>
      </c>
      <c r="Q124" s="1488"/>
      <c r="R124" s="1472"/>
      <c r="S124" s="1472"/>
      <c r="T124" s="1472"/>
      <c r="U124" s="1472"/>
      <c r="V124" s="107" t="s">
        <v>77</v>
      </c>
      <c r="W124" s="107" t="s">
        <v>77</v>
      </c>
      <c r="X124" s="107" t="s">
        <v>77</v>
      </c>
      <c r="Y124" s="107" t="s">
        <v>77</v>
      </c>
      <c r="Z124" s="107" t="s">
        <v>77</v>
      </c>
      <c r="AA124" s="107" t="s">
        <v>77</v>
      </c>
      <c r="AB124" s="107" t="s">
        <v>77</v>
      </c>
      <c r="AC124" s="107" t="s">
        <v>77</v>
      </c>
      <c r="AD124" s="107" t="s">
        <v>77</v>
      </c>
      <c r="AE124" s="107" t="s">
        <v>77</v>
      </c>
      <c r="AF124" s="107" t="s">
        <v>77</v>
      </c>
      <c r="AG124" s="107" t="s">
        <v>77</v>
      </c>
      <c r="AH124" s="107" t="s">
        <v>77</v>
      </c>
      <c r="AI124" s="107" t="s">
        <v>77</v>
      </c>
      <c r="AJ124" s="107" t="s">
        <v>77</v>
      </c>
      <c r="AK124" s="107" t="s">
        <v>77</v>
      </c>
      <c r="AL124" s="107" t="s">
        <v>77</v>
      </c>
      <c r="AM124" s="107" t="s">
        <v>77</v>
      </c>
    </row>
    <row r="125" spans="1:39">
      <c r="A125" s="1480"/>
      <c r="B125" s="1484"/>
      <c r="C125" s="1480"/>
      <c r="D125" s="1489"/>
      <c r="E125" s="1480"/>
      <c r="F125" s="1480"/>
      <c r="G125" s="1480"/>
      <c r="H125" s="1480"/>
      <c r="I125" s="1480"/>
      <c r="J125" s="1490"/>
      <c r="K125" s="876"/>
      <c r="L125" s="876"/>
      <c r="M125" s="873" t="s">
        <v>1401</v>
      </c>
      <c r="N125" s="107">
        <v>2</v>
      </c>
      <c r="O125" s="107">
        <v>1</v>
      </c>
      <c r="P125" s="107">
        <v>-1</v>
      </c>
      <c r="Q125" s="1489"/>
      <c r="R125" s="1480"/>
      <c r="S125" s="1480"/>
      <c r="T125" s="1480"/>
      <c r="U125" s="1480"/>
      <c r="V125" s="881"/>
      <c r="W125" s="881"/>
    </row>
    <row r="126" spans="1:39" ht="15" customHeight="1">
      <c r="A126" s="1479">
        <v>14</v>
      </c>
      <c r="B126" s="1476" t="s">
        <v>1569</v>
      </c>
      <c r="C126" s="1479" t="s">
        <v>1370</v>
      </c>
      <c r="D126" s="1487" t="s">
        <v>1241</v>
      </c>
      <c r="E126" s="1479" t="s">
        <v>1371</v>
      </c>
      <c r="F126" s="1479"/>
      <c r="G126" s="1479">
        <v>2016</v>
      </c>
      <c r="H126" s="1472" t="s">
        <v>1372</v>
      </c>
      <c r="I126" s="1472">
        <v>3</v>
      </c>
      <c r="J126" s="1473" t="s">
        <v>1480</v>
      </c>
      <c r="K126" s="1476" t="s">
        <v>1570</v>
      </c>
      <c r="L126" s="1476" t="s">
        <v>1527</v>
      </c>
      <c r="M126" s="873" t="s">
        <v>1376</v>
      </c>
      <c r="N126" s="107" t="s">
        <v>77</v>
      </c>
      <c r="O126" s="107" t="s">
        <v>77</v>
      </c>
      <c r="P126" s="107" t="s">
        <v>77</v>
      </c>
      <c r="Q126" s="1487" t="s">
        <v>1377</v>
      </c>
      <c r="R126" s="1479" t="s">
        <v>77</v>
      </c>
      <c r="S126" s="1479" t="s">
        <v>77</v>
      </c>
      <c r="T126" s="1479" t="s">
        <v>77</v>
      </c>
      <c r="U126" s="1479" t="s">
        <v>1378</v>
      </c>
      <c r="V126" s="107" t="s">
        <v>77</v>
      </c>
      <c r="W126" s="107" t="s">
        <v>77</v>
      </c>
      <c r="X126" s="107" t="s">
        <v>77</v>
      </c>
      <c r="Y126" s="107" t="s">
        <v>77</v>
      </c>
      <c r="Z126" s="107" t="s">
        <v>77</v>
      </c>
      <c r="AA126" s="107" t="s">
        <v>77</v>
      </c>
      <c r="AB126" s="107" t="s">
        <v>77</v>
      </c>
      <c r="AC126" s="107" t="s">
        <v>77</v>
      </c>
      <c r="AD126" s="107" t="s">
        <v>77</v>
      </c>
      <c r="AE126" s="107" t="s">
        <v>77</v>
      </c>
      <c r="AF126" s="107" t="s">
        <v>77</v>
      </c>
      <c r="AG126" s="107" t="s">
        <v>77</v>
      </c>
      <c r="AH126" s="107" t="s">
        <v>77</v>
      </c>
      <c r="AI126" s="107" t="s">
        <v>77</v>
      </c>
      <c r="AJ126" s="107" t="s">
        <v>77</v>
      </c>
      <c r="AK126" s="107" t="s">
        <v>77</v>
      </c>
      <c r="AL126" s="107" t="s">
        <v>77</v>
      </c>
      <c r="AM126" s="107" t="s">
        <v>77</v>
      </c>
    </row>
    <row r="127" spans="1:39" ht="75.75">
      <c r="A127" s="1472"/>
      <c r="B127" s="1483"/>
      <c r="C127" s="1472"/>
      <c r="D127" s="1488"/>
      <c r="E127" s="1472"/>
      <c r="F127" s="1472"/>
      <c r="G127" s="1472"/>
      <c r="H127" s="1472"/>
      <c r="I127" s="1472"/>
      <c r="J127" s="1473"/>
      <c r="K127" s="1483"/>
      <c r="L127" s="1483"/>
      <c r="M127" s="1468" t="s">
        <v>1379</v>
      </c>
      <c r="N127" s="107">
        <v>2</v>
      </c>
      <c r="O127" s="107">
        <v>1</v>
      </c>
      <c r="P127" s="1469">
        <v>-1</v>
      </c>
      <c r="Q127" s="1488"/>
      <c r="R127" s="1472"/>
      <c r="S127" s="1472"/>
      <c r="T127" s="1472"/>
      <c r="U127" s="1472"/>
      <c r="V127" s="881" t="s">
        <v>1533</v>
      </c>
      <c r="W127" s="881" t="s">
        <v>1534</v>
      </c>
      <c r="X127" s="887" t="s">
        <v>1535</v>
      </c>
      <c r="Y127" s="1459" t="s">
        <v>1536</v>
      </c>
      <c r="Z127" s="881" t="s">
        <v>1387</v>
      </c>
      <c r="AA127" s="887" t="s">
        <v>1532</v>
      </c>
    </row>
    <row r="128" spans="1:39">
      <c r="A128" s="1472"/>
      <c r="B128" s="1483"/>
      <c r="C128" s="1472"/>
      <c r="D128" s="1488"/>
      <c r="E128" s="1472"/>
      <c r="F128" s="1472"/>
      <c r="G128" s="1472"/>
      <c r="H128" s="1472"/>
      <c r="I128" s="1472"/>
      <c r="J128" s="1473"/>
      <c r="K128" s="1483"/>
      <c r="L128" s="1483"/>
      <c r="M128" s="873" t="s">
        <v>1380</v>
      </c>
      <c r="N128" s="107" t="s">
        <v>77</v>
      </c>
      <c r="O128" s="107" t="s">
        <v>77</v>
      </c>
      <c r="P128" s="107" t="s">
        <v>77</v>
      </c>
      <c r="Q128" s="1488"/>
      <c r="R128" s="1472"/>
      <c r="S128" s="1472"/>
      <c r="T128" s="1472"/>
      <c r="U128" s="1472"/>
      <c r="V128" s="107" t="s">
        <v>77</v>
      </c>
      <c r="W128" s="107" t="s">
        <v>77</v>
      </c>
      <c r="X128" s="107" t="s">
        <v>77</v>
      </c>
      <c r="Y128" s="107" t="s">
        <v>77</v>
      </c>
      <c r="Z128" s="107" t="s">
        <v>77</v>
      </c>
      <c r="AA128" s="107" t="s">
        <v>77</v>
      </c>
      <c r="AB128" s="107" t="s">
        <v>77</v>
      </c>
      <c r="AC128" s="107" t="s">
        <v>77</v>
      </c>
      <c r="AD128" s="107" t="s">
        <v>77</v>
      </c>
      <c r="AE128" s="107" t="s">
        <v>77</v>
      </c>
      <c r="AF128" s="107" t="s">
        <v>77</v>
      </c>
      <c r="AG128" s="107" t="s">
        <v>77</v>
      </c>
      <c r="AH128" s="107" t="s">
        <v>77</v>
      </c>
      <c r="AI128" s="107" t="s">
        <v>77</v>
      </c>
      <c r="AJ128" s="107" t="s">
        <v>77</v>
      </c>
      <c r="AK128" s="107" t="s">
        <v>77</v>
      </c>
      <c r="AL128" s="107" t="s">
        <v>77</v>
      </c>
      <c r="AM128" s="107" t="s">
        <v>77</v>
      </c>
    </row>
    <row r="129" spans="1:39">
      <c r="A129" s="1472"/>
      <c r="B129" s="1483"/>
      <c r="C129" s="1472"/>
      <c r="D129" s="1488"/>
      <c r="E129" s="1472"/>
      <c r="F129" s="1472"/>
      <c r="G129" s="1472"/>
      <c r="H129" s="1472"/>
      <c r="I129" s="1472"/>
      <c r="J129" s="1473"/>
      <c r="K129" s="1483"/>
      <c r="L129" s="1483"/>
      <c r="M129" s="1468" t="s">
        <v>1381</v>
      </c>
      <c r="N129" s="107">
        <v>2</v>
      </c>
      <c r="O129" s="107">
        <v>1</v>
      </c>
      <c r="P129" s="1469">
        <v>-1</v>
      </c>
      <c r="Q129" s="1488"/>
      <c r="R129" s="1472"/>
      <c r="S129" s="1472"/>
      <c r="T129" s="1472"/>
      <c r="U129" s="1472"/>
      <c r="V129" s="881"/>
      <c r="W129" s="881"/>
    </row>
    <row r="130" spans="1:39">
      <c r="A130" s="1472"/>
      <c r="B130" s="1483"/>
      <c r="C130" s="1472"/>
      <c r="D130" s="1488"/>
      <c r="E130" s="1472"/>
      <c r="F130" s="1472"/>
      <c r="G130" s="1472"/>
      <c r="H130" s="1472"/>
      <c r="I130" s="1472"/>
      <c r="J130" s="1473"/>
      <c r="K130" s="1483"/>
      <c r="L130" s="1483"/>
      <c r="M130" s="873" t="s">
        <v>1382</v>
      </c>
      <c r="N130" s="107" t="s">
        <v>77</v>
      </c>
      <c r="O130" s="107" t="s">
        <v>77</v>
      </c>
      <c r="P130" s="107" t="s">
        <v>77</v>
      </c>
      <c r="Q130" s="1488"/>
      <c r="R130" s="1472"/>
      <c r="S130" s="1472"/>
      <c r="T130" s="1472"/>
      <c r="U130" s="1472"/>
      <c r="V130" s="107" t="s">
        <v>77</v>
      </c>
      <c r="W130" s="107" t="s">
        <v>77</v>
      </c>
      <c r="X130" s="107" t="s">
        <v>77</v>
      </c>
      <c r="Y130" s="107" t="s">
        <v>77</v>
      </c>
      <c r="Z130" s="107" t="s">
        <v>77</v>
      </c>
      <c r="AA130" s="107" t="s">
        <v>77</v>
      </c>
      <c r="AB130" s="107" t="s">
        <v>77</v>
      </c>
      <c r="AC130" s="107" t="s">
        <v>77</v>
      </c>
      <c r="AD130" s="107" t="s">
        <v>77</v>
      </c>
      <c r="AE130" s="107" t="s">
        <v>77</v>
      </c>
      <c r="AF130" s="107" t="s">
        <v>77</v>
      </c>
      <c r="AG130" s="107" t="s">
        <v>77</v>
      </c>
      <c r="AH130" s="107" t="s">
        <v>77</v>
      </c>
      <c r="AI130" s="107" t="s">
        <v>77</v>
      </c>
      <c r="AJ130" s="107" t="s">
        <v>77</v>
      </c>
      <c r="AK130" s="107" t="s">
        <v>77</v>
      </c>
      <c r="AL130" s="107" t="s">
        <v>77</v>
      </c>
      <c r="AM130" s="107" t="s">
        <v>77</v>
      </c>
    </row>
    <row r="131" spans="1:39" ht="30">
      <c r="A131" s="1472"/>
      <c r="B131" s="1483"/>
      <c r="C131" s="1472"/>
      <c r="D131" s="1488"/>
      <c r="E131" s="1472"/>
      <c r="F131" s="1472"/>
      <c r="G131" s="1472"/>
      <c r="H131" s="1472"/>
      <c r="I131" s="1472"/>
      <c r="J131" s="1473"/>
      <c r="K131" s="1483"/>
      <c r="L131" s="1483"/>
      <c r="M131" s="1468" t="s">
        <v>1392</v>
      </c>
      <c r="N131" s="107">
        <v>2</v>
      </c>
      <c r="O131" s="107">
        <v>1</v>
      </c>
      <c r="P131" s="1469">
        <v>-1</v>
      </c>
      <c r="Q131" s="1488"/>
      <c r="R131" s="1472"/>
      <c r="S131" s="1472"/>
      <c r="T131" s="1472"/>
      <c r="U131" s="1472"/>
      <c r="V131" s="881"/>
      <c r="W131" s="894"/>
      <c r="X131" s="894"/>
      <c r="Y131" s="894"/>
      <c r="Z131" s="881"/>
      <c r="AA131" s="881"/>
    </row>
    <row r="132" spans="1:39">
      <c r="A132" s="1472"/>
      <c r="B132" s="1483"/>
      <c r="C132" s="1472"/>
      <c r="D132" s="1488"/>
      <c r="E132" s="1472"/>
      <c r="F132" s="1472"/>
      <c r="G132" s="1472"/>
      <c r="H132" s="1472"/>
      <c r="I132" s="1472"/>
      <c r="J132" s="1473"/>
      <c r="K132" s="1483"/>
      <c r="L132" s="1483"/>
      <c r="M132" s="873" t="s">
        <v>1400</v>
      </c>
      <c r="N132" s="107" t="s">
        <v>77</v>
      </c>
      <c r="O132" s="107" t="s">
        <v>77</v>
      </c>
      <c r="P132" s="107" t="s">
        <v>77</v>
      </c>
      <c r="Q132" s="1488"/>
      <c r="R132" s="1472"/>
      <c r="S132" s="1472"/>
      <c r="T132" s="1472"/>
      <c r="U132" s="1472"/>
      <c r="V132" s="107" t="s">
        <v>77</v>
      </c>
      <c r="W132" s="107" t="s">
        <v>77</v>
      </c>
      <c r="X132" s="107" t="s">
        <v>77</v>
      </c>
      <c r="Y132" s="107" t="s">
        <v>77</v>
      </c>
      <c r="Z132" s="107" t="s">
        <v>77</v>
      </c>
      <c r="AA132" s="107" t="s">
        <v>77</v>
      </c>
      <c r="AB132" s="107" t="s">
        <v>77</v>
      </c>
      <c r="AC132" s="107" t="s">
        <v>77</v>
      </c>
      <c r="AD132" s="107" t="s">
        <v>77</v>
      </c>
      <c r="AE132" s="107" t="s">
        <v>77</v>
      </c>
      <c r="AF132" s="107" t="s">
        <v>77</v>
      </c>
      <c r="AG132" s="107" t="s">
        <v>77</v>
      </c>
      <c r="AH132" s="107" t="s">
        <v>77</v>
      </c>
      <c r="AI132" s="107" t="s">
        <v>77</v>
      </c>
      <c r="AJ132" s="107" t="s">
        <v>77</v>
      </c>
      <c r="AK132" s="107" t="s">
        <v>77</v>
      </c>
      <c r="AL132" s="107" t="s">
        <v>77</v>
      </c>
      <c r="AM132" s="107" t="s">
        <v>77</v>
      </c>
    </row>
    <row r="133" spans="1:39">
      <c r="A133" s="1480"/>
      <c r="B133" s="1484"/>
      <c r="C133" s="1480"/>
      <c r="D133" s="1489"/>
      <c r="E133" s="1480"/>
      <c r="F133" s="1480"/>
      <c r="G133" s="1480"/>
      <c r="H133" s="1480"/>
      <c r="I133" s="1480"/>
      <c r="J133" s="1490"/>
      <c r="K133" s="1484"/>
      <c r="L133" s="1484"/>
      <c r="M133" s="873" t="s">
        <v>1401</v>
      </c>
      <c r="N133" s="107" t="s">
        <v>77</v>
      </c>
      <c r="O133" s="107" t="s">
        <v>77</v>
      </c>
      <c r="P133" s="107" t="s">
        <v>77</v>
      </c>
      <c r="Q133" s="1489"/>
      <c r="R133" s="1480"/>
      <c r="S133" s="1480"/>
      <c r="T133" s="1480"/>
      <c r="U133" s="1480"/>
      <c r="V133" s="107" t="s">
        <v>77</v>
      </c>
      <c r="W133" s="107" t="s">
        <v>77</v>
      </c>
      <c r="X133" s="107" t="s">
        <v>77</v>
      </c>
      <c r="Y133" s="107" t="s">
        <v>77</v>
      </c>
      <c r="Z133" s="107" t="s">
        <v>77</v>
      </c>
      <c r="AA133" s="107" t="s">
        <v>77</v>
      </c>
      <c r="AB133" s="107" t="s">
        <v>77</v>
      </c>
      <c r="AC133" s="107" t="s">
        <v>77</v>
      </c>
      <c r="AD133" s="107" t="s">
        <v>77</v>
      </c>
      <c r="AE133" s="107" t="s">
        <v>77</v>
      </c>
      <c r="AF133" s="107" t="s">
        <v>77</v>
      </c>
      <c r="AG133" s="107" t="s">
        <v>77</v>
      </c>
      <c r="AH133" s="107" t="s">
        <v>77</v>
      </c>
      <c r="AI133" s="107" t="s">
        <v>77</v>
      </c>
      <c r="AJ133" s="107" t="s">
        <v>77</v>
      </c>
      <c r="AK133" s="107" t="s">
        <v>77</v>
      </c>
      <c r="AL133" s="107" t="s">
        <v>77</v>
      </c>
      <c r="AM133" s="107" t="s">
        <v>77</v>
      </c>
    </row>
    <row r="134" spans="1:39" ht="259.5">
      <c r="A134" s="1479">
        <v>15</v>
      </c>
      <c r="B134" s="1476" t="s">
        <v>1571</v>
      </c>
      <c r="C134" s="1479" t="s">
        <v>1370</v>
      </c>
      <c r="D134" s="1487" t="s">
        <v>22</v>
      </c>
      <c r="E134" s="1479" t="s">
        <v>1371</v>
      </c>
      <c r="F134" s="1479"/>
      <c r="G134" s="1479">
        <v>2019</v>
      </c>
      <c r="H134" s="1486" t="s">
        <v>1372</v>
      </c>
      <c r="I134" s="1486">
        <v>9</v>
      </c>
      <c r="J134" s="1491" t="s">
        <v>1417</v>
      </c>
      <c r="K134" s="1448" t="s">
        <v>1572</v>
      </c>
      <c r="L134" s="1433" t="s">
        <v>1495</v>
      </c>
      <c r="M134" s="105" t="s">
        <v>1376</v>
      </c>
      <c r="N134" s="104">
        <v>3</v>
      </c>
      <c r="O134" s="104">
        <v>2</v>
      </c>
      <c r="P134" s="104">
        <v>-1</v>
      </c>
      <c r="Q134" s="1487" t="s">
        <v>1377</v>
      </c>
      <c r="R134" s="1479">
        <v>3</v>
      </c>
      <c r="S134" s="1479">
        <v>2</v>
      </c>
      <c r="T134" s="1479">
        <v>-1</v>
      </c>
      <c r="U134" s="1479" t="s">
        <v>1378</v>
      </c>
      <c r="V134" s="905" t="s">
        <v>1553</v>
      </c>
      <c r="W134" s="905" t="s">
        <v>1573</v>
      </c>
      <c r="X134" s="905" t="s">
        <v>1554</v>
      </c>
      <c r="Y134" s="905" t="s">
        <v>1499</v>
      </c>
      <c r="Z134" s="881" t="s">
        <v>1387</v>
      </c>
      <c r="AA134" s="881" t="s">
        <v>1501</v>
      </c>
    </row>
    <row r="135" spans="1:39" ht="121.5">
      <c r="A135" s="1472"/>
      <c r="B135" s="1483"/>
      <c r="C135" s="1472"/>
      <c r="D135" s="1488"/>
      <c r="E135" s="1472"/>
      <c r="F135" s="1472"/>
      <c r="G135" s="1472"/>
      <c r="H135" s="1486"/>
      <c r="I135" s="1486"/>
      <c r="J135" s="1491"/>
      <c r="K135" s="875"/>
      <c r="L135" s="875"/>
      <c r="M135" s="873" t="s">
        <v>1379</v>
      </c>
      <c r="N135" s="107">
        <v>3</v>
      </c>
      <c r="O135" s="107">
        <v>2</v>
      </c>
      <c r="P135" s="107">
        <v>-1</v>
      </c>
      <c r="Q135" s="1488"/>
      <c r="R135" s="1472"/>
      <c r="S135" s="1472"/>
      <c r="T135" s="1472"/>
      <c r="U135" s="1472"/>
      <c r="V135" s="881" t="s">
        <v>1502</v>
      </c>
      <c r="W135" s="881" t="s">
        <v>1555</v>
      </c>
      <c r="X135" s="105" t="s">
        <v>1504</v>
      </c>
      <c r="Y135" s="105" t="s">
        <v>1505</v>
      </c>
      <c r="Z135" s="881" t="s">
        <v>1387</v>
      </c>
      <c r="AA135" s="881" t="s">
        <v>1501</v>
      </c>
    </row>
    <row r="136" spans="1:39" ht="106.5">
      <c r="A136" s="1472"/>
      <c r="B136" s="1483"/>
      <c r="C136" s="1472"/>
      <c r="D136" s="1488"/>
      <c r="E136" s="1472"/>
      <c r="F136" s="1472"/>
      <c r="G136" s="1472"/>
      <c r="H136" s="1486"/>
      <c r="I136" s="1486"/>
      <c r="J136" s="1491"/>
      <c r="K136" s="875"/>
      <c r="L136" s="875"/>
      <c r="M136" s="873" t="s">
        <v>1380</v>
      </c>
      <c r="N136" s="107">
        <v>3</v>
      </c>
      <c r="O136" s="107">
        <v>2</v>
      </c>
      <c r="P136" s="107">
        <v>-1</v>
      </c>
      <c r="Q136" s="1488"/>
      <c r="R136" s="1472"/>
      <c r="S136" s="1472"/>
      <c r="T136" s="1472"/>
      <c r="U136" s="1472"/>
      <c r="V136" s="881" t="s">
        <v>1506</v>
      </c>
      <c r="W136" s="881" t="s">
        <v>1507</v>
      </c>
      <c r="X136" s="105" t="s">
        <v>1508</v>
      </c>
      <c r="Y136" s="105" t="s">
        <v>1505</v>
      </c>
      <c r="Z136" s="881" t="s">
        <v>1387</v>
      </c>
      <c r="AA136" s="881" t="s">
        <v>1501</v>
      </c>
    </row>
    <row r="137" spans="1:39" ht="75.75">
      <c r="A137" s="1472"/>
      <c r="B137" s="1483"/>
      <c r="C137" s="1472"/>
      <c r="D137" s="1488"/>
      <c r="E137" s="1472"/>
      <c r="F137" s="1472"/>
      <c r="G137" s="1472"/>
      <c r="H137" s="1486"/>
      <c r="I137" s="1486"/>
      <c r="J137" s="1491"/>
      <c r="K137" s="875"/>
      <c r="L137" s="875"/>
      <c r="M137" s="873" t="s">
        <v>1381</v>
      </c>
      <c r="N137" s="107">
        <v>3</v>
      </c>
      <c r="O137" s="107">
        <v>2</v>
      </c>
      <c r="P137" s="107">
        <v>-1</v>
      </c>
      <c r="Q137" s="1488"/>
      <c r="R137" s="1472"/>
      <c r="S137" s="1472"/>
      <c r="T137" s="1472"/>
      <c r="U137" s="1472"/>
      <c r="V137" s="881" t="s">
        <v>1463</v>
      </c>
      <c r="W137" s="881" t="s">
        <v>1509</v>
      </c>
      <c r="X137" s="881" t="s">
        <v>1510</v>
      </c>
      <c r="Y137" s="105" t="s">
        <v>1511</v>
      </c>
      <c r="Z137" s="881" t="s">
        <v>1387</v>
      </c>
      <c r="AA137" s="881" t="s">
        <v>1512</v>
      </c>
    </row>
    <row r="138" spans="1:39" ht="121.5">
      <c r="A138" s="1472"/>
      <c r="B138" s="1483"/>
      <c r="C138" s="1472"/>
      <c r="D138" s="1488"/>
      <c r="E138" s="1472"/>
      <c r="F138" s="1472"/>
      <c r="G138" s="1472"/>
      <c r="H138" s="1486"/>
      <c r="I138" s="1486"/>
      <c r="J138" s="1491"/>
      <c r="K138" s="875"/>
      <c r="L138" s="875"/>
      <c r="M138" s="873" t="s">
        <v>1382</v>
      </c>
      <c r="N138" s="107">
        <v>3</v>
      </c>
      <c r="O138" s="107">
        <v>2</v>
      </c>
      <c r="P138" s="107">
        <v>-1</v>
      </c>
      <c r="Q138" s="1488"/>
      <c r="R138" s="1472"/>
      <c r="S138" s="1472"/>
      <c r="T138" s="1472"/>
      <c r="U138" s="1472"/>
      <c r="V138" s="881" t="s">
        <v>1513</v>
      </c>
      <c r="W138" s="881" t="s">
        <v>1514</v>
      </c>
      <c r="X138" s="881" t="s">
        <v>1515</v>
      </c>
      <c r="Y138" s="881" t="s">
        <v>1516</v>
      </c>
      <c r="Z138" s="881" t="s">
        <v>1387</v>
      </c>
      <c r="AA138" s="881" t="s">
        <v>1501</v>
      </c>
    </row>
    <row r="139" spans="1:39" ht="75.75">
      <c r="A139" s="1472"/>
      <c r="B139" s="1483"/>
      <c r="C139" s="1472"/>
      <c r="D139" s="1488"/>
      <c r="E139" s="1472"/>
      <c r="F139" s="1472"/>
      <c r="G139" s="1472"/>
      <c r="H139" s="1486"/>
      <c r="I139" s="1486"/>
      <c r="J139" s="1491"/>
      <c r="K139" s="875"/>
      <c r="L139" s="875"/>
      <c r="M139" s="873" t="s">
        <v>1392</v>
      </c>
      <c r="N139" s="107">
        <v>3</v>
      </c>
      <c r="O139" s="107">
        <v>2</v>
      </c>
      <c r="P139" s="107">
        <v>-1</v>
      </c>
      <c r="Q139" s="1488"/>
      <c r="R139" s="1472"/>
      <c r="S139" s="1472"/>
      <c r="T139" s="1472"/>
      <c r="U139" s="1472"/>
      <c r="V139" s="881" t="s">
        <v>1393</v>
      </c>
      <c r="W139" s="894" t="s">
        <v>1517</v>
      </c>
      <c r="X139" s="894" t="s">
        <v>1517</v>
      </c>
      <c r="Y139" s="105" t="s">
        <v>1511</v>
      </c>
      <c r="Z139" s="881" t="s">
        <v>1387</v>
      </c>
      <c r="AA139" s="881" t="s">
        <v>1518</v>
      </c>
    </row>
    <row r="140" spans="1:39" ht="121.5">
      <c r="A140" s="1472"/>
      <c r="B140" s="1483"/>
      <c r="C140" s="1472"/>
      <c r="D140" s="1488"/>
      <c r="E140" s="1472"/>
      <c r="F140" s="1472"/>
      <c r="G140" s="1472"/>
      <c r="H140" s="1486"/>
      <c r="I140" s="1486"/>
      <c r="J140" s="1491"/>
      <c r="K140" s="875"/>
      <c r="L140" s="875"/>
      <c r="M140" s="873" t="s">
        <v>1400</v>
      </c>
      <c r="N140" s="107">
        <v>3</v>
      </c>
      <c r="O140" s="107">
        <v>2</v>
      </c>
      <c r="P140" s="107">
        <v>-1</v>
      </c>
      <c r="Q140" s="1488"/>
      <c r="R140" s="1472"/>
      <c r="S140" s="1472"/>
      <c r="T140" s="1472"/>
      <c r="U140" s="1472"/>
      <c r="V140" s="881" t="s">
        <v>1519</v>
      </c>
      <c r="W140" s="881" t="s">
        <v>1520</v>
      </c>
      <c r="X140" s="881" t="s">
        <v>1521</v>
      </c>
      <c r="Y140" s="881" t="s">
        <v>1511</v>
      </c>
      <c r="Z140" s="881" t="s">
        <v>1387</v>
      </c>
      <c r="AA140" s="881" t="s">
        <v>1501</v>
      </c>
    </row>
    <row r="141" spans="1:39" ht="121.5">
      <c r="A141" s="1472"/>
      <c r="B141" s="1483"/>
      <c r="C141" s="1472"/>
      <c r="D141" s="1488"/>
      <c r="E141" s="1472"/>
      <c r="F141" s="1472"/>
      <c r="G141" s="1472"/>
      <c r="H141" s="1486"/>
      <c r="I141" s="1486"/>
      <c r="J141" s="1491"/>
      <c r="K141" s="875"/>
      <c r="L141" s="875"/>
      <c r="M141" s="1437" t="s">
        <v>1401</v>
      </c>
      <c r="N141" s="903">
        <v>3</v>
      </c>
      <c r="O141" s="903">
        <v>1</v>
      </c>
      <c r="P141" s="903">
        <v>-2</v>
      </c>
      <c r="Q141" s="1488"/>
      <c r="R141" s="1472"/>
      <c r="S141" s="1472"/>
      <c r="T141" s="1472"/>
      <c r="U141" s="1472"/>
      <c r="V141" s="885" t="s">
        <v>1522</v>
      </c>
      <c r="W141" s="885" t="s">
        <v>1523</v>
      </c>
      <c r="X141" s="1436" t="s">
        <v>1524</v>
      </c>
      <c r="Y141" s="885" t="s">
        <v>1511</v>
      </c>
      <c r="Z141" s="885" t="s">
        <v>1387</v>
      </c>
      <c r="AA141" s="885" t="s">
        <v>1501</v>
      </c>
    </row>
    <row r="142" spans="1:39">
      <c r="A142" s="1522" t="s">
        <v>1574</v>
      </c>
      <c r="B142" s="1523"/>
      <c r="C142" s="1523"/>
      <c r="D142" s="1523"/>
      <c r="E142" s="1523"/>
      <c r="F142" s="1523"/>
      <c r="G142" s="1523"/>
      <c r="H142" s="1523"/>
      <c r="I142" s="1523"/>
      <c r="J142" s="1523"/>
      <c r="K142" s="1523"/>
      <c r="L142" s="1523"/>
      <c r="M142" s="1523"/>
      <c r="N142" s="1523"/>
      <c r="O142" s="1523"/>
      <c r="P142" s="1523"/>
      <c r="Q142" s="1523"/>
      <c r="R142" s="1523"/>
      <c r="S142" s="1523"/>
      <c r="T142" s="1523"/>
      <c r="U142" s="1523"/>
      <c r="V142" s="1439"/>
      <c r="W142" s="1439"/>
      <c r="X142" s="1440"/>
      <c r="Y142" s="1439"/>
      <c r="Z142" s="1439"/>
      <c r="AA142" s="1444"/>
      <c r="AB142" s="1441"/>
      <c r="AC142" s="1441"/>
      <c r="AD142" s="1441"/>
      <c r="AE142" s="1441"/>
      <c r="AF142" s="1441"/>
      <c r="AG142" s="1441"/>
      <c r="AH142" s="1441"/>
      <c r="AI142" s="1441"/>
      <c r="AJ142" s="1441"/>
      <c r="AK142" s="1441"/>
      <c r="AL142" s="1441"/>
      <c r="AM142" s="1442"/>
    </row>
    <row r="143" spans="1:39" ht="151.5">
      <c r="A143" s="876">
        <v>16</v>
      </c>
      <c r="B143" s="1434" t="s">
        <v>1575</v>
      </c>
      <c r="C143" s="876" t="s">
        <v>1416</v>
      </c>
      <c r="D143" s="878" t="s">
        <v>1236</v>
      </c>
      <c r="E143" s="876"/>
      <c r="F143" s="876" t="s">
        <v>1371</v>
      </c>
      <c r="G143" s="876"/>
      <c r="H143" s="878" t="s">
        <v>1372</v>
      </c>
      <c r="I143" s="876">
        <v>1</v>
      </c>
      <c r="J143" s="1434" t="s">
        <v>1576</v>
      </c>
      <c r="K143" s="1433" t="s">
        <v>1577</v>
      </c>
      <c r="L143" s="1433" t="s">
        <v>1578</v>
      </c>
      <c r="M143" s="105" t="s">
        <v>1579</v>
      </c>
      <c r="N143" s="890" t="s">
        <v>77</v>
      </c>
      <c r="O143" s="890" t="s">
        <v>77</v>
      </c>
      <c r="P143" s="890" t="s">
        <v>77</v>
      </c>
      <c r="Q143" s="1438" t="s">
        <v>77</v>
      </c>
      <c r="R143" s="890" t="s">
        <v>77</v>
      </c>
      <c r="S143" s="890" t="s">
        <v>77</v>
      </c>
      <c r="T143" s="890" t="s">
        <v>77</v>
      </c>
      <c r="U143" s="890" t="s">
        <v>77</v>
      </c>
      <c r="V143" s="886" t="s">
        <v>1580</v>
      </c>
      <c r="W143" s="1445" t="s">
        <v>1581</v>
      </c>
      <c r="X143" s="894" t="s">
        <v>1582</v>
      </c>
      <c r="Y143" s="894" t="s">
        <v>1583</v>
      </c>
      <c r="Z143" s="895" t="s">
        <v>1387</v>
      </c>
      <c r="AA143" s="881" t="s">
        <v>1584</v>
      </c>
    </row>
    <row r="144" spans="1:39" ht="168">
      <c r="A144" s="104">
        <v>17</v>
      </c>
      <c r="B144" s="105" t="s">
        <v>1585</v>
      </c>
      <c r="C144" s="104" t="s">
        <v>1416</v>
      </c>
      <c r="D144" s="106" t="s">
        <v>13</v>
      </c>
      <c r="E144" s="104"/>
      <c r="F144" s="104" t="s">
        <v>1371</v>
      </c>
      <c r="G144" s="104"/>
      <c r="H144" s="878" t="s">
        <v>1586</v>
      </c>
      <c r="I144" s="876">
        <v>0</v>
      </c>
      <c r="J144" s="105" t="s">
        <v>1587</v>
      </c>
      <c r="K144" s="1433" t="s">
        <v>1588</v>
      </c>
      <c r="L144" s="1433" t="s">
        <v>1495</v>
      </c>
      <c r="M144" s="105" t="s">
        <v>1589</v>
      </c>
      <c r="N144" s="107" t="s">
        <v>77</v>
      </c>
      <c r="O144" s="107" t="s">
        <v>77</v>
      </c>
      <c r="P144" s="107" t="s">
        <v>77</v>
      </c>
      <c r="Q144" s="870" t="s">
        <v>77</v>
      </c>
      <c r="R144" s="107" t="s">
        <v>77</v>
      </c>
      <c r="S144" s="107" t="s">
        <v>77</v>
      </c>
      <c r="T144" s="107" t="s">
        <v>77</v>
      </c>
      <c r="U144" s="1443" t="s">
        <v>77</v>
      </c>
      <c r="V144" s="894" t="s">
        <v>1590</v>
      </c>
      <c r="W144" s="894" t="s">
        <v>1591</v>
      </c>
      <c r="X144" s="894" t="s">
        <v>1592</v>
      </c>
      <c r="Y144" s="894" t="s">
        <v>1591</v>
      </c>
      <c r="Z144" s="881" t="s">
        <v>1387</v>
      </c>
      <c r="AA144" s="887" t="s">
        <v>1593</v>
      </c>
    </row>
    <row r="145" spans="1:27" ht="121.5">
      <c r="A145" s="104">
        <v>18</v>
      </c>
      <c r="B145" s="105" t="s">
        <v>1594</v>
      </c>
      <c r="C145" s="104" t="s">
        <v>1416</v>
      </c>
      <c r="D145" s="106" t="s">
        <v>13</v>
      </c>
      <c r="E145" s="104"/>
      <c r="F145" s="104" t="s">
        <v>1371</v>
      </c>
      <c r="G145" s="104"/>
      <c r="H145" s="878" t="s">
        <v>1586</v>
      </c>
      <c r="I145" s="876">
        <v>0</v>
      </c>
      <c r="J145" s="105" t="s">
        <v>1595</v>
      </c>
      <c r="K145" s="1433" t="s">
        <v>1596</v>
      </c>
      <c r="L145" s="1433" t="s">
        <v>1495</v>
      </c>
      <c r="M145" s="105" t="s">
        <v>1589</v>
      </c>
      <c r="N145" s="107" t="s">
        <v>77</v>
      </c>
      <c r="O145" s="107" t="s">
        <v>77</v>
      </c>
      <c r="P145" s="107" t="s">
        <v>77</v>
      </c>
      <c r="Q145" s="870" t="s">
        <v>77</v>
      </c>
      <c r="R145" s="107" t="s">
        <v>77</v>
      </c>
      <c r="S145" s="107" t="s">
        <v>77</v>
      </c>
      <c r="T145" s="107" t="s">
        <v>77</v>
      </c>
      <c r="U145" s="107" t="s">
        <v>77</v>
      </c>
      <c r="V145" s="894" t="s">
        <v>1590</v>
      </c>
      <c r="W145" s="894" t="s">
        <v>1591</v>
      </c>
      <c r="X145" s="894" t="s">
        <v>1592</v>
      </c>
      <c r="Y145" s="894" t="s">
        <v>1591</v>
      </c>
      <c r="Z145" s="881" t="s">
        <v>1387</v>
      </c>
      <c r="AA145" s="881" t="s">
        <v>1593</v>
      </c>
    </row>
    <row r="146" spans="1:27" ht="121.5">
      <c r="A146" s="104">
        <v>19</v>
      </c>
      <c r="B146" s="105" t="s">
        <v>1597</v>
      </c>
      <c r="C146" s="104" t="s">
        <v>1370</v>
      </c>
      <c r="D146" s="106" t="s">
        <v>13</v>
      </c>
      <c r="E146" s="104"/>
      <c r="F146" s="104" t="s">
        <v>1371</v>
      </c>
      <c r="G146" s="104"/>
      <c r="H146" s="878" t="s">
        <v>1586</v>
      </c>
      <c r="I146" s="876">
        <v>0</v>
      </c>
      <c r="J146" s="105" t="s">
        <v>1595</v>
      </c>
      <c r="K146" s="1433" t="s">
        <v>1598</v>
      </c>
      <c r="L146" s="1433" t="s">
        <v>1495</v>
      </c>
      <c r="M146" s="105" t="s">
        <v>1589</v>
      </c>
      <c r="N146" s="107" t="s">
        <v>77</v>
      </c>
      <c r="O146" s="107" t="s">
        <v>77</v>
      </c>
      <c r="P146" s="107" t="s">
        <v>77</v>
      </c>
      <c r="Q146" s="870" t="s">
        <v>77</v>
      </c>
      <c r="R146" s="107" t="s">
        <v>77</v>
      </c>
      <c r="S146" s="107" t="s">
        <v>77</v>
      </c>
      <c r="T146" s="107" t="s">
        <v>77</v>
      </c>
      <c r="U146" s="107" t="s">
        <v>77</v>
      </c>
      <c r="V146" s="894" t="s">
        <v>1590</v>
      </c>
      <c r="W146" s="894" t="s">
        <v>1591</v>
      </c>
      <c r="X146" s="894" t="s">
        <v>1592</v>
      </c>
      <c r="Y146" s="894" t="s">
        <v>1591</v>
      </c>
      <c r="Z146" s="881" t="s">
        <v>1387</v>
      </c>
      <c r="AA146" s="881" t="s">
        <v>1593</v>
      </c>
    </row>
    <row r="147" spans="1:27" ht="121.5">
      <c r="A147" s="104">
        <v>20</v>
      </c>
      <c r="B147" s="105" t="s">
        <v>1599</v>
      </c>
      <c r="C147" s="104" t="s">
        <v>1416</v>
      </c>
      <c r="D147" s="106" t="s">
        <v>13</v>
      </c>
      <c r="E147" s="104"/>
      <c r="F147" s="104" t="s">
        <v>1371</v>
      </c>
      <c r="G147" s="104"/>
      <c r="H147" s="878" t="s">
        <v>1586</v>
      </c>
      <c r="I147" s="876">
        <v>0</v>
      </c>
      <c r="J147" s="105" t="s">
        <v>1600</v>
      </c>
      <c r="K147" s="1433" t="s">
        <v>1601</v>
      </c>
      <c r="L147" s="1433" t="s">
        <v>1495</v>
      </c>
      <c r="M147" s="105" t="s">
        <v>1589</v>
      </c>
      <c r="N147" s="107" t="s">
        <v>77</v>
      </c>
      <c r="O147" s="107" t="s">
        <v>77</v>
      </c>
      <c r="P147" s="107" t="s">
        <v>77</v>
      </c>
      <c r="Q147" s="870" t="s">
        <v>77</v>
      </c>
      <c r="R147" s="107" t="s">
        <v>77</v>
      </c>
      <c r="S147" s="107" t="s">
        <v>77</v>
      </c>
      <c r="T147" s="107" t="s">
        <v>77</v>
      </c>
      <c r="U147" s="107" t="s">
        <v>77</v>
      </c>
      <c r="V147" s="894" t="s">
        <v>1590</v>
      </c>
      <c r="W147" s="894" t="s">
        <v>1591</v>
      </c>
      <c r="X147" s="894" t="s">
        <v>1592</v>
      </c>
      <c r="Y147" s="894" t="s">
        <v>1591</v>
      </c>
      <c r="Z147" s="881" t="s">
        <v>1387</v>
      </c>
      <c r="AA147" s="881" t="s">
        <v>1593</v>
      </c>
    </row>
    <row r="148" spans="1:27" ht="121.5">
      <c r="A148" s="104">
        <v>21</v>
      </c>
      <c r="B148" s="105" t="s">
        <v>1602</v>
      </c>
      <c r="C148" s="104" t="s">
        <v>1370</v>
      </c>
      <c r="D148" s="106" t="s">
        <v>13</v>
      </c>
      <c r="E148" s="104"/>
      <c r="F148" s="104" t="s">
        <v>1371</v>
      </c>
      <c r="G148" s="104"/>
      <c r="H148" s="878" t="s">
        <v>1586</v>
      </c>
      <c r="I148" s="876">
        <v>0</v>
      </c>
      <c r="J148" s="105" t="s">
        <v>1595</v>
      </c>
      <c r="K148" s="1433" t="s">
        <v>1603</v>
      </c>
      <c r="L148" s="1433" t="s">
        <v>1495</v>
      </c>
      <c r="M148" s="105" t="s">
        <v>1589</v>
      </c>
      <c r="N148" s="107" t="s">
        <v>77</v>
      </c>
      <c r="O148" s="107" t="s">
        <v>77</v>
      </c>
      <c r="P148" s="107" t="s">
        <v>77</v>
      </c>
      <c r="Q148" s="870" t="s">
        <v>77</v>
      </c>
      <c r="R148" s="107" t="s">
        <v>77</v>
      </c>
      <c r="S148" s="107" t="s">
        <v>77</v>
      </c>
      <c r="T148" s="107" t="s">
        <v>77</v>
      </c>
      <c r="U148" s="107" t="s">
        <v>77</v>
      </c>
      <c r="V148" s="894" t="s">
        <v>1590</v>
      </c>
      <c r="W148" s="894" t="s">
        <v>1591</v>
      </c>
      <c r="X148" s="894" t="s">
        <v>1592</v>
      </c>
      <c r="Y148" s="894" t="s">
        <v>1591</v>
      </c>
      <c r="Z148" s="881" t="s">
        <v>1387</v>
      </c>
      <c r="AA148" s="881" t="s">
        <v>1593</v>
      </c>
    </row>
    <row r="149" spans="1:27" ht="106.5">
      <c r="A149" s="104">
        <v>22</v>
      </c>
      <c r="B149" s="105" t="s">
        <v>1604</v>
      </c>
      <c r="C149" s="104" t="s">
        <v>1370</v>
      </c>
      <c r="D149" s="106" t="s">
        <v>22</v>
      </c>
      <c r="E149" s="104"/>
      <c r="F149" s="104" t="s">
        <v>1371</v>
      </c>
      <c r="G149" s="104"/>
      <c r="H149" s="878" t="s">
        <v>1586</v>
      </c>
      <c r="I149" s="876">
        <v>0</v>
      </c>
      <c r="J149" s="1458" t="s">
        <v>1373</v>
      </c>
      <c r="K149" s="1433" t="s">
        <v>1605</v>
      </c>
      <c r="L149" s="1433" t="s">
        <v>1495</v>
      </c>
      <c r="M149" s="105" t="s">
        <v>1589</v>
      </c>
      <c r="N149" s="107" t="s">
        <v>77</v>
      </c>
      <c r="O149" s="107" t="s">
        <v>77</v>
      </c>
      <c r="P149" s="107" t="s">
        <v>77</v>
      </c>
      <c r="Q149" s="870" t="s">
        <v>77</v>
      </c>
      <c r="R149" s="107" t="s">
        <v>77</v>
      </c>
      <c r="S149" s="107" t="s">
        <v>77</v>
      </c>
      <c r="T149" s="107" t="s">
        <v>77</v>
      </c>
      <c r="U149" s="107" t="s">
        <v>77</v>
      </c>
      <c r="V149" s="881"/>
      <c r="W149" s="881"/>
      <c r="Z149" s="883" t="s">
        <v>1387</v>
      </c>
      <c r="AA149" s="883" t="s">
        <v>1593</v>
      </c>
    </row>
    <row r="150" spans="1:27" ht="106.5">
      <c r="A150" s="104">
        <v>23</v>
      </c>
      <c r="B150" s="105" t="s">
        <v>1606</v>
      </c>
      <c r="C150" s="104" t="s">
        <v>1370</v>
      </c>
      <c r="D150" s="106" t="s">
        <v>13</v>
      </c>
      <c r="E150" s="104"/>
      <c r="F150" s="104" t="s">
        <v>1371</v>
      </c>
      <c r="G150" s="104"/>
      <c r="H150" s="878" t="s">
        <v>1586</v>
      </c>
      <c r="I150" s="876">
        <v>0</v>
      </c>
      <c r="J150" s="1458" t="s">
        <v>1373</v>
      </c>
      <c r="K150" s="1433" t="s">
        <v>1607</v>
      </c>
      <c r="L150" s="1433" t="s">
        <v>1495</v>
      </c>
      <c r="M150" s="105" t="s">
        <v>1589</v>
      </c>
      <c r="N150" s="107" t="s">
        <v>77</v>
      </c>
      <c r="O150" s="107" t="s">
        <v>77</v>
      </c>
      <c r="P150" s="107" t="s">
        <v>77</v>
      </c>
      <c r="Q150" s="870" t="s">
        <v>77</v>
      </c>
      <c r="R150" s="107" t="s">
        <v>77</v>
      </c>
      <c r="S150" s="107" t="s">
        <v>77</v>
      </c>
      <c r="T150" s="107" t="s">
        <v>77</v>
      </c>
      <c r="U150" s="107" t="s">
        <v>77</v>
      </c>
      <c r="V150" s="881"/>
      <c r="W150" s="881"/>
      <c r="Z150" s="883" t="s">
        <v>1387</v>
      </c>
      <c r="AA150" s="883" t="s">
        <v>1593</v>
      </c>
    </row>
    <row r="151" spans="1:27" ht="121.5">
      <c r="A151" s="104">
        <v>24</v>
      </c>
      <c r="B151" s="105" t="s">
        <v>1608</v>
      </c>
      <c r="C151" s="104" t="s">
        <v>1416</v>
      </c>
      <c r="D151" s="106" t="s">
        <v>13</v>
      </c>
      <c r="E151" s="104"/>
      <c r="F151" s="104" t="s">
        <v>1371</v>
      </c>
      <c r="G151" s="104"/>
      <c r="H151" s="878" t="s">
        <v>1586</v>
      </c>
      <c r="I151" s="876">
        <v>0</v>
      </c>
      <c r="J151" s="105" t="s">
        <v>1595</v>
      </c>
      <c r="K151" s="1433" t="s">
        <v>1609</v>
      </c>
      <c r="L151" s="1433" t="s">
        <v>1495</v>
      </c>
      <c r="M151" s="105" t="s">
        <v>1589</v>
      </c>
      <c r="N151" s="107" t="s">
        <v>77</v>
      </c>
      <c r="O151" s="107" t="s">
        <v>77</v>
      </c>
      <c r="P151" s="107" t="s">
        <v>77</v>
      </c>
      <c r="Q151" s="870" t="s">
        <v>77</v>
      </c>
      <c r="R151" s="107" t="s">
        <v>77</v>
      </c>
      <c r="S151" s="107" t="s">
        <v>77</v>
      </c>
      <c r="T151" s="107" t="s">
        <v>77</v>
      </c>
      <c r="U151" s="107" t="s">
        <v>77</v>
      </c>
      <c r="V151" s="894" t="s">
        <v>1590</v>
      </c>
      <c r="W151" s="894" t="s">
        <v>1591</v>
      </c>
      <c r="X151" s="894" t="s">
        <v>1592</v>
      </c>
      <c r="Y151" s="894" t="s">
        <v>1591</v>
      </c>
      <c r="Z151" s="881" t="s">
        <v>1387</v>
      </c>
      <c r="AA151" s="881" t="s">
        <v>1593</v>
      </c>
    </row>
    <row r="152" spans="1:27" ht="121.5">
      <c r="A152" s="104">
        <v>25</v>
      </c>
      <c r="B152" s="105" t="s">
        <v>1610</v>
      </c>
      <c r="C152" s="104" t="s">
        <v>1370</v>
      </c>
      <c r="D152" s="106" t="s">
        <v>13</v>
      </c>
      <c r="E152" s="104"/>
      <c r="F152" s="104" t="s">
        <v>1371</v>
      </c>
      <c r="G152" s="104"/>
      <c r="H152" s="878" t="s">
        <v>1586</v>
      </c>
      <c r="I152" s="876">
        <v>0</v>
      </c>
      <c r="J152" s="105" t="s">
        <v>1587</v>
      </c>
      <c r="K152" s="1433" t="s">
        <v>1611</v>
      </c>
      <c r="L152" s="1433" t="s">
        <v>1495</v>
      </c>
      <c r="M152" s="105" t="s">
        <v>1589</v>
      </c>
      <c r="N152" s="107" t="s">
        <v>77</v>
      </c>
      <c r="O152" s="107" t="s">
        <v>77</v>
      </c>
      <c r="P152" s="107" t="s">
        <v>77</v>
      </c>
      <c r="Q152" s="870" t="s">
        <v>77</v>
      </c>
      <c r="R152" s="107" t="s">
        <v>77</v>
      </c>
      <c r="S152" s="107" t="s">
        <v>77</v>
      </c>
      <c r="T152" s="107" t="s">
        <v>77</v>
      </c>
      <c r="U152" s="107" t="s">
        <v>77</v>
      </c>
      <c r="V152" s="894" t="s">
        <v>1590</v>
      </c>
      <c r="W152" s="894" t="s">
        <v>1591</v>
      </c>
      <c r="X152" s="894" t="s">
        <v>1592</v>
      </c>
      <c r="Y152" s="894" t="s">
        <v>1591</v>
      </c>
      <c r="Z152" s="881" t="s">
        <v>1387</v>
      </c>
      <c r="AA152" s="881" t="s">
        <v>1593</v>
      </c>
    </row>
    <row r="153" spans="1:27" ht="121.5">
      <c r="A153" s="104">
        <v>26</v>
      </c>
      <c r="B153" s="105" t="s">
        <v>1612</v>
      </c>
      <c r="C153" s="104" t="s">
        <v>1416</v>
      </c>
      <c r="D153" s="106" t="s">
        <v>13</v>
      </c>
      <c r="E153" s="104"/>
      <c r="F153" s="104" t="s">
        <v>1371</v>
      </c>
      <c r="G153" s="104"/>
      <c r="H153" s="878" t="s">
        <v>1586</v>
      </c>
      <c r="I153" s="876">
        <v>0</v>
      </c>
      <c r="J153" s="105" t="s">
        <v>1587</v>
      </c>
      <c r="K153" s="1433" t="s">
        <v>1613</v>
      </c>
      <c r="L153" s="1433" t="s">
        <v>1495</v>
      </c>
      <c r="M153" s="105" t="s">
        <v>1589</v>
      </c>
      <c r="N153" s="107" t="s">
        <v>77</v>
      </c>
      <c r="O153" s="107" t="s">
        <v>77</v>
      </c>
      <c r="P153" s="107" t="s">
        <v>77</v>
      </c>
      <c r="Q153" s="870" t="s">
        <v>77</v>
      </c>
      <c r="R153" s="107" t="s">
        <v>77</v>
      </c>
      <c r="S153" s="107" t="s">
        <v>77</v>
      </c>
      <c r="T153" s="107" t="s">
        <v>77</v>
      </c>
      <c r="U153" s="107" t="s">
        <v>77</v>
      </c>
      <c r="V153" s="894" t="s">
        <v>1590</v>
      </c>
      <c r="W153" s="894" t="s">
        <v>1591</v>
      </c>
      <c r="X153" s="894" t="s">
        <v>1592</v>
      </c>
      <c r="Y153" s="894" t="s">
        <v>1591</v>
      </c>
      <c r="Z153" s="881" t="s">
        <v>1387</v>
      </c>
      <c r="AA153" s="881" t="s">
        <v>1593</v>
      </c>
    </row>
    <row r="154" spans="1:27" ht="121.5">
      <c r="A154" s="104">
        <v>27</v>
      </c>
      <c r="B154" s="105" t="s">
        <v>1614</v>
      </c>
      <c r="C154" s="104" t="s">
        <v>1416</v>
      </c>
      <c r="D154" s="106" t="s">
        <v>13</v>
      </c>
      <c r="E154" s="104"/>
      <c r="F154" s="104" t="s">
        <v>1371</v>
      </c>
      <c r="G154" s="104"/>
      <c r="H154" s="878" t="s">
        <v>1586</v>
      </c>
      <c r="I154" s="876">
        <v>0</v>
      </c>
      <c r="J154" s="105" t="s">
        <v>1587</v>
      </c>
      <c r="K154" s="1433" t="s">
        <v>1615</v>
      </c>
      <c r="L154" s="1433" t="s">
        <v>1495</v>
      </c>
      <c r="M154" s="105" t="s">
        <v>1589</v>
      </c>
      <c r="N154" s="107" t="s">
        <v>77</v>
      </c>
      <c r="O154" s="107" t="s">
        <v>77</v>
      </c>
      <c r="P154" s="107" t="s">
        <v>77</v>
      </c>
      <c r="Q154" s="870" t="s">
        <v>77</v>
      </c>
      <c r="R154" s="107" t="s">
        <v>77</v>
      </c>
      <c r="S154" s="107" t="s">
        <v>77</v>
      </c>
      <c r="T154" s="107" t="s">
        <v>77</v>
      </c>
      <c r="U154" s="107" t="s">
        <v>77</v>
      </c>
      <c r="V154" s="894" t="s">
        <v>1590</v>
      </c>
      <c r="W154" s="894" t="s">
        <v>1591</v>
      </c>
      <c r="X154" s="894" t="s">
        <v>1592</v>
      </c>
      <c r="Y154" s="894" t="s">
        <v>1591</v>
      </c>
      <c r="Z154" s="881" t="s">
        <v>1387</v>
      </c>
      <c r="AA154" s="881" t="s">
        <v>1593</v>
      </c>
    </row>
    <row r="155" spans="1:27" ht="106.5">
      <c r="A155" s="104">
        <v>28</v>
      </c>
      <c r="B155" s="105" t="s">
        <v>1616</v>
      </c>
      <c r="C155" s="104" t="s">
        <v>1416</v>
      </c>
      <c r="D155" s="106" t="s">
        <v>13</v>
      </c>
      <c r="E155" s="104"/>
      <c r="F155" s="104" t="s">
        <v>1371</v>
      </c>
      <c r="G155" s="104"/>
      <c r="H155" s="878" t="s">
        <v>1586</v>
      </c>
      <c r="I155" s="876">
        <v>0</v>
      </c>
      <c r="J155" s="1458" t="s">
        <v>1373</v>
      </c>
      <c r="K155" s="1433" t="s">
        <v>1605</v>
      </c>
      <c r="L155" s="1433" t="s">
        <v>1495</v>
      </c>
      <c r="M155" s="105" t="s">
        <v>1589</v>
      </c>
      <c r="N155" s="107" t="s">
        <v>77</v>
      </c>
      <c r="O155" s="107" t="s">
        <v>77</v>
      </c>
      <c r="P155" s="107" t="s">
        <v>77</v>
      </c>
      <c r="Q155" s="870" t="s">
        <v>77</v>
      </c>
      <c r="R155" s="107" t="s">
        <v>77</v>
      </c>
      <c r="S155" s="107" t="s">
        <v>77</v>
      </c>
      <c r="T155" s="107" t="s">
        <v>77</v>
      </c>
      <c r="U155" s="107" t="s">
        <v>77</v>
      </c>
      <c r="V155" s="894" t="s">
        <v>1590</v>
      </c>
      <c r="W155" s="894" t="s">
        <v>1591</v>
      </c>
      <c r="X155" s="894" t="s">
        <v>1592</v>
      </c>
      <c r="Y155" s="894" t="s">
        <v>1591</v>
      </c>
      <c r="Z155" s="881" t="s">
        <v>1387</v>
      </c>
      <c r="AA155" s="881" t="s">
        <v>1593</v>
      </c>
    </row>
    <row r="156" spans="1:27" ht="106.5">
      <c r="A156" s="104">
        <v>29</v>
      </c>
      <c r="B156" s="105" t="s">
        <v>1617</v>
      </c>
      <c r="C156" s="104" t="s">
        <v>1416</v>
      </c>
      <c r="D156" s="106" t="s">
        <v>13</v>
      </c>
      <c r="E156" s="104"/>
      <c r="F156" s="104" t="s">
        <v>1371</v>
      </c>
      <c r="G156" s="104"/>
      <c r="H156" s="878" t="s">
        <v>1586</v>
      </c>
      <c r="I156" s="876">
        <v>0</v>
      </c>
      <c r="J156" s="1435"/>
      <c r="K156" s="1433" t="s">
        <v>1618</v>
      </c>
      <c r="L156" s="1433" t="s">
        <v>1495</v>
      </c>
      <c r="M156" s="105" t="s">
        <v>1589</v>
      </c>
      <c r="N156" s="107" t="s">
        <v>77</v>
      </c>
      <c r="O156" s="107" t="s">
        <v>77</v>
      </c>
      <c r="P156" s="107" t="s">
        <v>77</v>
      </c>
      <c r="Q156" s="870" t="s">
        <v>77</v>
      </c>
      <c r="R156" s="107" t="s">
        <v>77</v>
      </c>
      <c r="S156" s="107" t="s">
        <v>77</v>
      </c>
      <c r="T156" s="107" t="s">
        <v>77</v>
      </c>
      <c r="U156" s="107" t="s">
        <v>77</v>
      </c>
      <c r="V156" s="894" t="s">
        <v>1590</v>
      </c>
      <c r="W156" s="894" t="s">
        <v>1591</v>
      </c>
      <c r="X156" s="894" t="s">
        <v>1592</v>
      </c>
      <c r="Y156" s="894" t="s">
        <v>1591</v>
      </c>
      <c r="Z156" s="881" t="s">
        <v>1387</v>
      </c>
      <c r="AA156" s="881" t="s">
        <v>1593</v>
      </c>
    </row>
    <row r="157" spans="1:27" ht="121.5">
      <c r="A157" s="104">
        <v>30</v>
      </c>
      <c r="B157" s="105" t="s">
        <v>1619</v>
      </c>
      <c r="C157" s="104" t="s">
        <v>1416</v>
      </c>
      <c r="D157" s="106" t="s">
        <v>13</v>
      </c>
      <c r="E157" s="104"/>
      <c r="F157" s="104" t="s">
        <v>1371</v>
      </c>
      <c r="G157" s="104"/>
      <c r="H157" s="878" t="s">
        <v>1586</v>
      </c>
      <c r="I157" s="876">
        <v>0</v>
      </c>
      <c r="J157" s="105" t="s">
        <v>1620</v>
      </c>
      <c r="K157" s="1433" t="s">
        <v>1621</v>
      </c>
      <c r="L157" s="1433" t="s">
        <v>1622</v>
      </c>
      <c r="M157" s="870" t="s">
        <v>1623</v>
      </c>
      <c r="N157" s="107" t="s">
        <v>77</v>
      </c>
      <c r="O157" s="107" t="s">
        <v>77</v>
      </c>
      <c r="P157" s="107" t="s">
        <v>77</v>
      </c>
      <c r="Q157" s="870" t="s">
        <v>77</v>
      </c>
      <c r="R157" s="107" t="s">
        <v>77</v>
      </c>
      <c r="S157" s="107" t="s">
        <v>77</v>
      </c>
      <c r="T157" s="107" t="s">
        <v>77</v>
      </c>
      <c r="U157" s="107" t="s">
        <v>77</v>
      </c>
      <c r="V157" s="894" t="s">
        <v>1590</v>
      </c>
      <c r="W157" s="894" t="s">
        <v>1591</v>
      </c>
      <c r="X157" s="894" t="s">
        <v>1592</v>
      </c>
      <c r="Y157" s="894" t="s">
        <v>1591</v>
      </c>
      <c r="Z157" s="881" t="s">
        <v>1387</v>
      </c>
      <c r="AA157" s="881" t="s">
        <v>1593</v>
      </c>
    </row>
    <row r="158" spans="1:27" ht="121.5">
      <c r="A158" s="104">
        <v>31</v>
      </c>
      <c r="B158" s="105" t="s">
        <v>1624</v>
      </c>
      <c r="C158" s="104" t="s">
        <v>1416</v>
      </c>
      <c r="D158" s="106" t="s">
        <v>13</v>
      </c>
      <c r="E158" s="104"/>
      <c r="F158" s="104" t="s">
        <v>1371</v>
      </c>
      <c r="G158" s="104"/>
      <c r="H158" s="878" t="s">
        <v>1586</v>
      </c>
      <c r="I158" s="876">
        <v>0</v>
      </c>
      <c r="J158" s="105" t="s">
        <v>1620</v>
      </c>
      <c r="K158" s="1433" t="s">
        <v>1625</v>
      </c>
      <c r="L158" s="1433" t="s">
        <v>1622</v>
      </c>
      <c r="M158" s="870" t="s">
        <v>1623</v>
      </c>
      <c r="N158" s="107" t="s">
        <v>77</v>
      </c>
      <c r="O158" s="107" t="s">
        <v>77</v>
      </c>
      <c r="P158" s="107" t="s">
        <v>77</v>
      </c>
      <c r="Q158" s="870" t="s">
        <v>77</v>
      </c>
      <c r="R158" s="107" t="s">
        <v>77</v>
      </c>
      <c r="S158" s="107" t="s">
        <v>77</v>
      </c>
      <c r="T158" s="107" t="s">
        <v>77</v>
      </c>
      <c r="U158" s="107" t="s">
        <v>77</v>
      </c>
      <c r="V158" s="894" t="s">
        <v>1590</v>
      </c>
      <c r="W158" s="894" t="s">
        <v>1591</v>
      </c>
      <c r="X158" s="894" t="s">
        <v>1592</v>
      </c>
      <c r="Y158" s="894" t="s">
        <v>1591</v>
      </c>
      <c r="Z158" s="881" t="s">
        <v>1387</v>
      </c>
      <c r="AA158" s="881" t="s">
        <v>1593</v>
      </c>
    </row>
    <row r="159" spans="1:27" ht="106.5">
      <c r="A159" s="104">
        <v>32</v>
      </c>
      <c r="B159" s="105" t="s">
        <v>1626</v>
      </c>
      <c r="C159" s="104" t="s">
        <v>1416</v>
      </c>
      <c r="D159" s="106" t="s">
        <v>13</v>
      </c>
      <c r="E159" s="104"/>
      <c r="F159" s="104" t="s">
        <v>1371</v>
      </c>
      <c r="G159" s="104"/>
      <c r="H159" s="878" t="s">
        <v>1586</v>
      </c>
      <c r="I159" s="876">
        <v>0</v>
      </c>
      <c r="J159" s="105" t="s">
        <v>1620</v>
      </c>
      <c r="K159" s="1433" t="s">
        <v>1627</v>
      </c>
      <c r="L159" s="1433" t="s">
        <v>1622</v>
      </c>
      <c r="M159" s="870" t="s">
        <v>1623</v>
      </c>
      <c r="N159" s="107" t="s">
        <v>77</v>
      </c>
      <c r="O159" s="107" t="s">
        <v>77</v>
      </c>
      <c r="P159" s="107" t="s">
        <v>77</v>
      </c>
      <c r="Q159" s="870" t="s">
        <v>77</v>
      </c>
      <c r="R159" s="107" t="s">
        <v>77</v>
      </c>
      <c r="S159" s="107" t="s">
        <v>77</v>
      </c>
      <c r="T159" s="107" t="s">
        <v>77</v>
      </c>
      <c r="U159" s="107" t="s">
        <v>77</v>
      </c>
      <c r="V159" s="894" t="s">
        <v>1590</v>
      </c>
      <c r="W159" s="894" t="s">
        <v>1591</v>
      </c>
      <c r="X159" s="894" t="s">
        <v>1592</v>
      </c>
      <c r="Y159" s="894" t="s">
        <v>1591</v>
      </c>
      <c r="Z159" s="881" t="s">
        <v>1387</v>
      </c>
      <c r="AA159" s="881" t="s">
        <v>1593</v>
      </c>
    </row>
    <row r="160" spans="1:27" ht="90.75">
      <c r="A160" s="104">
        <v>33</v>
      </c>
      <c r="B160" s="105" t="s">
        <v>1628</v>
      </c>
      <c r="C160" s="104" t="s">
        <v>1416</v>
      </c>
      <c r="D160" s="106" t="s">
        <v>288</v>
      </c>
      <c r="E160" s="104"/>
      <c r="F160" s="104" t="s">
        <v>1371</v>
      </c>
      <c r="G160" s="104"/>
      <c r="H160" s="878" t="s">
        <v>1586</v>
      </c>
      <c r="I160" s="876">
        <v>0</v>
      </c>
      <c r="J160" s="104" t="s">
        <v>77</v>
      </c>
      <c r="K160" s="1433" t="s">
        <v>1629</v>
      </c>
      <c r="L160" s="1433" t="s">
        <v>1622</v>
      </c>
      <c r="M160" s="870" t="s">
        <v>1623</v>
      </c>
      <c r="N160" s="107" t="s">
        <v>77</v>
      </c>
      <c r="O160" s="107" t="s">
        <v>77</v>
      </c>
      <c r="P160" s="107" t="s">
        <v>77</v>
      </c>
      <c r="Q160" s="870" t="s">
        <v>77</v>
      </c>
      <c r="R160" s="107" t="s">
        <v>77</v>
      </c>
      <c r="S160" s="107" t="s">
        <v>77</v>
      </c>
      <c r="T160" s="107" t="s">
        <v>77</v>
      </c>
      <c r="U160" s="107" t="s">
        <v>77</v>
      </c>
      <c r="V160" s="881"/>
      <c r="W160" s="881"/>
      <c r="Z160" s="883" t="s">
        <v>1387</v>
      </c>
    </row>
    <row r="161" spans="1:27" ht="121.5">
      <c r="A161" s="104">
        <v>34</v>
      </c>
      <c r="B161" s="105" t="s">
        <v>1630</v>
      </c>
      <c r="C161" s="104" t="s">
        <v>1416</v>
      </c>
      <c r="D161" s="106" t="s">
        <v>13</v>
      </c>
      <c r="E161" s="104"/>
      <c r="F161" s="104" t="s">
        <v>1371</v>
      </c>
      <c r="G161" s="104"/>
      <c r="H161" s="878" t="s">
        <v>1586</v>
      </c>
      <c r="I161" s="876">
        <v>0</v>
      </c>
      <c r="J161" s="105" t="s">
        <v>1620</v>
      </c>
      <c r="K161" s="1433" t="s">
        <v>1625</v>
      </c>
      <c r="L161" s="1433" t="s">
        <v>1622</v>
      </c>
      <c r="M161" s="870" t="s">
        <v>1623</v>
      </c>
      <c r="N161" s="107" t="s">
        <v>77</v>
      </c>
      <c r="O161" s="107" t="s">
        <v>77</v>
      </c>
      <c r="P161" s="107" t="s">
        <v>77</v>
      </c>
      <c r="Q161" s="870" t="s">
        <v>77</v>
      </c>
      <c r="R161" s="107" t="s">
        <v>77</v>
      </c>
      <c r="S161" s="107" t="s">
        <v>77</v>
      </c>
      <c r="T161" s="107" t="s">
        <v>77</v>
      </c>
      <c r="U161" s="107" t="s">
        <v>77</v>
      </c>
      <c r="V161" s="894" t="s">
        <v>1590</v>
      </c>
      <c r="W161" s="894" t="s">
        <v>1591</v>
      </c>
      <c r="X161" s="894" t="s">
        <v>1592</v>
      </c>
      <c r="Y161" s="894" t="s">
        <v>1591</v>
      </c>
      <c r="Z161" s="881" t="s">
        <v>1387</v>
      </c>
      <c r="AA161" s="881" t="s">
        <v>1593</v>
      </c>
    </row>
    <row r="162" spans="1:27" ht="90.75">
      <c r="A162" s="104">
        <v>35</v>
      </c>
      <c r="B162" s="105" t="s">
        <v>1631</v>
      </c>
      <c r="C162" s="104" t="s">
        <v>1416</v>
      </c>
      <c r="D162" s="106" t="s">
        <v>13</v>
      </c>
      <c r="E162" s="104"/>
      <c r="F162" s="104" t="s">
        <v>1371</v>
      </c>
      <c r="G162" s="104"/>
      <c r="H162" s="878" t="s">
        <v>1586</v>
      </c>
      <c r="I162" s="876">
        <v>0</v>
      </c>
      <c r="J162" s="1435"/>
      <c r="K162" s="104"/>
      <c r="L162" s="1433" t="s">
        <v>1632</v>
      </c>
      <c r="M162" s="870" t="s">
        <v>1633</v>
      </c>
      <c r="N162" s="107" t="s">
        <v>77</v>
      </c>
      <c r="O162" s="107" t="s">
        <v>77</v>
      </c>
      <c r="P162" s="107" t="s">
        <v>77</v>
      </c>
      <c r="Q162" s="870" t="s">
        <v>77</v>
      </c>
      <c r="R162" s="107" t="s">
        <v>77</v>
      </c>
      <c r="S162" s="107" t="s">
        <v>77</v>
      </c>
      <c r="T162" s="107" t="s">
        <v>77</v>
      </c>
      <c r="U162" s="107" t="s">
        <v>77</v>
      </c>
      <c r="V162" s="881"/>
      <c r="W162" s="881"/>
      <c r="Z162" s="883" t="s">
        <v>1387</v>
      </c>
      <c r="AA162" s="883" t="s">
        <v>1634</v>
      </c>
    </row>
    <row r="163" spans="1:27" ht="106.5">
      <c r="A163" s="104">
        <v>36</v>
      </c>
      <c r="B163" s="105" t="s">
        <v>1635</v>
      </c>
      <c r="C163" s="104" t="s">
        <v>1416</v>
      </c>
      <c r="D163" s="106" t="s">
        <v>1291</v>
      </c>
      <c r="E163" s="104"/>
      <c r="F163" s="104" t="s">
        <v>1371</v>
      </c>
      <c r="G163" s="104"/>
      <c r="H163" s="878" t="s">
        <v>1586</v>
      </c>
      <c r="I163" s="876">
        <v>0</v>
      </c>
      <c r="J163" s="1435"/>
      <c r="K163" s="1433" t="s">
        <v>1636</v>
      </c>
      <c r="L163" s="1433" t="s">
        <v>1637</v>
      </c>
      <c r="M163" s="873" t="s">
        <v>1638</v>
      </c>
      <c r="N163" s="107" t="s">
        <v>77</v>
      </c>
      <c r="O163" s="107" t="s">
        <v>77</v>
      </c>
      <c r="P163" s="107" t="s">
        <v>77</v>
      </c>
      <c r="Q163" s="870" t="s">
        <v>77</v>
      </c>
      <c r="R163" s="107" t="s">
        <v>77</v>
      </c>
      <c r="S163" s="107" t="s">
        <v>77</v>
      </c>
      <c r="T163" s="107" t="s">
        <v>77</v>
      </c>
      <c r="U163" s="107" t="s">
        <v>77</v>
      </c>
      <c r="V163" s="881"/>
      <c r="W163" s="881"/>
      <c r="Z163" s="883" t="s">
        <v>1387</v>
      </c>
    </row>
    <row r="164" spans="1:27" ht="106.5">
      <c r="A164" s="104">
        <v>37</v>
      </c>
      <c r="B164" s="105" t="s">
        <v>1639</v>
      </c>
      <c r="C164" s="104" t="s">
        <v>1416</v>
      </c>
      <c r="D164" s="106" t="s">
        <v>1295</v>
      </c>
      <c r="E164" s="104"/>
      <c r="F164" s="104" t="s">
        <v>1371</v>
      </c>
      <c r="G164" s="104"/>
      <c r="H164" s="878" t="s">
        <v>1586</v>
      </c>
      <c r="I164" s="876">
        <v>0</v>
      </c>
      <c r="J164" s="1435"/>
      <c r="K164" s="104"/>
      <c r="L164" s="1433" t="s">
        <v>1640</v>
      </c>
      <c r="M164" s="873" t="s">
        <v>1638</v>
      </c>
      <c r="N164" s="107" t="s">
        <v>77</v>
      </c>
      <c r="O164" s="107" t="s">
        <v>77</v>
      </c>
      <c r="P164" s="107" t="s">
        <v>77</v>
      </c>
      <c r="Q164" s="870" t="s">
        <v>77</v>
      </c>
      <c r="R164" s="107" t="s">
        <v>77</v>
      </c>
      <c r="S164" s="107" t="s">
        <v>77</v>
      </c>
      <c r="T164" s="107" t="s">
        <v>77</v>
      </c>
      <c r="U164" s="107" t="s">
        <v>77</v>
      </c>
      <c r="V164" s="881"/>
      <c r="W164" s="881"/>
      <c r="Z164" s="883" t="s">
        <v>1387</v>
      </c>
    </row>
    <row r="165" spans="1:27" ht="106.5">
      <c r="A165" s="104">
        <v>38</v>
      </c>
      <c r="B165" s="105" t="s">
        <v>1641</v>
      </c>
      <c r="C165" s="104" t="s">
        <v>1416</v>
      </c>
      <c r="D165" s="106" t="s">
        <v>13</v>
      </c>
      <c r="E165" s="104"/>
      <c r="F165" s="104" t="s">
        <v>1371</v>
      </c>
      <c r="G165" s="104"/>
      <c r="H165" s="878" t="s">
        <v>1586</v>
      </c>
      <c r="I165" s="876">
        <v>0</v>
      </c>
      <c r="J165" s="1435"/>
      <c r="K165" s="104"/>
      <c r="L165" s="1433" t="s">
        <v>1632</v>
      </c>
      <c r="M165" s="873" t="s">
        <v>1638</v>
      </c>
      <c r="N165" s="107" t="s">
        <v>77</v>
      </c>
      <c r="O165" s="107" t="s">
        <v>77</v>
      </c>
      <c r="P165" s="107" t="s">
        <v>77</v>
      </c>
      <c r="Q165" s="870" t="s">
        <v>77</v>
      </c>
      <c r="R165" s="107" t="s">
        <v>77</v>
      </c>
      <c r="S165" s="107" t="s">
        <v>77</v>
      </c>
      <c r="T165" s="107" t="s">
        <v>77</v>
      </c>
      <c r="U165" s="107" t="s">
        <v>77</v>
      </c>
      <c r="V165" s="881"/>
      <c r="W165" s="881"/>
      <c r="Z165" s="883" t="s">
        <v>1387</v>
      </c>
      <c r="AA165" s="883" t="s">
        <v>1634</v>
      </c>
    </row>
    <row r="166" spans="1:27" ht="106.5">
      <c r="A166" s="104">
        <v>39</v>
      </c>
      <c r="B166" s="105" t="s">
        <v>1642</v>
      </c>
      <c r="C166" s="104" t="s">
        <v>1643</v>
      </c>
      <c r="D166" s="106" t="s">
        <v>1301</v>
      </c>
      <c r="E166" s="104"/>
      <c r="F166" s="104" t="s">
        <v>1371</v>
      </c>
      <c r="G166" s="104"/>
      <c r="H166" s="878" t="s">
        <v>1586</v>
      </c>
      <c r="I166" s="876">
        <v>0</v>
      </c>
      <c r="J166" s="1435"/>
      <c r="K166" s="104"/>
      <c r="L166" s="1433" t="s">
        <v>1644</v>
      </c>
      <c r="M166" s="873" t="s">
        <v>1638</v>
      </c>
      <c r="N166" s="107" t="s">
        <v>77</v>
      </c>
      <c r="O166" s="107" t="s">
        <v>77</v>
      </c>
      <c r="P166" s="107" t="s">
        <v>77</v>
      </c>
      <c r="Q166" s="870" t="s">
        <v>77</v>
      </c>
      <c r="R166" s="107" t="s">
        <v>77</v>
      </c>
      <c r="S166" s="107" t="s">
        <v>77</v>
      </c>
      <c r="T166" s="107" t="s">
        <v>77</v>
      </c>
      <c r="U166" s="107" t="s">
        <v>77</v>
      </c>
      <c r="V166" s="881"/>
      <c r="W166" s="881"/>
      <c r="Z166" s="883" t="s">
        <v>1387</v>
      </c>
    </row>
    <row r="167" spans="1:27" ht="106.5">
      <c r="A167" s="104">
        <v>40</v>
      </c>
      <c r="B167" s="105" t="s">
        <v>1645</v>
      </c>
      <c r="C167" s="104" t="s">
        <v>1416</v>
      </c>
      <c r="D167" s="106" t="s">
        <v>1295</v>
      </c>
      <c r="E167" s="104"/>
      <c r="F167" s="104" t="s">
        <v>1371</v>
      </c>
      <c r="G167" s="104"/>
      <c r="H167" s="878" t="s">
        <v>1586</v>
      </c>
      <c r="I167" s="876">
        <v>0</v>
      </c>
      <c r="J167" s="1435"/>
      <c r="K167" s="104"/>
      <c r="L167" s="1433" t="s">
        <v>1646</v>
      </c>
      <c r="M167" s="873" t="s">
        <v>1638</v>
      </c>
      <c r="N167" s="107" t="s">
        <v>77</v>
      </c>
      <c r="O167" s="107" t="s">
        <v>77</v>
      </c>
      <c r="P167" s="107" t="s">
        <v>77</v>
      </c>
      <c r="Q167" s="870" t="s">
        <v>77</v>
      </c>
      <c r="R167" s="107" t="s">
        <v>77</v>
      </c>
      <c r="S167" s="107" t="s">
        <v>77</v>
      </c>
      <c r="T167" s="107" t="s">
        <v>77</v>
      </c>
      <c r="U167" s="107" t="s">
        <v>77</v>
      </c>
      <c r="V167" s="881"/>
      <c r="W167" s="881"/>
      <c r="Z167" s="883" t="s">
        <v>1387</v>
      </c>
    </row>
    <row r="168" spans="1:27" ht="106.5">
      <c r="A168" s="104">
        <v>41</v>
      </c>
      <c r="B168" s="105" t="s">
        <v>1647</v>
      </c>
      <c r="C168" s="104" t="s">
        <v>1416</v>
      </c>
      <c r="D168" s="106" t="s">
        <v>13</v>
      </c>
      <c r="E168" s="104"/>
      <c r="F168" s="104" t="s">
        <v>1371</v>
      </c>
      <c r="G168" s="104"/>
      <c r="H168" s="878" t="s">
        <v>1586</v>
      </c>
      <c r="I168" s="876">
        <v>0</v>
      </c>
      <c r="J168" s="1435"/>
      <c r="K168" s="104"/>
      <c r="L168" s="1433" t="s">
        <v>1632</v>
      </c>
      <c r="M168" s="873" t="s">
        <v>1638</v>
      </c>
      <c r="N168" s="107" t="s">
        <v>77</v>
      </c>
      <c r="O168" s="107" t="s">
        <v>77</v>
      </c>
      <c r="P168" s="107" t="s">
        <v>77</v>
      </c>
      <c r="Q168" s="870" t="s">
        <v>77</v>
      </c>
      <c r="R168" s="107" t="s">
        <v>77</v>
      </c>
      <c r="S168" s="107" t="s">
        <v>77</v>
      </c>
      <c r="T168" s="107" t="s">
        <v>77</v>
      </c>
      <c r="U168" s="107" t="s">
        <v>77</v>
      </c>
      <c r="V168" s="881"/>
      <c r="W168" s="881"/>
      <c r="Z168" s="883" t="s">
        <v>1387</v>
      </c>
      <c r="AA168" s="883" t="s">
        <v>1634</v>
      </c>
    </row>
    <row r="169" spans="1:27" ht="106.5">
      <c r="A169" s="104">
        <v>42</v>
      </c>
      <c r="B169" s="105" t="s">
        <v>1648</v>
      </c>
      <c r="C169" s="104" t="s">
        <v>1416</v>
      </c>
      <c r="D169" s="106" t="s">
        <v>13</v>
      </c>
      <c r="E169" s="104"/>
      <c r="F169" s="104" t="s">
        <v>1371</v>
      </c>
      <c r="G169" s="104"/>
      <c r="H169" s="878" t="s">
        <v>1586</v>
      </c>
      <c r="I169" s="876">
        <v>0</v>
      </c>
      <c r="J169" s="1435"/>
      <c r="K169" s="104"/>
      <c r="L169" s="1433" t="s">
        <v>1632</v>
      </c>
      <c r="M169" s="873" t="s">
        <v>1638</v>
      </c>
      <c r="N169" s="107" t="s">
        <v>77</v>
      </c>
      <c r="O169" s="107" t="s">
        <v>77</v>
      </c>
      <c r="P169" s="107" t="s">
        <v>77</v>
      </c>
      <c r="Q169" s="870" t="s">
        <v>77</v>
      </c>
      <c r="R169" s="107" t="s">
        <v>77</v>
      </c>
      <c r="S169" s="107" t="s">
        <v>77</v>
      </c>
      <c r="T169" s="107" t="s">
        <v>77</v>
      </c>
      <c r="U169" s="107" t="s">
        <v>77</v>
      </c>
      <c r="V169" s="881"/>
      <c r="W169" s="881"/>
      <c r="Z169" s="883" t="s">
        <v>1387</v>
      </c>
      <c r="AA169" s="883" t="s">
        <v>1634</v>
      </c>
    </row>
    <row r="170" spans="1:27" ht="106.5">
      <c r="A170" s="104">
        <v>43</v>
      </c>
      <c r="B170" s="105" t="s">
        <v>1649</v>
      </c>
      <c r="C170" s="104" t="s">
        <v>1416</v>
      </c>
      <c r="D170" s="106" t="s">
        <v>13</v>
      </c>
      <c r="E170" s="104"/>
      <c r="F170" s="104" t="s">
        <v>1371</v>
      </c>
      <c r="G170" s="104"/>
      <c r="H170" s="878" t="s">
        <v>1586</v>
      </c>
      <c r="I170" s="876">
        <v>0</v>
      </c>
      <c r="J170" s="1435"/>
      <c r="K170" s="104"/>
      <c r="L170" s="1433" t="s">
        <v>1632</v>
      </c>
      <c r="M170" s="873" t="s">
        <v>1638</v>
      </c>
      <c r="N170" s="107" t="s">
        <v>77</v>
      </c>
      <c r="O170" s="107" t="s">
        <v>77</v>
      </c>
      <c r="P170" s="107" t="s">
        <v>77</v>
      </c>
      <c r="Q170" s="870" t="s">
        <v>77</v>
      </c>
      <c r="R170" s="107" t="s">
        <v>77</v>
      </c>
      <c r="S170" s="107" t="s">
        <v>77</v>
      </c>
      <c r="T170" s="107" t="s">
        <v>77</v>
      </c>
      <c r="U170" s="107" t="s">
        <v>77</v>
      </c>
      <c r="V170" s="881"/>
      <c r="W170" s="881"/>
      <c r="Z170" s="883" t="s">
        <v>1387</v>
      </c>
      <c r="AA170" s="883" t="s">
        <v>1634</v>
      </c>
    </row>
    <row r="171" spans="1:27" ht="106.5">
      <c r="A171" s="104">
        <v>44</v>
      </c>
      <c r="B171" s="105" t="s">
        <v>1650</v>
      </c>
      <c r="C171" s="104" t="s">
        <v>1416</v>
      </c>
      <c r="D171" s="106" t="s">
        <v>13</v>
      </c>
      <c r="E171" s="104"/>
      <c r="F171" s="104" t="s">
        <v>1371</v>
      </c>
      <c r="G171" s="104"/>
      <c r="H171" s="878" t="s">
        <v>1586</v>
      </c>
      <c r="I171" s="876">
        <v>0</v>
      </c>
      <c r="J171" s="1435"/>
      <c r="K171" s="104"/>
      <c r="L171" s="1433" t="s">
        <v>1632</v>
      </c>
      <c r="M171" s="873" t="s">
        <v>1638</v>
      </c>
      <c r="N171" s="107" t="s">
        <v>77</v>
      </c>
      <c r="O171" s="107" t="s">
        <v>77</v>
      </c>
      <c r="P171" s="107" t="s">
        <v>77</v>
      </c>
      <c r="Q171" s="870" t="s">
        <v>77</v>
      </c>
      <c r="R171" s="107" t="s">
        <v>77</v>
      </c>
      <c r="S171" s="107" t="s">
        <v>77</v>
      </c>
      <c r="T171" s="107" t="s">
        <v>77</v>
      </c>
      <c r="U171" s="107" t="s">
        <v>77</v>
      </c>
      <c r="V171" s="881"/>
      <c r="W171" s="881"/>
      <c r="Z171" s="883" t="s">
        <v>1387</v>
      </c>
      <c r="AA171" s="883" t="s">
        <v>1634</v>
      </c>
    </row>
    <row r="172" spans="1:27" ht="106.5">
      <c r="A172" s="104">
        <v>45</v>
      </c>
      <c r="B172" s="105" t="s">
        <v>1651</v>
      </c>
      <c r="C172" s="104" t="s">
        <v>1416</v>
      </c>
      <c r="D172" s="106" t="s">
        <v>13</v>
      </c>
      <c r="E172" s="104"/>
      <c r="F172" s="104" t="s">
        <v>1371</v>
      </c>
      <c r="G172" s="104"/>
      <c r="H172" s="878" t="s">
        <v>1586</v>
      </c>
      <c r="I172" s="876">
        <v>0</v>
      </c>
      <c r="J172" s="1435"/>
      <c r="K172" s="104"/>
      <c r="L172" s="1433" t="s">
        <v>1632</v>
      </c>
      <c r="M172" s="873" t="s">
        <v>1638</v>
      </c>
      <c r="N172" s="107" t="s">
        <v>77</v>
      </c>
      <c r="O172" s="107" t="s">
        <v>77</v>
      </c>
      <c r="P172" s="107" t="s">
        <v>77</v>
      </c>
      <c r="Q172" s="870" t="s">
        <v>77</v>
      </c>
      <c r="R172" s="107" t="s">
        <v>77</v>
      </c>
      <c r="S172" s="107" t="s">
        <v>77</v>
      </c>
      <c r="T172" s="107" t="s">
        <v>77</v>
      </c>
      <c r="U172" s="107" t="s">
        <v>77</v>
      </c>
      <c r="V172" s="881"/>
      <c r="W172" s="881"/>
      <c r="Z172" s="883" t="s">
        <v>1387</v>
      </c>
      <c r="AA172" s="883" t="s">
        <v>1634</v>
      </c>
    </row>
    <row r="173" spans="1:27" ht="106.5">
      <c r="A173" s="104">
        <v>46</v>
      </c>
      <c r="B173" s="105" t="s">
        <v>1652</v>
      </c>
      <c r="C173" s="104" t="s">
        <v>1643</v>
      </c>
      <c r="D173" s="106" t="s">
        <v>1301</v>
      </c>
      <c r="E173" s="104"/>
      <c r="F173" s="104" t="s">
        <v>1371</v>
      </c>
      <c r="G173" s="104"/>
      <c r="H173" s="878" t="s">
        <v>1586</v>
      </c>
      <c r="I173" s="876">
        <v>0</v>
      </c>
      <c r="J173" s="1435"/>
      <c r="K173" s="104"/>
      <c r="L173" s="1433" t="s">
        <v>1644</v>
      </c>
      <c r="M173" s="873" t="s">
        <v>1638</v>
      </c>
      <c r="N173" s="107" t="s">
        <v>77</v>
      </c>
      <c r="O173" s="107" t="s">
        <v>77</v>
      </c>
      <c r="P173" s="107" t="s">
        <v>77</v>
      </c>
      <c r="Q173" s="870" t="s">
        <v>77</v>
      </c>
      <c r="R173" s="107" t="s">
        <v>77</v>
      </c>
      <c r="S173" s="107" t="s">
        <v>77</v>
      </c>
      <c r="T173" s="107" t="s">
        <v>77</v>
      </c>
      <c r="U173" s="107" t="s">
        <v>77</v>
      </c>
      <c r="V173" s="881"/>
      <c r="W173" s="881"/>
      <c r="Z173" s="883" t="s">
        <v>1387</v>
      </c>
    </row>
    <row r="174" spans="1:27" ht="106.5">
      <c r="A174" s="104">
        <v>47</v>
      </c>
      <c r="B174" s="105" t="s">
        <v>1653</v>
      </c>
      <c r="C174" s="104" t="s">
        <v>1416</v>
      </c>
      <c r="D174" s="106" t="s">
        <v>1313</v>
      </c>
      <c r="E174" s="104"/>
      <c r="F174" s="104" t="s">
        <v>1371</v>
      </c>
      <c r="G174" s="104"/>
      <c r="H174" s="878" t="s">
        <v>1586</v>
      </c>
      <c r="I174" s="876">
        <v>0</v>
      </c>
      <c r="J174" s="1435"/>
      <c r="K174" s="104"/>
      <c r="L174" s="1433" t="s">
        <v>1654</v>
      </c>
      <c r="M174" s="873" t="s">
        <v>1638</v>
      </c>
      <c r="N174" s="107" t="s">
        <v>77</v>
      </c>
      <c r="O174" s="107" t="s">
        <v>77</v>
      </c>
      <c r="P174" s="107" t="s">
        <v>77</v>
      </c>
      <c r="Q174" s="870" t="s">
        <v>77</v>
      </c>
      <c r="R174" s="107" t="s">
        <v>77</v>
      </c>
      <c r="S174" s="107" t="s">
        <v>77</v>
      </c>
      <c r="T174" s="107" t="s">
        <v>77</v>
      </c>
      <c r="U174" s="107" t="s">
        <v>77</v>
      </c>
      <c r="V174" s="881"/>
      <c r="W174" s="881"/>
      <c r="Z174" s="883" t="s">
        <v>1387</v>
      </c>
    </row>
    <row r="175" spans="1:27" ht="106.5">
      <c r="A175" s="104">
        <v>48</v>
      </c>
      <c r="B175" s="105" t="s">
        <v>1655</v>
      </c>
      <c r="C175" s="104" t="s">
        <v>1416</v>
      </c>
      <c r="D175" s="106" t="s">
        <v>13</v>
      </c>
      <c r="E175" s="104"/>
      <c r="F175" s="104" t="s">
        <v>1371</v>
      </c>
      <c r="G175" s="104"/>
      <c r="H175" s="878" t="s">
        <v>1586</v>
      </c>
      <c r="I175" s="876">
        <v>0</v>
      </c>
      <c r="J175" s="1435"/>
      <c r="K175" s="104"/>
      <c r="L175" s="1433" t="s">
        <v>1637</v>
      </c>
      <c r="M175" s="873" t="s">
        <v>1638</v>
      </c>
      <c r="N175" s="107" t="s">
        <v>77</v>
      </c>
      <c r="O175" s="107" t="s">
        <v>77</v>
      </c>
      <c r="P175" s="107" t="s">
        <v>77</v>
      </c>
      <c r="Q175" s="870" t="s">
        <v>77</v>
      </c>
      <c r="R175" s="107" t="s">
        <v>77</v>
      </c>
      <c r="S175" s="107" t="s">
        <v>77</v>
      </c>
      <c r="T175" s="107" t="s">
        <v>77</v>
      </c>
      <c r="U175" s="107" t="s">
        <v>77</v>
      </c>
      <c r="V175" s="881"/>
      <c r="W175" s="881"/>
      <c r="Z175" s="883" t="s">
        <v>1387</v>
      </c>
      <c r="AA175" s="883" t="s">
        <v>1634</v>
      </c>
    </row>
    <row r="176" spans="1:27" ht="106.5">
      <c r="A176" s="104">
        <v>49</v>
      </c>
      <c r="B176" s="105" t="s">
        <v>1656</v>
      </c>
      <c r="C176" s="104" t="s">
        <v>1416</v>
      </c>
      <c r="D176" s="106" t="s">
        <v>1291</v>
      </c>
      <c r="E176" s="104"/>
      <c r="F176" s="104" t="s">
        <v>1371</v>
      </c>
      <c r="G176" s="104"/>
      <c r="H176" s="878" t="s">
        <v>1586</v>
      </c>
      <c r="I176" s="876">
        <v>0</v>
      </c>
      <c r="J176" s="1435"/>
      <c r="K176" s="1433" t="s">
        <v>1629</v>
      </c>
      <c r="L176" s="1433" t="s">
        <v>1637</v>
      </c>
      <c r="M176" s="873" t="s">
        <v>1638</v>
      </c>
      <c r="N176" s="107" t="s">
        <v>77</v>
      </c>
      <c r="O176" s="107" t="s">
        <v>77</v>
      </c>
      <c r="P176" s="107" t="s">
        <v>77</v>
      </c>
      <c r="Q176" s="870" t="s">
        <v>77</v>
      </c>
      <c r="R176" s="107" t="s">
        <v>77</v>
      </c>
      <c r="S176" s="107" t="s">
        <v>77</v>
      </c>
      <c r="T176" s="107" t="s">
        <v>77</v>
      </c>
      <c r="U176" s="107" t="s">
        <v>77</v>
      </c>
      <c r="V176" s="881"/>
      <c r="W176" s="881"/>
      <c r="Z176" s="883" t="s">
        <v>1387</v>
      </c>
    </row>
    <row r="177" spans="1:27" ht="151.5" customHeight="1">
      <c r="A177" s="104">
        <v>50</v>
      </c>
      <c r="B177" s="105" t="s">
        <v>1657</v>
      </c>
      <c r="C177" s="104" t="s">
        <v>1416</v>
      </c>
      <c r="D177" s="106" t="s">
        <v>1319</v>
      </c>
      <c r="E177" s="104"/>
      <c r="F177" s="104" t="s">
        <v>1371</v>
      </c>
      <c r="G177" s="104"/>
      <c r="H177" s="878" t="s">
        <v>1586</v>
      </c>
      <c r="I177" s="876">
        <v>0</v>
      </c>
      <c r="J177" s="104" t="s">
        <v>77</v>
      </c>
      <c r="K177" s="1433" t="s">
        <v>1577</v>
      </c>
      <c r="L177" s="1433" t="s">
        <v>1658</v>
      </c>
      <c r="M177" s="106" t="s">
        <v>1623</v>
      </c>
      <c r="N177" s="890" t="s">
        <v>77</v>
      </c>
      <c r="O177" s="890" t="s">
        <v>77</v>
      </c>
      <c r="P177" s="890" t="s">
        <v>77</v>
      </c>
      <c r="Q177" s="1438" t="s">
        <v>77</v>
      </c>
      <c r="R177" s="890" t="s">
        <v>77</v>
      </c>
      <c r="S177" s="890" t="s">
        <v>77</v>
      </c>
      <c r="T177" s="890" t="s">
        <v>77</v>
      </c>
      <c r="U177" s="890" t="s">
        <v>77</v>
      </c>
      <c r="V177" s="886" t="s">
        <v>1580</v>
      </c>
      <c r="W177" s="1445" t="s">
        <v>1581</v>
      </c>
      <c r="X177" s="894" t="s">
        <v>1582</v>
      </c>
      <c r="Y177" s="894" t="s">
        <v>1583</v>
      </c>
      <c r="Z177" s="895" t="s">
        <v>1387</v>
      </c>
      <c r="AA177" s="881" t="s">
        <v>1584</v>
      </c>
    </row>
    <row r="178" spans="1:27" ht="75.75">
      <c r="A178" s="104">
        <v>51</v>
      </c>
      <c r="B178" s="105" t="s">
        <v>1659</v>
      </c>
      <c r="C178" s="104" t="s">
        <v>1660</v>
      </c>
      <c r="D178" s="106" t="s">
        <v>1321</v>
      </c>
      <c r="E178" s="104"/>
      <c r="F178" s="104" t="s">
        <v>1371</v>
      </c>
      <c r="G178" s="104"/>
      <c r="H178" s="878" t="s">
        <v>1586</v>
      </c>
      <c r="I178" s="876">
        <v>0</v>
      </c>
      <c r="J178" s="104" t="s">
        <v>77</v>
      </c>
      <c r="K178" s="104"/>
      <c r="L178" s="1433" t="s">
        <v>1622</v>
      </c>
      <c r="M178" s="870" t="s">
        <v>1623</v>
      </c>
      <c r="N178" s="107" t="s">
        <v>77</v>
      </c>
      <c r="O178" s="107" t="s">
        <v>77</v>
      </c>
      <c r="P178" s="107" t="s">
        <v>77</v>
      </c>
      <c r="Q178" s="870" t="s">
        <v>77</v>
      </c>
      <c r="R178" s="107" t="s">
        <v>77</v>
      </c>
      <c r="S178" s="107" t="s">
        <v>77</v>
      </c>
      <c r="T178" s="107" t="s">
        <v>77</v>
      </c>
      <c r="U178" s="107" t="s">
        <v>77</v>
      </c>
      <c r="V178" s="881"/>
      <c r="W178" s="881"/>
      <c r="Z178" s="883" t="s">
        <v>1387</v>
      </c>
    </row>
    <row r="179" spans="1:27" ht="75.75">
      <c r="A179" s="104">
        <v>52</v>
      </c>
      <c r="B179" s="105" t="s">
        <v>1661</v>
      </c>
      <c r="C179" s="104" t="s">
        <v>1660</v>
      </c>
      <c r="D179" s="106" t="s">
        <v>1321</v>
      </c>
      <c r="E179" s="104"/>
      <c r="F179" s="104" t="s">
        <v>1371</v>
      </c>
      <c r="G179" s="104"/>
      <c r="H179" s="878" t="s">
        <v>1586</v>
      </c>
      <c r="I179" s="876">
        <v>0</v>
      </c>
      <c r="J179" s="104" t="s">
        <v>77</v>
      </c>
      <c r="K179" s="104"/>
      <c r="L179" s="1433" t="s">
        <v>1622</v>
      </c>
      <c r="M179" s="870" t="s">
        <v>1623</v>
      </c>
      <c r="N179" s="107" t="s">
        <v>77</v>
      </c>
      <c r="O179" s="107" t="s">
        <v>77</v>
      </c>
      <c r="P179" s="107" t="s">
        <v>77</v>
      </c>
      <c r="Q179" s="870" t="s">
        <v>77</v>
      </c>
      <c r="R179" s="107" t="s">
        <v>77</v>
      </c>
      <c r="S179" s="107" t="s">
        <v>77</v>
      </c>
      <c r="T179" s="107" t="s">
        <v>77</v>
      </c>
      <c r="U179" s="107" t="s">
        <v>77</v>
      </c>
      <c r="V179" s="881"/>
      <c r="W179" s="881"/>
      <c r="Z179" s="883" t="s">
        <v>1387</v>
      </c>
    </row>
    <row r="180" spans="1:27" ht="75.75">
      <c r="A180" s="104">
        <v>53</v>
      </c>
      <c r="B180" s="105" t="s">
        <v>1662</v>
      </c>
      <c r="C180" s="104" t="s">
        <v>1660</v>
      </c>
      <c r="D180" s="106" t="s">
        <v>1321</v>
      </c>
      <c r="E180" s="104"/>
      <c r="F180" s="104" t="s">
        <v>1371</v>
      </c>
      <c r="G180" s="104"/>
      <c r="H180" s="878" t="s">
        <v>1586</v>
      </c>
      <c r="I180" s="876">
        <v>0</v>
      </c>
      <c r="J180" s="104" t="s">
        <v>77</v>
      </c>
      <c r="K180" s="104"/>
      <c r="L180" s="1433" t="s">
        <v>1622</v>
      </c>
      <c r="M180" s="870" t="s">
        <v>1623</v>
      </c>
      <c r="N180" s="107" t="s">
        <v>77</v>
      </c>
      <c r="O180" s="107" t="s">
        <v>77</v>
      </c>
      <c r="P180" s="107" t="s">
        <v>77</v>
      </c>
      <c r="Q180" s="870" t="s">
        <v>77</v>
      </c>
      <c r="R180" s="107" t="s">
        <v>77</v>
      </c>
      <c r="S180" s="107" t="s">
        <v>77</v>
      </c>
      <c r="T180" s="107" t="s">
        <v>77</v>
      </c>
      <c r="U180" s="107" t="s">
        <v>77</v>
      </c>
      <c r="V180" s="881"/>
      <c r="W180" s="881"/>
      <c r="Z180" s="883" t="s">
        <v>1387</v>
      </c>
    </row>
    <row r="181" spans="1:27" ht="75.75">
      <c r="A181" s="104">
        <v>54</v>
      </c>
      <c r="B181" s="105" t="s">
        <v>1663</v>
      </c>
      <c r="C181" s="104" t="s">
        <v>1416</v>
      </c>
      <c r="D181" s="106" t="s">
        <v>1319</v>
      </c>
      <c r="E181" s="104"/>
      <c r="F181" s="104" t="s">
        <v>1371</v>
      </c>
      <c r="G181" s="104"/>
      <c r="H181" s="878" t="s">
        <v>1586</v>
      </c>
      <c r="I181" s="876">
        <v>0</v>
      </c>
      <c r="J181" s="104" t="s">
        <v>77</v>
      </c>
      <c r="K181" s="104"/>
      <c r="L181" s="1433" t="s">
        <v>1622</v>
      </c>
      <c r="M181" s="870" t="s">
        <v>1623</v>
      </c>
      <c r="N181" s="107" t="s">
        <v>77</v>
      </c>
      <c r="O181" s="107" t="s">
        <v>77</v>
      </c>
      <c r="P181" s="107" t="s">
        <v>77</v>
      </c>
      <c r="Q181" s="870" t="s">
        <v>77</v>
      </c>
      <c r="R181" s="107" t="s">
        <v>77</v>
      </c>
      <c r="S181" s="107" t="s">
        <v>77</v>
      </c>
      <c r="T181" s="107" t="s">
        <v>77</v>
      </c>
      <c r="U181" s="107" t="s">
        <v>77</v>
      </c>
      <c r="V181" s="881"/>
      <c r="W181" s="881"/>
      <c r="Z181" s="883" t="s">
        <v>1387</v>
      </c>
    </row>
    <row r="182" spans="1:27" ht="75.75">
      <c r="A182" s="104">
        <v>55</v>
      </c>
      <c r="B182" s="105" t="s">
        <v>1664</v>
      </c>
      <c r="C182" s="104" t="s">
        <v>1416</v>
      </c>
      <c r="D182" s="106" t="s">
        <v>1319</v>
      </c>
      <c r="E182" s="104"/>
      <c r="F182" s="104" t="s">
        <v>1371</v>
      </c>
      <c r="G182" s="104"/>
      <c r="H182" s="878" t="s">
        <v>1586</v>
      </c>
      <c r="I182" s="876">
        <v>0</v>
      </c>
      <c r="J182" s="104" t="s">
        <v>77</v>
      </c>
      <c r="K182" s="104"/>
      <c r="L182" s="1433" t="s">
        <v>1622</v>
      </c>
      <c r="M182" s="870" t="s">
        <v>1623</v>
      </c>
      <c r="N182" s="107" t="s">
        <v>77</v>
      </c>
      <c r="O182" s="107" t="s">
        <v>77</v>
      </c>
      <c r="P182" s="107" t="s">
        <v>77</v>
      </c>
      <c r="Q182" s="870" t="s">
        <v>77</v>
      </c>
      <c r="R182" s="107" t="s">
        <v>77</v>
      </c>
      <c r="S182" s="107" t="s">
        <v>77</v>
      </c>
      <c r="T182" s="107" t="s">
        <v>77</v>
      </c>
      <c r="U182" s="107" t="s">
        <v>77</v>
      </c>
      <c r="V182" s="881"/>
      <c r="W182" s="881"/>
      <c r="Z182" s="883" t="s">
        <v>1387</v>
      </c>
    </row>
    <row r="183" spans="1:27">
      <c r="A183" s="108"/>
      <c r="B183" s="109"/>
      <c r="C183" s="108"/>
      <c r="D183" s="108"/>
      <c r="E183" s="108"/>
      <c r="F183" s="108"/>
      <c r="G183" s="108"/>
      <c r="H183" s="108"/>
      <c r="I183" s="108"/>
      <c r="J183" s="108"/>
      <c r="K183" s="108"/>
      <c r="L183" s="108"/>
      <c r="M183" s="871"/>
      <c r="N183" s="108"/>
      <c r="O183" s="108"/>
      <c r="P183" s="108"/>
      <c r="Q183" s="871"/>
      <c r="R183" s="108"/>
      <c r="S183" s="108"/>
      <c r="T183" s="108"/>
      <c r="U183" s="108"/>
    </row>
    <row r="184" spans="1:27">
      <c r="A184" s="108"/>
      <c r="B184" s="109"/>
      <c r="C184" s="108"/>
      <c r="D184" s="108"/>
      <c r="E184" s="108"/>
      <c r="F184" s="108"/>
      <c r="G184" s="108"/>
      <c r="H184" s="108"/>
      <c r="I184" s="108"/>
      <c r="J184" s="108"/>
      <c r="K184" s="108"/>
      <c r="L184" s="108"/>
      <c r="M184" s="871"/>
      <c r="N184" s="108"/>
      <c r="O184" s="108"/>
      <c r="P184" s="108"/>
      <c r="Q184" s="871"/>
      <c r="R184" s="108"/>
      <c r="S184" s="108"/>
      <c r="T184" s="108"/>
      <c r="U184" s="108"/>
    </row>
    <row r="185" spans="1:27">
      <c r="A185" s="108"/>
      <c r="B185" s="109"/>
      <c r="C185" s="108"/>
      <c r="D185" s="108"/>
      <c r="E185" s="108"/>
      <c r="F185" s="108"/>
      <c r="G185" s="108"/>
      <c r="H185" s="108"/>
      <c r="I185" s="108"/>
      <c r="J185" s="108"/>
      <c r="K185" s="108"/>
      <c r="L185" s="108"/>
      <c r="M185" s="871"/>
      <c r="N185" s="108"/>
      <c r="O185" s="108"/>
      <c r="P185" s="108"/>
      <c r="Q185" s="871"/>
      <c r="R185" s="108"/>
      <c r="S185" s="108"/>
      <c r="T185" s="108"/>
      <c r="U185" s="108"/>
    </row>
    <row r="186" spans="1:27">
      <c r="A186" s="108"/>
      <c r="B186" s="109" t="s">
        <v>1665</v>
      </c>
      <c r="C186" s="108"/>
      <c r="D186" s="108"/>
      <c r="E186" s="108"/>
      <c r="F186" s="108"/>
      <c r="G186" s="108"/>
      <c r="H186" s="108"/>
      <c r="I186" s="108"/>
      <c r="J186" s="108"/>
      <c r="K186" s="108"/>
      <c r="L186" s="108"/>
      <c r="M186" s="871"/>
      <c r="N186" s="108"/>
      <c r="O186" s="108"/>
      <c r="P186" s="108"/>
      <c r="Q186" s="871"/>
      <c r="R186" s="108"/>
      <c r="T186" s="884" t="s">
        <v>1335</v>
      </c>
      <c r="U186" s="884"/>
      <c r="V186" s="884"/>
      <c r="W186" s="108"/>
    </row>
    <row r="187" spans="1:27">
      <c r="A187" s="108"/>
      <c r="B187" s="109" t="s">
        <v>1666</v>
      </c>
      <c r="C187" s="108"/>
      <c r="D187" s="108"/>
      <c r="E187" s="108"/>
      <c r="F187" s="108"/>
      <c r="G187" s="108"/>
      <c r="H187" s="108"/>
      <c r="I187" s="108"/>
      <c r="J187" s="108"/>
      <c r="K187" s="108"/>
      <c r="L187" s="108"/>
      <c r="M187" s="871"/>
      <c r="N187" s="108"/>
      <c r="O187" s="108"/>
      <c r="P187" s="108"/>
      <c r="Q187" s="871"/>
      <c r="R187" s="108"/>
      <c r="T187" s="884" t="s">
        <v>1667</v>
      </c>
      <c r="U187" s="884"/>
      <c r="V187" s="884"/>
      <c r="W187" s="108"/>
    </row>
    <row r="188" spans="1:27">
      <c r="A188" s="108"/>
      <c r="B188" s="108"/>
      <c r="C188" s="108"/>
      <c r="D188" s="108"/>
      <c r="E188" s="108"/>
      <c r="F188" s="108"/>
      <c r="G188" s="108"/>
      <c r="H188" s="108"/>
      <c r="I188" s="108"/>
      <c r="J188" s="108"/>
      <c r="K188" s="108"/>
      <c r="L188" s="108"/>
      <c r="M188" s="871"/>
      <c r="N188" s="108"/>
      <c r="O188" s="108"/>
      <c r="P188" s="108"/>
      <c r="Q188" s="871"/>
      <c r="R188" s="108"/>
      <c r="T188" s="884" t="s">
        <v>1668</v>
      </c>
      <c r="U188" s="884"/>
      <c r="V188" s="884"/>
      <c r="W188" s="108"/>
    </row>
    <row r="189" spans="1:27">
      <c r="A189" s="108"/>
      <c r="B189" s="108"/>
      <c r="C189" s="108"/>
      <c r="D189" s="108"/>
      <c r="E189" s="108"/>
      <c r="F189" s="108"/>
      <c r="G189" s="108"/>
      <c r="H189" s="108"/>
      <c r="I189" s="108"/>
      <c r="J189" s="108"/>
      <c r="K189" s="108"/>
      <c r="L189" s="108"/>
      <c r="M189" s="871"/>
      <c r="N189" s="108"/>
      <c r="O189" s="108"/>
      <c r="P189" s="108"/>
      <c r="Q189" s="871"/>
      <c r="R189" s="108"/>
      <c r="T189" s="884"/>
      <c r="U189" s="884"/>
      <c r="V189" s="883"/>
    </row>
    <row r="190" spans="1:27">
      <c r="A190" s="108"/>
      <c r="B190" s="108"/>
      <c r="C190" s="108"/>
      <c r="D190" s="108"/>
      <c r="E190" s="108"/>
      <c r="F190" s="108"/>
      <c r="G190" s="108"/>
      <c r="H190" s="108"/>
      <c r="I190" s="108"/>
      <c r="J190" s="108"/>
      <c r="K190" s="108"/>
      <c r="L190" s="108"/>
      <c r="M190" s="871"/>
      <c r="N190" s="108"/>
      <c r="O190" s="108"/>
      <c r="P190" s="108"/>
      <c r="Q190" s="871"/>
      <c r="R190" s="108"/>
      <c r="T190" s="884"/>
      <c r="U190" s="884"/>
      <c r="V190" s="883"/>
    </row>
    <row r="191" spans="1:27">
      <c r="A191" s="108"/>
      <c r="B191" s="108"/>
      <c r="C191" s="108"/>
      <c r="D191" s="108"/>
      <c r="E191" s="108"/>
      <c r="F191" s="108"/>
      <c r="G191" s="108"/>
      <c r="H191" s="108"/>
      <c r="I191" s="108"/>
      <c r="J191" s="108"/>
      <c r="K191" s="108"/>
      <c r="L191" s="108"/>
      <c r="M191" s="871"/>
      <c r="N191" s="108"/>
      <c r="O191" s="108"/>
      <c r="P191" s="108"/>
      <c r="Q191" s="871"/>
      <c r="R191" s="108"/>
      <c r="T191" s="884"/>
      <c r="U191" s="884"/>
      <c r="V191" s="883"/>
    </row>
    <row r="192" spans="1:27">
      <c r="A192" s="108"/>
      <c r="B192" s="108"/>
      <c r="C192" s="108"/>
      <c r="D192" s="108"/>
      <c r="E192" s="108"/>
      <c r="F192" s="108"/>
      <c r="G192" s="108"/>
      <c r="H192" s="108"/>
      <c r="I192" s="108"/>
      <c r="J192" s="108"/>
      <c r="K192" s="108"/>
      <c r="L192" s="108"/>
      <c r="M192" s="871"/>
      <c r="N192" s="108"/>
      <c r="O192" s="108"/>
      <c r="P192" s="108"/>
      <c r="Q192" s="871"/>
      <c r="R192" s="108"/>
      <c r="T192" s="884"/>
      <c r="U192" s="884"/>
      <c r="V192" s="883"/>
    </row>
    <row r="193" spans="1:23">
      <c r="A193" s="108"/>
      <c r="B193" s="108"/>
      <c r="C193" s="108"/>
      <c r="D193" s="108"/>
      <c r="E193" s="108"/>
      <c r="F193" s="108"/>
      <c r="G193" s="108"/>
      <c r="H193" s="108"/>
      <c r="I193" s="108"/>
      <c r="J193" s="108"/>
      <c r="K193" s="108"/>
      <c r="L193" s="108"/>
      <c r="M193" s="871"/>
      <c r="N193" s="108"/>
      <c r="O193" s="108"/>
      <c r="P193" s="108"/>
      <c r="Q193" s="871"/>
      <c r="R193" s="108"/>
      <c r="T193" s="884"/>
      <c r="U193" s="884"/>
      <c r="V193" s="883"/>
    </row>
    <row r="194" spans="1:23">
      <c r="A194" s="108"/>
      <c r="B194" s="108"/>
      <c r="C194" s="108"/>
      <c r="D194" s="108"/>
      <c r="E194" s="108"/>
      <c r="F194" s="108"/>
      <c r="G194" s="108"/>
      <c r="H194" s="108"/>
      <c r="I194" s="108"/>
      <c r="J194" s="108"/>
      <c r="K194" s="108"/>
      <c r="L194" s="108"/>
      <c r="M194" s="871"/>
      <c r="N194" s="108"/>
      <c r="O194" s="108"/>
      <c r="P194" s="108"/>
      <c r="Q194" s="871"/>
      <c r="R194" s="108"/>
      <c r="T194" s="888" t="s">
        <v>1214</v>
      </c>
      <c r="U194" s="888"/>
      <c r="V194" s="888"/>
      <c r="W194" s="882"/>
    </row>
    <row r="195" spans="1:23">
      <c r="A195" s="108"/>
      <c r="B195" s="108"/>
      <c r="C195" s="108"/>
      <c r="D195" s="108"/>
      <c r="E195" s="108"/>
      <c r="F195" s="108"/>
      <c r="G195" s="108"/>
      <c r="H195" s="108"/>
      <c r="I195" s="108"/>
      <c r="J195" s="108"/>
      <c r="K195" s="108"/>
      <c r="L195" s="108"/>
      <c r="M195" s="871"/>
      <c r="N195" s="108"/>
      <c r="O195" s="108"/>
      <c r="P195" s="108"/>
      <c r="Q195" s="871"/>
      <c r="R195" s="108"/>
      <c r="T195" s="884" t="s">
        <v>1669</v>
      </c>
      <c r="U195" s="884"/>
      <c r="V195" s="884"/>
      <c r="W195" s="108"/>
    </row>
    <row r="196" spans="1:23">
      <c r="A196" s="108"/>
      <c r="B196" s="108"/>
      <c r="C196" s="108"/>
      <c r="D196" s="108"/>
      <c r="E196" s="108"/>
      <c r="F196" s="108"/>
      <c r="G196" s="108"/>
      <c r="H196" s="108"/>
      <c r="I196" s="108"/>
      <c r="J196" s="108"/>
      <c r="K196" s="108"/>
      <c r="L196" s="108"/>
      <c r="M196" s="871"/>
      <c r="N196" s="108"/>
      <c r="O196" s="108"/>
      <c r="P196" s="108"/>
      <c r="Q196" s="871"/>
      <c r="R196" s="108"/>
      <c r="S196" s="108"/>
      <c r="T196" s="884"/>
      <c r="U196" s="884"/>
      <c r="V196" s="883"/>
    </row>
    <row r="197" spans="1:23">
      <c r="A197" s="108"/>
      <c r="B197" s="108"/>
      <c r="C197" s="108"/>
      <c r="D197" s="108"/>
      <c r="E197" s="108"/>
      <c r="F197" s="108"/>
      <c r="G197" s="108"/>
      <c r="H197" s="108"/>
      <c r="I197" s="108"/>
      <c r="J197" s="108"/>
      <c r="K197" s="108"/>
      <c r="L197" s="108"/>
      <c r="M197" s="871"/>
      <c r="N197" s="108"/>
      <c r="O197" s="108"/>
      <c r="P197" s="108"/>
      <c r="Q197" s="871"/>
      <c r="R197" s="108"/>
      <c r="S197" s="108"/>
      <c r="T197" s="884"/>
      <c r="U197" s="884"/>
      <c r="V197" s="883"/>
    </row>
    <row r="198" spans="1:23">
      <c r="A198" s="108"/>
      <c r="B198" s="108"/>
      <c r="C198" s="108"/>
      <c r="D198" s="108"/>
      <c r="E198" s="108"/>
      <c r="F198" s="108"/>
      <c r="G198" s="108"/>
      <c r="H198" s="108"/>
      <c r="I198" s="108"/>
      <c r="J198" s="108"/>
      <c r="K198" s="108"/>
      <c r="L198" s="108"/>
      <c r="M198" s="871"/>
      <c r="N198" s="108"/>
      <c r="O198" s="108"/>
      <c r="P198" s="108"/>
      <c r="Q198" s="871"/>
      <c r="R198" s="108"/>
      <c r="S198" s="108"/>
      <c r="T198" s="108"/>
      <c r="U198" s="108"/>
    </row>
    <row r="199" spans="1:23">
      <c r="A199" s="108"/>
      <c r="B199" s="108"/>
      <c r="C199" s="108"/>
      <c r="D199" s="108"/>
      <c r="E199" s="108"/>
      <c r="F199" s="108"/>
      <c r="G199" s="108"/>
      <c r="H199" s="108"/>
      <c r="I199" s="108"/>
      <c r="J199" s="108"/>
      <c r="K199" s="108"/>
      <c r="L199" s="108"/>
      <c r="M199" s="871"/>
      <c r="N199" s="108"/>
      <c r="O199" s="108"/>
      <c r="P199" s="108"/>
      <c r="Q199" s="871"/>
      <c r="R199" s="108"/>
      <c r="S199" s="108"/>
      <c r="T199" s="108"/>
      <c r="U199" s="108"/>
    </row>
    <row r="200" spans="1:23">
      <c r="A200" s="108"/>
      <c r="B200" s="108"/>
      <c r="C200" s="108"/>
      <c r="D200" s="108"/>
      <c r="E200" s="108"/>
      <c r="F200" s="108"/>
      <c r="G200" s="108"/>
      <c r="H200" s="108"/>
      <c r="I200" s="108"/>
      <c r="J200" s="108"/>
      <c r="K200" s="108"/>
      <c r="L200" s="108"/>
      <c r="M200" s="871"/>
      <c r="N200" s="108"/>
      <c r="O200" s="108"/>
      <c r="P200" s="108"/>
      <c r="Q200" s="871"/>
      <c r="R200" s="108"/>
      <c r="S200" s="108"/>
      <c r="T200" s="108"/>
      <c r="U200" s="108"/>
    </row>
    <row r="201" spans="1:23">
      <c r="A201" s="108"/>
      <c r="B201" s="108"/>
      <c r="C201" s="108"/>
      <c r="D201" s="108"/>
      <c r="E201" s="108"/>
      <c r="F201" s="108"/>
      <c r="G201" s="108"/>
      <c r="H201" s="108"/>
      <c r="I201" s="108"/>
      <c r="J201" s="108"/>
      <c r="K201" s="108"/>
      <c r="L201" s="108"/>
      <c r="M201" s="871"/>
      <c r="N201" s="108"/>
      <c r="O201" s="108"/>
      <c r="P201" s="108"/>
      <c r="Q201" s="871"/>
      <c r="R201" s="108"/>
      <c r="S201" s="108"/>
      <c r="T201" s="108"/>
      <c r="U201" s="108"/>
    </row>
    <row r="202" spans="1:23">
      <c r="A202" s="108"/>
      <c r="B202" s="108"/>
      <c r="C202" s="108"/>
      <c r="D202" s="108"/>
      <c r="E202" s="108"/>
      <c r="F202" s="108"/>
      <c r="G202" s="108"/>
      <c r="H202" s="108"/>
      <c r="I202" s="108"/>
      <c r="J202" s="108"/>
      <c r="K202" s="108"/>
      <c r="L202" s="108"/>
      <c r="M202" s="871"/>
      <c r="N202" s="108"/>
      <c r="O202" s="108"/>
      <c r="P202" s="108"/>
      <c r="Q202" s="871"/>
      <c r="R202" s="108"/>
      <c r="S202" s="108"/>
      <c r="T202" s="108"/>
      <c r="U202" s="108"/>
    </row>
    <row r="203" spans="1:23">
      <c r="A203" s="108"/>
      <c r="B203" s="108"/>
      <c r="C203" s="108"/>
      <c r="D203" s="108"/>
      <c r="E203" s="108"/>
      <c r="F203" s="108"/>
      <c r="G203" s="108"/>
      <c r="H203" s="108"/>
      <c r="I203" s="108"/>
      <c r="J203" s="108"/>
      <c r="K203" s="108"/>
      <c r="L203" s="108"/>
      <c r="M203" s="871"/>
      <c r="N203" s="108"/>
      <c r="O203" s="108"/>
      <c r="P203" s="108"/>
      <c r="Q203" s="871"/>
      <c r="R203" s="108"/>
      <c r="S203" s="108"/>
      <c r="T203" s="108"/>
      <c r="U203" s="108"/>
    </row>
    <row r="204" spans="1:23">
      <c r="A204" s="108"/>
      <c r="B204" s="108"/>
      <c r="C204" s="108"/>
      <c r="D204" s="108"/>
      <c r="E204" s="108"/>
      <c r="F204" s="108"/>
      <c r="G204" s="108"/>
      <c r="H204" s="108"/>
      <c r="I204" s="108"/>
      <c r="J204" s="108"/>
      <c r="K204" s="108"/>
      <c r="L204" s="108"/>
      <c r="M204" s="871"/>
      <c r="N204" s="108"/>
      <c r="O204" s="108"/>
      <c r="P204" s="108"/>
      <c r="Q204" s="871"/>
      <c r="R204" s="108"/>
      <c r="S204" s="108"/>
      <c r="T204" s="108"/>
      <c r="U204" s="108"/>
    </row>
    <row r="205" spans="1:23">
      <c r="A205" s="108"/>
      <c r="B205" s="108"/>
      <c r="C205" s="108"/>
      <c r="D205" s="108"/>
      <c r="E205" s="108"/>
      <c r="F205" s="108"/>
      <c r="G205" s="108"/>
      <c r="H205" s="108"/>
      <c r="I205" s="108"/>
      <c r="J205" s="108"/>
      <c r="K205" s="108"/>
      <c r="L205" s="108"/>
      <c r="M205" s="871"/>
      <c r="N205" s="108"/>
      <c r="O205" s="108"/>
      <c r="P205" s="108"/>
      <c r="Q205" s="871"/>
      <c r="R205" s="108"/>
      <c r="S205" s="108"/>
      <c r="T205" s="108"/>
      <c r="U205" s="108"/>
    </row>
    <row r="206" spans="1:23">
      <c r="A206" s="108"/>
      <c r="B206" s="108"/>
      <c r="C206" s="108"/>
      <c r="D206" s="108"/>
      <c r="E206" s="108"/>
      <c r="F206" s="108"/>
      <c r="G206" s="108"/>
      <c r="H206" s="108"/>
      <c r="I206" s="108"/>
      <c r="J206" s="108"/>
      <c r="K206" s="108"/>
      <c r="L206" s="108"/>
      <c r="M206" s="871"/>
      <c r="N206" s="108"/>
      <c r="O206" s="108"/>
      <c r="P206" s="108"/>
      <c r="Q206" s="871"/>
      <c r="R206" s="108"/>
      <c r="S206" s="108"/>
      <c r="T206" s="108"/>
      <c r="U206" s="108"/>
    </row>
    <row r="207" spans="1:23">
      <c r="A207" s="108"/>
      <c r="B207" s="108"/>
      <c r="C207" s="108"/>
      <c r="D207" s="108"/>
      <c r="E207" s="108"/>
      <c r="F207" s="108"/>
      <c r="G207" s="108"/>
      <c r="H207" s="108"/>
      <c r="I207" s="108"/>
      <c r="J207" s="108"/>
      <c r="K207" s="108"/>
      <c r="L207" s="108"/>
      <c r="M207" s="871"/>
      <c r="N207" s="108"/>
      <c r="O207" s="108"/>
      <c r="P207" s="108"/>
      <c r="Q207" s="871"/>
      <c r="R207" s="108"/>
      <c r="S207" s="108"/>
      <c r="T207" s="108"/>
      <c r="U207" s="108"/>
    </row>
    <row r="208" spans="1:23">
      <c r="A208" s="108"/>
      <c r="B208" s="108"/>
      <c r="C208" s="108"/>
      <c r="D208" s="108"/>
      <c r="E208" s="108"/>
      <c r="F208" s="108"/>
      <c r="G208" s="108"/>
      <c r="H208" s="108"/>
      <c r="I208" s="108"/>
      <c r="J208" s="108"/>
      <c r="K208" s="108"/>
      <c r="L208" s="108"/>
      <c r="M208" s="871"/>
      <c r="N208" s="108"/>
      <c r="O208" s="108"/>
      <c r="P208" s="108"/>
      <c r="Q208" s="871"/>
      <c r="R208" s="108"/>
      <c r="S208" s="108"/>
      <c r="T208" s="108"/>
      <c r="U208" s="108"/>
    </row>
    <row r="209" spans="1:21">
      <c r="A209" s="108"/>
      <c r="B209" s="108"/>
      <c r="C209" s="108"/>
      <c r="D209" s="108"/>
      <c r="E209" s="108"/>
      <c r="F209" s="108"/>
      <c r="G209" s="108"/>
      <c r="H209" s="108"/>
      <c r="I209" s="108"/>
      <c r="J209" s="108"/>
      <c r="K209" s="108"/>
      <c r="L209" s="108"/>
      <c r="M209" s="871"/>
      <c r="N209" s="108"/>
      <c r="O209" s="108"/>
      <c r="P209" s="108"/>
      <c r="Q209" s="871"/>
      <c r="R209" s="108"/>
      <c r="S209" s="108"/>
      <c r="T209" s="108"/>
      <c r="U209" s="108"/>
    </row>
    <row r="210" spans="1:21">
      <c r="A210" s="108"/>
      <c r="B210" s="108"/>
      <c r="C210" s="108"/>
      <c r="D210" s="108"/>
      <c r="E210" s="108"/>
      <c r="F210" s="108"/>
      <c r="G210" s="108"/>
      <c r="H210" s="108"/>
      <c r="I210" s="108"/>
      <c r="J210" s="108"/>
      <c r="K210" s="108"/>
      <c r="L210" s="108"/>
      <c r="M210" s="871"/>
      <c r="N210" s="108"/>
      <c r="O210" s="108"/>
      <c r="P210" s="108"/>
      <c r="Q210" s="871"/>
      <c r="R210" s="108"/>
      <c r="S210" s="108"/>
      <c r="T210" s="108"/>
      <c r="U210" s="108"/>
    </row>
    <row r="211" spans="1:21">
      <c r="A211" s="108"/>
      <c r="B211" s="108"/>
      <c r="C211" s="108"/>
      <c r="D211" s="108"/>
      <c r="E211" s="108"/>
      <c r="F211" s="108"/>
      <c r="G211" s="108"/>
      <c r="H211" s="108"/>
      <c r="I211" s="108"/>
      <c r="J211" s="108"/>
      <c r="K211" s="108"/>
      <c r="L211" s="108"/>
      <c r="M211" s="871"/>
      <c r="N211" s="108"/>
      <c r="O211" s="108"/>
      <c r="P211" s="108"/>
      <c r="Q211" s="871"/>
      <c r="R211" s="108"/>
      <c r="S211" s="108"/>
      <c r="T211" s="108"/>
      <c r="U211" s="108"/>
    </row>
    <row r="212" spans="1:21">
      <c r="A212" s="108"/>
      <c r="B212" s="108"/>
      <c r="C212" s="108"/>
      <c r="D212" s="108"/>
      <c r="E212" s="108"/>
      <c r="F212" s="108"/>
      <c r="G212" s="108"/>
      <c r="H212" s="108"/>
      <c r="I212" s="108"/>
      <c r="J212" s="108"/>
      <c r="K212" s="108"/>
      <c r="L212" s="108"/>
      <c r="M212" s="871"/>
      <c r="N212" s="108"/>
      <c r="O212" s="108"/>
      <c r="P212" s="108"/>
      <c r="Q212" s="871"/>
      <c r="R212" s="108"/>
      <c r="S212" s="108"/>
      <c r="T212" s="108"/>
      <c r="U212" s="108"/>
    </row>
    <row r="213" spans="1:21">
      <c r="A213" s="108"/>
      <c r="B213" s="108"/>
      <c r="C213" s="108"/>
      <c r="D213" s="108"/>
      <c r="E213" s="108"/>
      <c r="F213" s="108"/>
      <c r="G213" s="108"/>
      <c r="H213" s="108"/>
      <c r="I213" s="108"/>
      <c r="J213" s="108"/>
      <c r="K213" s="108"/>
      <c r="L213" s="108"/>
      <c r="M213" s="871"/>
      <c r="N213" s="108"/>
      <c r="O213" s="108"/>
      <c r="P213" s="108"/>
      <c r="Q213" s="871"/>
      <c r="R213" s="108"/>
      <c r="S213" s="108"/>
      <c r="T213" s="108"/>
      <c r="U213" s="108"/>
    </row>
    <row r="214" spans="1:21">
      <c r="A214" s="108"/>
      <c r="B214" s="108"/>
      <c r="C214" s="108"/>
      <c r="D214" s="108"/>
      <c r="E214" s="108"/>
      <c r="F214" s="108"/>
      <c r="G214" s="108"/>
      <c r="H214" s="108"/>
      <c r="I214" s="108"/>
      <c r="J214" s="108"/>
      <c r="K214" s="108"/>
      <c r="L214" s="108"/>
      <c r="M214" s="871"/>
      <c r="N214" s="108"/>
      <c r="O214" s="108"/>
      <c r="P214" s="108"/>
      <c r="Q214" s="871"/>
      <c r="R214" s="108"/>
      <c r="S214" s="108"/>
      <c r="T214" s="108"/>
      <c r="U214" s="108"/>
    </row>
    <row r="215" spans="1:21">
      <c r="A215" s="108"/>
      <c r="B215" s="108"/>
      <c r="C215" s="108"/>
      <c r="D215" s="108"/>
      <c r="E215" s="108"/>
      <c r="F215" s="108"/>
      <c r="G215" s="108"/>
      <c r="H215" s="108"/>
      <c r="I215" s="108"/>
      <c r="J215" s="108"/>
      <c r="K215" s="108"/>
      <c r="L215" s="108"/>
      <c r="M215" s="871"/>
      <c r="N215" s="108"/>
      <c r="O215" s="108"/>
      <c r="P215" s="108"/>
      <c r="Q215" s="871"/>
      <c r="R215" s="108"/>
      <c r="S215" s="108"/>
      <c r="T215" s="108"/>
      <c r="U215" s="108"/>
    </row>
    <row r="216" spans="1:21">
      <c r="A216" s="108"/>
      <c r="B216" s="108"/>
      <c r="C216" s="108"/>
      <c r="D216" s="108"/>
      <c r="E216" s="108"/>
      <c r="F216" s="108"/>
      <c r="G216" s="108"/>
      <c r="H216" s="108"/>
      <c r="I216" s="108"/>
      <c r="J216" s="108"/>
      <c r="K216" s="108"/>
      <c r="L216" s="108"/>
      <c r="M216" s="871"/>
      <c r="N216" s="108"/>
      <c r="O216" s="108"/>
      <c r="P216" s="108"/>
      <c r="Q216" s="871"/>
      <c r="R216" s="108"/>
      <c r="S216" s="108"/>
      <c r="T216" s="108"/>
      <c r="U216" s="108"/>
    </row>
    <row r="217" spans="1:21">
      <c r="A217" s="108"/>
      <c r="B217" s="108"/>
      <c r="C217" s="108"/>
      <c r="D217" s="108"/>
      <c r="E217" s="108"/>
      <c r="F217" s="108"/>
      <c r="G217" s="108"/>
      <c r="H217" s="108"/>
      <c r="I217" s="108"/>
      <c r="J217" s="108"/>
      <c r="K217" s="108"/>
      <c r="L217" s="108"/>
      <c r="M217" s="871"/>
      <c r="N217" s="108"/>
      <c r="O217" s="108"/>
      <c r="P217" s="108"/>
      <c r="Q217" s="871"/>
      <c r="R217" s="108"/>
      <c r="S217" s="108"/>
      <c r="T217" s="108"/>
      <c r="U217" s="108"/>
    </row>
    <row r="218" spans="1:21">
      <c r="A218" s="108"/>
      <c r="B218" s="108"/>
      <c r="C218" s="108"/>
      <c r="D218" s="108"/>
      <c r="E218" s="108"/>
      <c r="F218" s="108"/>
      <c r="G218" s="108"/>
      <c r="H218" s="108"/>
      <c r="I218" s="108"/>
      <c r="J218" s="108"/>
      <c r="K218" s="108"/>
      <c r="L218" s="108"/>
      <c r="M218" s="871"/>
      <c r="N218" s="108"/>
      <c r="O218" s="108"/>
      <c r="P218" s="108"/>
      <c r="Q218" s="871"/>
      <c r="R218" s="108"/>
      <c r="S218" s="108"/>
      <c r="T218" s="108"/>
      <c r="U218" s="108"/>
    </row>
    <row r="219" spans="1:21">
      <c r="A219" s="108"/>
      <c r="B219" s="108"/>
      <c r="C219" s="108"/>
      <c r="D219" s="108"/>
      <c r="E219" s="108"/>
      <c r="F219" s="108"/>
      <c r="G219" s="108"/>
      <c r="H219" s="108"/>
      <c r="I219" s="108"/>
      <c r="J219" s="108"/>
      <c r="K219" s="108"/>
      <c r="L219" s="108"/>
      <c r="M219" s="871"/>
      <c r="N219" s="108"/>
      <c r="O219" s="108"/>
      <c r="P219" s="108"/>
      <c r="Q219" s="871"/>
      <c r="R219" s="108"/>
      <c r="S219" s="108"/>
      <c r="T219" s="108"/>
      <c r="U219" s="108"/>
    </row>
    <row r="220" spans="1:21">
      <c r="A220" s="108"/>
      <c r="B220" s="108"/>
      <c r="C220" s="108"/>
      <c r="D220" s="108"/>
      <c r="E220" s="108"/>
      <c r="F220" s="108"/>
      <c r="G220" s="108"/>
      <c r="H220" s="108"/>
      <c r="I220" s="108"/>
      <c r="J220" s="108"/>
      <c r="K220" s="108"/>
      <c r="L220" s="108"/>
      <c r="M220" s="871"/>
      <c r="N220" s="108"/>
      <c r="O220" s="108"/>
      <c r="P220" s="108"/>
      <c r="Q220" s="871"/>
      <c r="R220" s="108"/>
      <c r="S220" s="108"/>
      <c r="T220" s="108"/>
      <c r="U220" s="108"/>
    </row>
    <row r="221" spans="1:21">
      <c r="M221" s="871"/>
      <c r="N221" s="108"/>
      <c r="O221" s="108"/>
      <c r="P221" s="108"/>
    </row>
  </sheetData>
  <mergeCells count="332">
    <mergeCell ref="A142:U142"/>
    <mergeCell ref="H22:H29"/>
    <mergeCell ref="I22:I29"/>
    <mergeCell ref="J22:J29"/>
    <mergeCell ref="H54:H61"/>
    <mergeCell ref="I54:I61"/>
    <mergeCell ref="J54:J61"/>
    <mergeCell ref="H62:H69"/>
    <mergeCell ref="I62:I69"/>
    <mergeCell ref="J62:J69"/>
    <mergeCell ref="H70:H77"/>
    <mergeCell ref="I70:I77"/>
    <mergeCell ref="J70:J77"/>
    <mergeCell ref="H78:H85"/>
    <mergeCell ref="I78:I85"/>
    <mergeCell ref="J78:J85"/>
    <mergeCell ref="H102:H109"/>
    <mergeCell ref="I102:I109"/>
    <mergeCell ref="J102:J109"/>
    <mergeCell ref="H118:H125"/>
    <mergeCell ref="I118:I125"/>
    <mergeCell ref="J118:J125"/>
    <mergeCell ref="H126:H133"/>
    <mergeCell ref="I126:I133"/>
    <mergeCell ref="AH14:AH21"/>
    <mergeCell ref="AI14:AI21"/>
    <mergeCell ref="AJ14:AJ21"/>
    <mergeCell ref="AK14:AK21"/>
    <mergeCell ref="AL14:AL21"/>
    <mergeCell ref="AM14:AM21"/>
    <mergeCell ref="Y14:Y21"/>
    <mergeCell ref="Z14:Z21"/>
    <mergeCell ref="AA14:AA21"/>
    <mergeCell ref="AB14:AB21"/>
    <mergeCell ref="AC14:AC21"/>
    <mergeCell ref="AD14:AD21"/>
    <mergeCell ref="AE14:AE21"/>
    <mergeCell ref="AF14:AF21"/>
    <mergeCell ref="AG14:AG21"/>
    <mergeCell ref="AE3:AG3"/>
    <mergeCell ref="AE4:AE5"/>
    <mergeCell ref="AF4:AF5"/>
    <mergeCell ref="AG4:AG5"/>
    <mergeCell ref="AH3:AJ3"/>
    <mergeCell ref="AH4:AH5"/>
    <mergeCell ref="AI4:AI5"/>
    <mergeCell ref="AJ4:AJ5"/>
    <mergeCell ref="AK3:AM3"/>
    <mergeCell ref="AK4:AK5"/>
    <mergeCell ref="AL4:AL5"/>
    <mergeCell ref="AM4:AM5"/>
    <mergeCell ref="Z3:Z5"/>
    <mergeCell ref="AA3:AA5"/>
    <mergeCell ref="AB3:AD3"/>
    <mergeCell ref="AB4:AB5"/>
    <mergeCell ref="AC4:AC5"/>
    <mergeCell ref="AD4:AD5"/>
    <mergeCell ref="H38:H45"/>
    <mergeCell ref="J38:J45"/>
    <mergeCell ref="K38:K45"/>
    <mergeCell ref="L38:L45"/>
    <mergeCell ref="I3:I5"/>
    <mergeCell ref="I6:I13"/>
    <mergeCell ref="I38:I45"/>
    <mergeCell ref="H30:H37"/>
    <mergeCell ref="I30:I37"/>
    <mergeCell ref="J30:J37"/>
    <mergeCell ref="K30:K37"/>
    <mergeCell ref="L30:L37"/>
    <mergeCell ref="H14:H21"/>
    <mergeCell ref="I14:I21"/>
    <mergeCell ref="J14:J21"/>
    <mergeCell ref="K14:K21"/>
    <mergeCell ref="L14:L21"/>
    <mergeCell ref="K6:K13"/>
    <mergeCell ref="W3:Y3"/>
    <mergeCell ref="X4:X5"/>
    <mergeCell ref="Y4:Y5"/>
    <mergeCell ref="Q46:Q53"/>
    <mergeCell ref="T38:T45"/>
    <mergeCell ref="U38:U45"/>
    <mergeCell ref="U46:U53"/>
    <mergeCell ref="R46:R53"/>
    <mergeCell ref="S46:S53"/>
    <mergeCell ref="T46:T53"/>
    <mergeCell ref="Q38:Q45"/>
    <mergeCell ref="S38:S45"/>
    <mergeCell ref="Q14:Q21"/>
    <mergeCell ref="R38:R45"/>
    <mergeCell ref="U30:U37"/>
    <mergeCell ref="U6:U13"/>
    <mergeCell ref="T6:T13"/>
    <mergeCell ref="R22:R29"/>
    <mergeCell ref="S22:S29"/>
    <mergeCell ref="T22:T29"/>
    <mergeCell ref="R14:R21"/>
    <mergeCell ref="V14:V21"/>
    <mergeCell ref="W14:W21"/>
    <mergeCell ref="X14:X21"/>
    <mergeCell ref="A1:V1"/>
    <mergeCell ref="A3:A5"/>
    <mergeCell ref="B3:D3"/>
    <mergeCell ref="E3:G3"/>
    <mergeCell ref="M3:U3"/>
    <mergeCell ref="B4:B5"/>
    <mergeCell ref="C4:C5"/>
    <mergeCell ref="D4:D5"/>
    <mergeCell ref="E4:E5"/>
    <mergeCell ref="F4:F5"/>
    <mergeCell ref="G4:G5"/>
    <mergeCell ref="M4:P4"/>
    <mergeCell ref="Q4:T4"/>
    <mergeCell ref="U4:U5"/>
    <mergeCell ref="H3:H5"/>
    <mergeCell ref="J3:J5"/>
    <mergeCell ref="L3:L5"/>
    <mergeCell ref="V3:V5"/>
    <mergeCell ref="R6:R13"/>
    <mergeCell ref="S6:S13"/>
    <mergeCell ref="H6:H13"/>
    <mergeCell ref="J6:J13"/>
    <mergeCell ref="K3:K5"/>
    <mergeCell ref="B14:B21"/>
    <mergeCell ref="C14:C21"/>
    <mergeCell ref="D14:D21"/>
    <mergeCell ref="E14:E21"/>
    <mergeCell ref="F14:F21"/>
    <mergeCell ref="G14:G21"/>
    <mergeCell ref="L6:L13"/>
    <mergeCell ref="F6:F13"/>
    <mergeCell ref="G6:G13"/>
    <mergeCell ref="Q6:Q13"/>
    <mergeCell ref="S14:S21"/>
    <mergeCell ref="G46:G53"/>
    <mergeCell ref="A38:A45"/>
    <mergeCell ref="B38:B45"/>
    <mergeCell ref="C38:C45"/>
    <mergeCell ref="D38:D45"/>
    <mergeCell ref="E38:E45"/>
    <mergeCell ref="F38:F45"/>
    <mergeCell ref="G38:G45"/>
    <mergeCell ref="F30:F37"/>
    <mergeCell ref="G30:G37"/>
    <mergeCell ref="A46:A53"/>
    <mergeCell ref="B46:B53"/>
    <mergeCell ref="C46:C53"/>
    <mergeCell ref="D46:D53"/>
    <mergeCell ref="E46:E53"/>
    <mergeCell ref="F46:F53"/>
    <mergeCell ref="A30:A37"/>
    <mergeCell ref="B30:B37"/>
    <mergeCell ref="C30:C37"/>
    <mergeCell ref="D30:D37"/>
    <mergeCell ref="E30:E37"/>
    <mergeCell ref="A6:A13"/>
    <mergeCell ref="B6:B13"/>
    <mergeCell ref="C6:C13"/>
    <mergeCell ref="D6:D13"/>
    <mergeCell ref="E6:E13"/>
    <mergeCell ref="A22:A29"/>
    <mergeCell ref="B22:B29"/>
    <mergeCell ref="C22:C29"/>
    <mergeCell ref="D22:D29"/>
    <mergeCell ref="E22:E29"/>
    <mergeCell ref="A14:A21"/>
    <mergeCell ref="T14:T21"/>
    <mergeCell ref="U14:U21"/>
    <mergeCell ref="U22:U29"/>
    <mergeCell ref="R30:R37"/>
    <mergeCell ref="S30:S37"/>
    <mergeCell ref="T30:T37"/>
    <mergeCell ref="F22:F29"/>
    <mergeCell ref="G22:G29"/>
    <mergeCell ref="Q22:Q29"/>
    <mergeCell ref="Q30:Q37"/>
    <mergeCell ref="L22:L29"/>
    <mergeCell ref="K22:K29"/>
    <mergeCell ref="A54:A61"/>
    <mergeCell ref="B54:B61"/>
    <mergeCell ref="C54:C61"/>
    <mergeCell ref="D54:D61"/>
    <mergeCell ref="E54:E61"/>
    <mergeCell ref="F54:F61"/>
    <mergeCell ref="G54:G61"/>
    <mergeCell ref="Q54:Q61"/>
    <mergeCell ref="S62:S69"/>
    <mergeCell ref="R54:R61"/>
    <mergeCell ref="S54:S61"/>
    <mergeCell ref="A62:A69"/>
    <mergeCell ref="B62:B69"/>
    <mergeCell ref="G62:G69"/>
    <mergeCell ref="Q62:Q69"/>
    <mergeCell ref="C62:C69"/>
    <mergeCell ref="D62:D69"/>
    <mergeCell ref="E62:E69"/>
    <mergeCell ref="F62:F69"/>
    <mergeCell ref="L54:L61"/>
    <mergeCell ref="K54:K61"/>
    <mergeCell ref="F78:F85"/>
    <mergeCell ref="G78:G85"/>
    <mergeCell ref="Q78:Q85"/>
    <mergeCell ref="R70:R77"/>
    <mergeCell ref="A78:A85"/>
    <mergeCell ref="B78:B85"/>
    <mergeCell ref="C78:C85"/>
    <mergeCell ref="D78:D85"/>
    <mergeCell ref="E78:E85"/>
    <mergeCell ref="G70:G77"/>
    <mergeCell ref="Q70:Q77"/>
    <mergeCell ref="A70:A77"/>
    <mergeCell ref="B70:B77"/>
    <mergeCell ref="C70:C77"/>
    <mergeCell ref="D70:D77"/>
    <mergeCell ref="E70:E77"/>
    <mergeCell ref="F70:F77"/>
    <mergeCell ref="K70:K77"/>
    <mergeCell ref="L70:L77"/>
    <mergeCell ref="K78:K85"/>
    <mergeCell ref="L78:L85"/>
    <mergeCell ref="S70:S77"/>
    <mergeCell ref="T70:T77"/>
    <mergeCell ref="U70:U77"/>
    <mergeCell ref="A102:A109"/>
    <mergeCell ref="B102:B109"/>
    <mergeCell ref="C102:C109"/>
    <mergeCell ref="D102:D109"/>
    <mergeCell ref="E102:E109"/>
    <mergeCell ref="U102:U109"/>
    <mergeCell ref="R102:R109"/>
    <mergeCell ref="S102:S109"/>
    <mergeCell ref="T102:T109"/>
    <mergeCell ref="A86:A93"/>
    <mergeCell ref="B86:B93"/>
    <mergeCell ref="C86:C93"/>
    <mergeCell ref="D86:D93"/>
    <mergeCell ref="E86:E93"/>
    <mergeCell ref="F86:F93"/>
    <mergeCell ref="G86:G93"/>
    <mergeCell ref="Q86:Q93"/>
    <mergeCell ref="A94:A101"/>
    <mergeCell ref="B94:B101"/>
    <mergeCell ref="C94:C101"/>
    <mergeCell ref="D94:D101"/>
    <mergeCell ref="E94:E101"/>
    <mergeCell ref="Q94:Q101"/>
    <mergeCell ref="F102:F109"/>
    <mergeCell ref="G102:G109"/>
    <mergeCell ref="Q102:Q109"/>
    <mergeCell ref="R86:R93"/>
    <mergeCell ref="S86:S93"/>
    <mergeCell ref="T86:T93"/>
    <mergeCell ref="U86:U93"/>
    <mergeCell ref="F94:F101"/>
    <mergeCell ref="G94:G101"/>
    <mergeCell ref="R94:R101"/>
    <mergeCell ref="S94:S101"/>
    <mergeCell ref="T94:T101"/>
    <mergeCell ref="U94:U101"/>
    <mergeCell ref="F118:F125"/>
    <mergeCell ref="G118:G125"/>
    <mergeCell ref="Q118:Q125"/>
    <mergeCell ref="R110:R117"/>
    <mergeCell ref="S110:S117"/>
    <mergeCell ref="T110:T117"/>
    <mergeCell ref="U110:U117"/>
    <mergeCell ref="A118:A125"/>
    <mergeCell ref="B118:B125"/>
    <mergeCell ref="C118:C125"/>
    <mergeCell ref="D118:D125"/>
    <mergeCell ref="E118:E125"/>
    <mergeCell ref="U118:U125"/>
    <mergeCell ref="R118:R125"/>
    <mergeCell ref="S118:S125"/>
    <mergeCell ref="T118:T125"/>
    <mergeCell ref="A110:A117"/>
    <mergeCell ref="B110:B117"/>
    <mergeCell ref="C110:C117"/>
    <mergeCell ref="D110:D117"/>
    <mergeCell ref="E110:E117"/>
    <mergeCell ref="F110:F117"/>
    <mergeCell ref="G110:G117"/>
    <mergeCell ref="Q110:Q117"/>
    <mergeCell ref="F126:F133"/>
    <mergeCell ref="G126:G133"/>
    <mergeCell ref="Q126:Q133"/>
    <mergeCell ref="U134:U141"/>
    <mergeCell ref="F134:F141"/>
    <mergeCell ref="G134:G141"/>
    <mergeCell ref="Q134:Q141"/>
    <mergeCell ref="R134:R141"/>
    <mergeCell ref="S134:S141"/>
    <mergeCell ref="T134:T141"/>
    <mergeCell ref="J126:J133"/>
    <mergeCell ref="H134:H141"/>
    <mergeCell ref="I134:I141"/>
    <mergeCell ref="J134:J141"/>
    <mergeCell ref="K126:K133"/>
    <mergeCell ref="L126:L133"/>
    <mergeCell ref="A134:A141"/>
    <mergeCell ref="B134:B141"/>
    <mergeCell ref="C134:C141"/>
    <mergeCell ref="D134:D141"/>
    <mergeCell ref="E134:E141"/>
    <mergeCell ref="A126:A133"/>
    <mergeCell ref="B126:B133"/>
    <mergeCell ref="C126:C133"/>
    <mergeCell ref="D126:D133"/>
    <mergeCell ref="E126:E133"/>
    <mergeCell ref="W4:W5"/>
    <mergeCell ref="H46:H53"/>
    <mergeCell ref="I46:I53"/>
    <mergeCell ref="J46:J53"/>
    <mergeCell ref="K46:K53"/>
    <mergeCell ref="L46:L53"/>
    <mergeCell ref="R126:R133"/>
    <mergeCell ref="S126:S133"/>
    <mergeCell ref="T126:T133"/>
    <mergeCell ref="U126:U133"/>
    <mergeCell ref="H110:H117"/>
    <mergeCell ref="I110:I117"/>
    <mergeCell ref="J110:J117"/>
    <mergeCell ref="K110:K117"/>
    <mergeCell ref="L110:L117"/>
    <mergeCell ref="U78:U85"/>
    <mergeCell ref="R78:R85"/>
    <mergeCell ref="S78:S85"/>
    <mergeCell ref="T78:T85"/>
    <mergeCell ref="U62:U69"/>
    <mergeCell ref="R62:R69"/>
    <mergeCell ref="T62:T69"/>
    <mergeCell ref="T54:T61"/>
    <mergeCell ref="U54:U6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B24B3-C77C-405D-AA09-8F35CF31D7B8}">
  <dimension ref="A1:M456"/>
  <sheetViews>
    <sheetView topLeftCell="A52" workbookViewId="0">
      <selection activeCell="D15" sqref="D15"/>
    </sheetView>
  </sheetViews>
  <sheetFormatPr defaultRowHeight="15"/>
  <cols>
    <col min="1" max="1" width="5.140625" style="7" customWidth="1"/>
    <col min="2" max="2" width="28.28515625" customWidth="1"/>
    <col min="3" max="3" width="29" customWidth="1"/>
    <col min="4" max="4" width="18.42578125" customWidth="1"/>
    <col min="5" max="5" width="20.42578125" customWidth="1"/>
    <col min="6" max="6" width="19" customWidth="1"/>
    <col min="7" max="7" width="13" style="16" customWidth="1"/>
    <col min="8" max="8" width="13.140625" customWidth="1"/>
    <col min="9" max="9" width="17.85546875" customWidth="1"/>
    <col min="10" max="10" width="25.42578125" customWidth="1"/>
    <col min="12" max="12" width="24" customWidth="1"/>
    <col min="13" max="13" width="21" customWidth="1"/>
  </cols>
  <sheetData>
    <row r="1" spans="1:13" ht="18.75">
      <c r="A1" s="1586" t="s">
        <v>1670</v>
      </c>
      <c r="B1" s="1586"/>
      <c r="C1" s="1586"/>
      <c r="D1" s="1586"/>
      <c r="E1" s="1586"/>
      <c r="F1" s="1586"/>
      <c r="G1" s="1586"/>
      <c r="H1" s="1586"/>
      <c r="I1" s="1586"/>
      <c r="J1" s="1586"/>
    </row>
    <row r="3" spans="1:13" ht="28.5" customHeight="1">
      <c r="A3" s="39" t="s">
        <v>61</v>
      </c>
      <c r="B3" s="39" t="s">
        <v>1671</v>
      </c>
      <c r="C3" s="39" t="s">
        <v>1672</v>
      </c>
      <c r="D3" s="40" t="s">
        <v>1673</v>
      </c>
      <c r="E3" s="39" t="s">
        <v>1674</v>
      </c>
      <c r="F3" s="39" t="s">
        <v>1675</v>
      </c>
      <c r="G3" s="39" t="s">
        <v>1676</v>
      </c>
      <c r="H3" s="39" t="s">
        <v>1677</v>
      </c>
      <c r="I3" s="39" t="s">
        <v>1678</v>
      </c>
      <c r="J3" s="41" t="s">
        <v>1679</v>
      </c>
      <c r="L3" s="37" t="s">
        <v>1680</v>
      </c>
      <c r="M3" s="25" t="s">
        <v>1681</v>
      </c>
    </row>
    <row r="4" spans="1:13" ht="46.5">
      <c r="A4" s="30">
        <v>1</v>
      </c>
      <c r="B4" s="31" t="s">
        <v>1214</v>
      </c>
      <c r="C4" s="32"/>
      <c r="D4" s="33"/>
      <c r="E4" s="33"/>
      <c r="F4" s="33"/>
      <c r="G4" s="34"/>
      <c r="H4" s="34">
        <f>SUM(G4:G11)</f>
        <v>0</v>
      </c>
      <c r="I4" s="35" t="str">
        <f>IF(H4&gt;=20,"Memenuhi","Tidak Memenuhi")</f>
        <v>Tidak Memenuhi</v>
      </c>
      <c r="J4" s="36"/>
      <c r="L4" s="37" t="s">
        <v>411</v>
      </c>
      <c r="M4" s="14">
        <f>COUNTIF(I4:I456,"Tidak Memenuhi")</f>
        <v>55</v>
      </c>
    </row>
    <row r="5" spans="1:13" ht="46.5">
      <c r="A5" s="18"/>
      <c r="B5" s="20"/>
      <c r="C5" s="22"/>
      <c r="D5" s="23"/>
      <c r="E5" s="23"/>
      <c r="F5" s="23"/>
      <c r="G5" s="24"/>
      <c r="H5" s="24"/>
      <c r="I5" s="22"/>
      <c r="J5" s="25"/>
      <c r="L5" s="38" t="s">
        <v>415</v>
      </c>
      <c r="M5" s="14">
        <f>COUNTIF(I4:I455,"Memenuhi")</f>
        <v>1</v>
      </c>
    </row>
    <row r="6" spans="1:13">
      <c r="A6" s="18"/>
      <c r="B6" s="20"/>
      <c r="C6" s="22"/>
      <c r="D6" s="23"/>
      <c r="E6" s="23"/>
      <c r="F6" s="23"/>
      <c r="G6" s="24"/>
      <c r="H6" s="24"/>
      <c r="I6" s="22"/>
      <c r="J6" s="25"/>
    </row>
    <row r="7" spans="1:13">
      <c r="A7" s="18"/>
      <c r="B7" s="20"/>
      <c r="C7" s="22"/>
      <c r="D7" s="23"/>
      <c r="E7" s="23"/>
      <c r="F7" s="23"/>
      <c r="G7" s="24"/>
      <c r="H7" s="24"/>
      <c r="I7" s="22"/>
      <c r="J7" s="25"/>
    </row>
    <row r="8" spans="1:13">
      <c r="A8" s="18"/>
      <c r="B8" s="20"/>
      <c r="C8" s="22"/>
      <c r="D8" s="23"/>
      <c r="E8" s="23"/>
      <c r="F8" s="23"/>
      <c r="G8" s="24"/>
      <c r="H8" s="24"/>
      <c r="I8" s="22"/>
      <c r="J8" s="25"/>
    </row>
    <row r="9" spans="1:13">
      <c r="A9" s="18"/>
      <c r="B9" s="20"/>
      <c r="C9" s="22"/>
      <c r="D9" s="23"/>
      <c r="E9" s="23"/>
      <c r="F9" s="23"/>
      <c r="G9" s="24"/>
      <c r="H9" s="24"/>
      <c r="I9" s="22"/>
      <c r="J9" s="25"/>
    </row>
    <row r="10" spans="1:13">
      <c r="A10" s="18"/>
      <c r="B10" s="20"/>
      <c r="C10" s="22"/>
      <c r="D10" s="23"/>
      <c r="E10" s="23"/>
      <c r="F10" s="23"/>
      <c r="G10" s="24"/>
      <c r="H10" s="24"/>
      <c r="I10" s="22"/>
      <c r="J10" s="25"/>
    </row>
    <row r="11" spans="1:13">
      <c r="A11" s="19"/>
      <c r="B11" s="21"/>
      <c r="C11" s="22"/>
      <c r="D11" s="23"/>
      <c r="E11" s="23"/>
      <c r="F11" s="23"/>
      <c r="G11" s="24"/>
      <c r="H11" s="24"/>
      <c r="I11" s="22"/>
      <c r="J11" s="25"/>
    </row>
    <row r="12" spans="1:13" ht="60.75">
      <c r="A12" s="30">
        <v>2</v>
      </c>
      <c r="B12" s="31" t="s">
        <v>168</v>
      </c>
      <c r="C12" s="32" t="s">
        <v>1682</v>
      </c>
      <c r="D12" s="33" t="s">
        <v>1683</v>
      </c>
      <c r="E12" s="33" t="s">
        <v>1684</v>
      </c>
      <c r="F12" s="33" t="s">
        <v>1685</v>
      </c>
      <c r="G12" s="34">
        <v>2</v>
      </c>
      <c r="H12" s="34">
        <f>SUM(G12:G19)</f>
        <v>41</v>
      </c>
      <c r="I12" s="35" t="str">
        <f>IF(H12&gt;=20,"Memenuhi","Tidak Memenuhi")</f>
        <v>Memenuhi</v>
      </c>
      <c r="J12" s="36" t="s">
        <v>1686</v>
      </c>
    </row>
    <row r="13" spans="1:13" ht="106.5">
      <c r="A13" s="18"/>
      <c r="B13" s="26"/>
      <c r="C13" s="28" t="s">
        <v>1687</v>
      </c>
      <c r="D13" s="29">
        <v>46052</v>
      </c>
      <c r="E13" s="23" t="s">
        <v>1688</v>
      </c>
      <c r="F13" s="23" t="s">
        <v>1689</v>
      </c>
      <c r="G13" s="24">
        <v>2</v>
      </c>
      <c r="H13" s="24"/>
      <c r="I13" s="22"/>
      <c r="J13" s="353" t="s">
        <v>1690</v>
      </c>
    </row>
    <row r="14" spans="1:13" ht="76.5">
      <c r="A14" s="18"/>
      <c r="B14" s="26"/>
      <c r="C14" s="22" t="s">
        <v>1691</v>
      </c>
      <c r="D14" s="29">
        <v>46092</v>
      </c>
      <c r="E14" s="23" t="s">
        <v>400</v>
      </c>
      <c r="F14" s="23" t="s">
        <v>1692</v>
      </c>
      <c r="G14" s="24">
        <v>2</v>
      </c>
      <c r="H14" s="24"/>
      <c r="I14" s="352"/>
      <c r="J14" s="351" t="s">
        <v>1693</v>
      </c>
    </row>
    <row r="15" spans="1:13" ht="106.5">
      <c r="A15" s="18"/>
      <c r="B15" s="26"/>
      <c r="C15" s="22" t="s">
        <v>1694</v>
      </c>
      <c r="D15" s="349" t="s">
        <v>1695</v>
      </c>
      <c r="E15" s="23" t="s">
        <v>1696</v>
      </c>
      <c r="F15" s="23" t="s">
        <v>1697</v>
      </c>
      <c r="G15" s="24">
        <v>16</v>
      </c>
      <c r="H15" s="24"/>
      <c r="I15" s="352"/>
      <c r="J15" s="350" t="s">
        <v>1698</v>
      </c>
    </row>
    <row r="16" spans="1:13" ht="30.75">
      <c r="A16" s="18"/>
      <c r="B16" s="26"/>
      <c r="C16" s="355" t="s">
        <v>1699</v>
      </c>
      <c r="D16" s="349" t="s">
        <v>1700</v>
      </c>
      <c r="E16" s="23" t="s">
        <v>1701</v>
      </c>
      <c r="F16" s="23" t="s">
        <v>1702</v>
      </c>
      <c r="G16" s="24">
        <v>6</v>
      </c>
      <c r="H16" s="24"/>
      <c r="I16" s="22"/>
      <c r="J16" s="354"/>
    </row>
    <row r="17" spans="1:10" ht="30.75">
      <c r="A17" s="18"/>
      <c r="B17" s="26"/>
      <c r="C17" s="355" t="s">
        <v>1703</v>
      </c>
      <c r="D17" s="349" t="s">
        <v>1704</v>
      </c>
      <c r="E17" s="23" t="s">
        <v>1705</v>
      </c>
      <c r="F17" s="23" t="s">
        <v>1706</v>
      </c>
      <c r="G17" s="24">
        <v>13</v>
      </c>
      <c r="H17" s="24"/>
      <c r="I17" s="22"/>
      <c r="J17" s="25"/>
    </row>
    <row r="18" spans="1:10">
      <c r="A18" s="18"/>
      <c r="B18" s="26"/>
      <c r="C18" s="22"/>
      <c r="D18" s="23"/>
      <c r="E18" s="23"/>
      <c r="F18" s="23"/>
      <c r="G18" s="24"/>
      <c r="H18" s="24"/>
      <c r="I18" s="22"/>
      <c r="J18" s="25"/>
    </row>
    <row r="19" spans="1:10">
      <c r="A19" s="19"/>
      <c r="B19" s="27"/>
      <c r="C19" s="22"/>
      <c r="D19" s="23"/>
      <c r="E19" s="23"/>
      <c r="F19" s="23"/>
      <c r="G19" s="24"/>
      <c r="H19" s="24"/>
      <c r="I19" s="22"/>
      <c r="J19" s="25"/>
    </row>
    <row r="20" spans="1:10" ht="24">
      <c r="A20" s="30">
        <v>3</v>
      </c>
      <c r="B20" s="31" t="s">
        <v>115</v>
      </c>
      <c r="C20" s="32"/>
      <c r="D20" s="33"/>
      <c r="E20" s="33"/>
      <c r="F20" s="33"/>
      <c r="G20" s="34"/>
      <c r="H20" s="34">
        <f>SUM(G20:G27)</f>
        <v>0</v>
      </c>
      <c r="I20" s="35" t="str">
        <f>IF(H20&gt;=20,"Memenuhi","Tidak Memenuhi")</f>
        <v>Tidak Memenuhi</v>
      </c>
      <c r="J20" s="36"/>
    </row>
    <row r="21" spans="1:10" ht="23.25" customHeight="1">
      <c r="A21" s="18"/>
      <c r="B21" s="26"/>
      <c r="C21" s="22"/>
      <c r="D21" s="23"/>
      <c r="E21" s="23"/>
      <c r="F21" s="23"/>
      <c r="G21" s="24"/>
      <c r="H21" s="24"/>
      <c r="I21" s="22"/>
      <c r="J21" s="25"/>
    </row>
    <row r="22" spans="1:10" ht="23.25" customHeight="1">
      <c r="A22" s="18"/>
      <c r="B22" s="26"/>
      <c r="C22" s="22"/>
      <c r="D22" s="23"/>
      <c r="E22" s="23"/>
      <c r="F22" s="23"/>
      <c r="G22" s="24"/>
      <c r="H22" s="24"/>
      <c r="I22" s="22"/>
      <c r="J22" s="25"/>
    </row>
    <row r="23" spans="1:10" ht="23.25" customHeight="1">
      <c r="A23" s="18"/>
      <c r="B23" s="26"/>
      <c r="C23" s="22"/>
      <c r="D23" s="23"/>
      <c r="E23" s="23"/>
      <c r="F23" s="23"/>
      <c r="G23" s="24"/>
      <c r="H23" s="24"/>
      <c r="I23" s="22"/>
      <c r="J23" s="25"/>
    </row>
    <row r="24" spans="1:10" ht="23.25" customHeight="1">
      <c r="A24" s="18"/>
      <c r="B24" s="26"/>
      <c r="C24" s="22"/>
      <c r="D24" s="23"/>
      <c r="E24" s="23"/>
      <c r="F24" s="23"/>
      <c r="G24" s="24"/>
      <c r="H24" s="24"/>
      <c r="I24" s="22"/>
      <c r="J24" s="25"/>
    </row>
    <row r="25" spans="1:10" ht="23.25" customHeight="1">
      <c r="A25" s="18"/>
      <c r="B25" s="26"/>
      <c r="C25" s="22"/>
      <c r="D25" s="23"/>
      <c r="E25" s="23"/>
      <c r="F25" s="23"/>
      <c r="G25" s="24"/>
      <c r="H25" s="24"/>
      <c r="I25" s="22"/>
      <c r="J25" s="25"/>
    </row>
    <row r="26" spans="1:10" ht="23.25" customHeight="1">
      <c r="A26" s="18"/>
      <c r="B26" s="26"/>
      <c r="C26" s="22"/>
      <c r="D26" s="23"/>
      <c r="E26" s="23"/>
      <c r="F26" s="23"/>
      <c r="G26" s="24"/>
      <c r="H26" s="24"/>
      <c r="I26" s="22"/>
      <c r="J26" s="25"/>
    </row>
    <row r="27" spans="1:10" ht="23.25" customHeight="1">
      <c r="A27" s="19"/>
      <c r="B27" s="27"/>
      <c r="C27" s="22"/>
      <c r="D27" s="23"/>
      <c r="E27" s="23"/>
      <c r="F27" s="23"/>
      <c r="G27" s="24"/>
      <c r="H27" s="24"/>
      <c r="I27" s="22"/>
      <c r="J27" s="25"/>
    </row>
    <row r="28" spans="1:10">
      <c r="A28" s="30">
        <v>4</v>
      </c>
      <c r="B28" s="31" t="s">
        <v>123</v>
      </c>
      <c r="C28" s="32"/>
      <c r="D28" s="33"/>
      <c r="E28" s="33"/>
      <c r="F28" s="33"/>
      <c r="G28" s="34"/>
      <c r="H28" s="34">
        <f>SUM(G28:G35)</f>
        <v>0</v>
      </c>
      <c r="I28" s="35" t="str">
        <f>IF(H28&gt;=20,"Memenuhi","Tidak Memenuhi")</f>
        <v>Tidak Memenuhi</v>
      </c>
      <c r="J28" s="36"/>
    </row>
    <row r="29" spans="1:10">
      <c r="A29" s="18"/>
      <c r="B29" s="26"/>
      <c r="C29" s="22"/>
      <c r="D29" s="23"/>
      <c r="E29" s="23"/>
      <c r="F29" s="23"/>
      <c r="G29" s="24"/>
      <c r="H29" s="24"/>
      <c r="I29" s="22"/>
      <c r="J29" s="25"/>
    </row>
    <row r="30" spans="1:10">
      <c r="A30" s="18"/>
      <c r="B30" s="26"/>
      <c r="C30" s="22"/>
      <c r="D30" s="23"/>
      <c r="E30" s="23"/>
      <c r="F30" s="23"/>
      <c r="G30" s="24"/>
      <c r="H30" s="24"/>
      <c r="I30" s="22"/>
      <c r="J30" s="25"/>
    </row>
    <row r="31" spans="1:10">
      <c r="A31" s="18"/>
      <c r="B31" s="26"/>
      <c r="C31" s="22"/>
      <c r="D31" s="23"/>
      <c r="E31" s="23"/>
      <c r="F31" s="23"/>
      <c r="G31" s="24"/>
      <c r="H31" s="24"/>
      <c r="I31" s="22"/>
      <c r="J31" s="25"/>
    </row>
    <row r="32" spans="1:10">
      <c r="A32" s="18"/>
      <c r="B32" s="26"/>
      <c r="C32" s="22"/>
      <c r="D32" s="23"/>
      <c r="E32" s="23"/>
      <c r="F32" s="23"/>
      <c r="G32" s="24"/>
      <c r="H32" s="24"/>
      <c r="I32" s="22"/>
      <c r="J32" s="25"/>
    </row>
    <row r="33" spans="1:10">
      <c r="A33" s="18"/>
      <c r="B33" s="26"/>
      <c r="C33" s="22"/>
      <c r="D33" s="23"/>
      <c r="E33" s="23"/>
      <c r="F33" s="23"/>
      <c r="G33" s="24"/>
      <c r="H33" s="24"/>
      <c r="I33" s="22"/>
      <c r="J33" s="25"/>
    </row>
    <row r="34" spans="1:10">
      <c r="A34" s="18"/>
      <c r="B34" s="26"/>
      <c r="C34" s="22"/>
      <c r="D34" s="23"/>
      <c r="E34" s="23"/>
      <c r="F34" s="23"/>
      <c r="G34" s="24"/>
      <c r="H34" s="24"/>
      <c r="I34" s="22"/>
      <c r="J34" s="25"/>
    </row>
    <row r="35" spans="1:10">
      <c r="A35" s="19"/>
      <c r="B35" s="27"/>
      <c r="C35" s="22"/>
      <c r="D35" s="23"/>
      <c r="E35" s="23"/>
      <c r="F35" s="23"/>
      <c r="G35" s="24"/>
      <c r="H35" s="24"/>
      <c r="I35" s="22"/>
      <c r="J35" s="25"/>
    </row>
    <row r="36" spans="1:10">
      <c r="A36" s="30">
        <v>5</v>
      </c>
      <c r="B36" s="31" t="s">
        <v>128</v>
      </c>
      <c r="C36" s="32"/>
      <c r="D36" s="33"/>
      <c r="E36" s="33"/>
      <c r="F36" s="33"/>
      <c r="G36" s="34"/>
      <c r="H36" s="34">
        <f>SUM(G36:G43)</f>
        <v>0</v>
      </c>
      <c r="I36" s="35" t="str">
        <f>IF(H36&gt;=20,"Memenuhi","Tidak Memenuhi")</f>
        <v>Tidak Memenuhi</v>
      </c>
      <c r="J36" s="36"/>
    </row>
    <row r="37" spans="1:10">
      <c r="A37" s="18"/>
      <c r="B37" s="26"/>
      <c r="C37" s="22"/>
      <c r="D37" s="23"/>
      <c r="E37" s="23"/>
      <c r="F37" s="23"/>
      <c r="G37" s="24"/>
      <c r="H37" s="24"/>
      <c r="I37" s="22"/>
      <c r="J37" s="25"/>
    </row>
    <row r="38" spans="1:10">
      <c r="A38" s="18"/>
      <c r="B38" s="26"/>
      <c r="C38" s="22"/>
      <c r="D38" s="23"/>
      <c r="E38" s="23"/>
      <c r="F38" s="23"/>
      <c r="G38" s="24"/>
      <c r="H38" s="24"/>
      <c r="I38" s="22"/>
      <c r="J38" s="25"/>
    </row>
    <row r="39" spans="1:10">
      <c r="A39" s="18"/>
      <c r="B39" s="26"/>
      <c r="C39" s="22"/>
      <c r="D39" s="23"/>
      <c r="E39" s="23"/>
      <c r="F39" s="23"/>
      <c r="G39" s="24"/>
      <c r="H39" s="24"/>
      <c r="I39" s="22"/>
      <c r="J39" s="25"/>
    </row>
    <row r="40" spans="1:10">
      <c r="A40" s="18"/>
      <c r="B40" s="26"/>
      <c r="C40" s="22"/>
      <c r="D40" s="23"/>
      <c r="E40" s="23"/>
      <c r="F40" s="23"/>
      <c r="G40" s="24"/>
      <c r="H40" s="24"/>
      <c r="I40" s="22"/>
      <c r="J40" s="25"/>
    </row>
    <row r="41" spans="1:10">
      <c r="A41" s="18"/>
      <c r="B41" s="26"/>
      <c r="C41" s="22"/>
      <c r="D41" s="23"/>
      <c r="E41" s="23"/>
      <c r="F41" s="23"/>
      <c r="G41" s="24"/>
      <c r="H41" s="24"/>
      <c r="I41" s="22"/>
      <c r="J41" s="25"/>
    </row>
    <row r="42" spans="1:10">
      <c r="A42" s="18"/>
      <c r="B42" s="26"/>
      <c r="C42" s="22"/>
      <c r="D42" s="23"/>
      <c r="E42" s="23"/>
      <c r="F42" s="23"/>
      <c r="G42" s="24"/>
      <c r="H42" s="24"/>
      <c r="I42" s="22"/>
      <c r="J42" s="25"/>
    </row>
    <row r="43" spans="1:10">
      <c r="A43" s="19"/>
      <c r="B43" s="27"/>
      <c r="C43" s="22"/>
      <c r="D43" s="23"/>
      <c r="E43" s="23"/>
      <c r="F43" s="23"/>
      <c r="G43" s="24"/>
      <c r="H43" s="24"/>
      <c r="I43" s="22"/>
      <c r="J43" s="25"/>
    </row>
    <row r="44" spans="1:10" ht="24">
      <c r="A44" s="30">
        <v>6</v>
      </c>
      <c r="B44" s="31" t="s">
        <v>136</v>
      </c>
      <c r="C44" s="32"/>
      <c r="D44" s="33"/>
      <c r="E44" s="33"/>
      <c r="F44" s="33"/>
      <c r="G44" s="34"/>
      <c r="H44" s="34">
        <f>SUM(G44:G51)</f>
        <v>0</v>
      </c>
      <c r="I44" s="35" t="str">
        <f>IF(H44&gt;=20,"Memenuhi","Tidak Memenuhi")</f>
        <v>Tidak Memenuhi</v>
      </c>
      <c r="J44" s="36"/>
    </row>
    <row r="45" spans="1:10">
      <c r="A45" s="18"/>
      <c r="B45" s="26"/>
      <c r="C45" s="22"/>
      <c r="D45" s="23"/>
      <c r="E45" s="23"/>
      <c r="F45" s="23"/>
      <c r="G45" s="24"/>
      <c r="H45" s="24"/>
      <c r="I45" s="22"/>
      <c r="J45" s="25"/>
    </row>
    <row r="46" spans="1:10">
      <c r="A46" s="18"/>
      <c r="B46" s="26"/>
      <c r="C46" s="22"/>
      <c r="D46" s="23"/>
      <c r="E46" s="23"/>
      <c r="F46" s="23"/>
      <c r="G46" s="24"/>
      <c r="H46" s="24"/>
      <c r="I46" s="22"/>
      <c r="J46" s="25"/>
    </row>
    <row r="47" spans="1:10">
      <c r="A47" s="18"/>
      <c r="B47" s="26"/>
      <c r="C47" s="22"/>
      <c r="D47" s="23"/>
      <c r="E47" s="23"/>
      <c r="F47" s="23"/>
      <c r="G47" s="24"/>
      <c r="H47" s="24"/>
      <c r="I47" s="22"/>
      <c r="J47" s="25"/>
    </row>
    <row r="48" spans="1:10">
      <c r="A48" s="18"/>
      <c r="B48" s="26"/>
      <c r="C48" s="22"/>
      <c r="D48" s="23"/>
      <c r="E48" s="23"/>
      <c r="F48" s="23"/>
      <c r="G48" s="24"/>
      <c r="H48" s="24"/>
      <c r="I48" s="22"/>
      <c r="J48" s="25"/>
    </row>
    <row r="49" spans="1:10">
      <c r="A49" s="18"/>
      <c r="B49" s="26"/>
      <c r="C49" s="22"/>
      <c r="D49" s="23"/>
      <c r="E49" s="23"/>
      <c r="F49" s="23"/>
      <c r="G49" s="24"/>
      <c r="H49" s="24"/>
      <c r="I49" s="22"/>
      <c r="J49" s="25"/>
    </row>
    <row r="50" spans="1:10">
      <c r="A50" s="18"/>
      <c r="B50" s="26"/>
      <c r="C50" s="22"/>
      <c r="D50" s="23"/>
      <c r="E50" s="23"/>
      <c r="F50" s="23"/>
      <c r="G50" s="24"/>
      <c r="H50" s="24"/>
      <c r="I50" s="22"/>
      <c r="J50" s="25"/>
    </row>
    <row r="51" spans="1:10">
      <c r="A51" s="19"/>
      <c r="B51" s="27"/>
      <c r="C51" s="22"/>
      <c r="D51" s="23"/>
      <c r="E51" s="23"/>
      <c r="F51" s="23"/>
      <c r="G51" s="24"/>
      <c r="H51" s="24"/>
      <c r="I51" s="22"/>
      <c r="J51" s="25"/>
    </row>
    <row r="52" spans="1:10" ht="24">
      <c r="A52" s="30">
        <v>7</v>
      </c>
      <c r="B52" s="31" t="s">
        <v>143</v>
      </c>
      <c r="C52" s="32"/>
      <c r="D52" s="33"/>
      <c r="E52" s="33"/>
      <c r="F52" s="33"/>
      <c r="G52" s="34"/>
      <c r="H52" s="34">
        <f>SUM(G52:G59)</f>
        <v>0</v>
      </c>
      <c r="I52" s="35" t="str">
        <f>IF(H52&gt;=20,"Memenuhi","Tidak Memenuhi")</f>
        <v>Tidak Memenuhi</v>
      </c>
      <c r="J52" s="36"/>
    </row>
    <row r="53" spans="1:10">
      <c r="A53" s="18"/>
      <c r="B53" s="26"/>
      <c r="C53" s="22"/>
      <c r="D53" s="23"/>
      <c r="E53" s="23"/>
      <c r="F53" s="23"/>
      <c r="G53" s="24"/>
      <c r="H53" s="24"/>
      <c r="I53" s="22"/>
      <c r="J53" s="25"/>
    </row>
    <row r="54" spans="1:10">
      <c r="A54" s="18"/>
      <c r="B54" s="26"/>
      <c r="C54" s="22"/>
      <c r="D54" s="23"/>
      <c r="E54" s="23"/>
      <c r="F54" s="23"/>
      <c r="G54" s="24"/>
      <c r="H54" s="24"/>
      <c r="I54" s="22"/>
      <c r="J54" s="25"/>
    </row>
    <row r="55" spans="1:10">
      <c r="A55" s="18"/>
      <c r="B55" s="26"/>
      <c r="C55" s="22"/>
      <c r="D55" s="23"/>
      <c r="E55" s="23"/>
      <c r="F55" s="23"/>
      <c r="G55" s="24"/>
      <c r="H55" s="24"/>
      <c r="I55" s="22"/>
      <c r="J55" s="25"/>
    </row>
    <row r="56" spans="1:10">
      <c r="A56" s="18"/>
      <c r="B56" s="26"/>
      <c r="C56" s="22"/>
      <c r="D56" s="23"/>
      <c r="E56" s="23"/>
      <c r="F56" s="23"/>
      <c r="G56" s="24"/>
      <c r="H56" s="24"/>
      <c r="I56" s="22"/>
      <c r="J56" s="25"/>
    </row>
    <row r="57" spans="1:10">
      <c r="A57" s="18"/>
      <c r="B57" s="26"/>
      <c r="C57" s="22"/>
      <c r="D57" s="23"/>
      <c r="E57" s="23"/>
      <c r="F57" s="23"/>
      <c r="G57" s="24"/>
      <c r="H57" s="24"/>
      <c r="I57" s="22"/>
      <c r="J57" s="25"/>
    </row>
    <row r="58" spans="1:10">
      <c r="A58" s="18"/>
      <c r="B58" s="26"/>
      <c r="C58" s="22"/>
      <c r="D58" s="23"/>
      <c r="E58" s="23"/>
      <c r="F58" s="23"/>
      <c r="G58" s="24"/>
      <c r="H58" s="24"/>
      <c r="I58" s="22"/>
      <c r="J58" s="25"/>
    </row>
    <row r="59" spans="1:10">
      <c r="A59" s="19"/>
      <c r="B59" s="27"/>
      <c r="C59" s="22"/>
      <c r="D59" s="23"/>
      <c r="E59" s="23"/>
      <c r="F59" s="23"/>
      <c r="G59" s="24"/>
      <c r="H59" s="24"/>
      <c r="I59" s="22"/>
      <c r="J59" s="25"/>
    </row>
    <row r="60" spans="1:10">
      <c r="A60" s="30">
        <v>8</v>
      </c>
      <c r="B60" s="31" t="s">
        <v>149</v>
      </c>
      <c r="C60" s="32"/>
      <c r="D60" s="33"/>
      <c r="E60" s="33"/>
      <c r="F60" s="33"/>
      <c r="G60" s="34"/>
      <c r="H60" s="34">
        <f>SUM(G60:G67)</f>
        <v>0</v>
      </c>
      <c r="I60" s="35" t="str">
        <f>IF(H60&gt;=20,"Memenuhi","Tidak Memenuhi")</f>
        <v>Tidak Memenuhi</v>
      </c>
      <c r="J60" s="36"/>
    </row>
    <row r="61" spans="1:10">
      <c r="A61" s="18"/>
      <c r="B61" s="26"/>
      <c r="C61" s="22"/>
      <c r="D61" s="23"/>
      <c r="E61" s="23"/>
      <c r="F61" s="23"/>
      <c r="G61" s="24"/>
      <c r="H61" s="24"/>
      <c r="I61" s="22"/>
      <c r="J61" s="25"/>
    </row>
    <row r="62" spans="1:10">
      <c r="A62" s="18"/>
      <c r="B62" s="26"/>
      <c r="C62" s="22"/>
      <c r="D62" s="23"/>
      <c r="E62" s="23"/>
      <c r="F62" s="23"/>
      <c r="G62" s="24"/>
      <c r="H62" s="24"/>
      <c r="I62" s="22"/>
      <c r="J62" s="25"/>
    </row>
    <row r="63" spans="1:10">
      <c r="A63" s="18"/>
      <c r="B63" s="26"/>
      <c r="C63" s="22"/>
      <c r="D63" s="23"/>
      <c r="E63" s="23"/>
      <c r="F63" s="23"/>
      <c r="G63" s="24"/>
      <c r="H63" s="24"/>
      <c r="I63" s="22"/>
      <c r="J63" s="25"/>
    </row>
    <row r="64" spans="1:10">
      <c r="A64" s="18"/>
      <c r="B64" s="26"/>
      <c r="C64" s="22"/>
      <c r="D64" s="23"/>
      <c r="E64" s="23"/>
      <c r="F64" s="23"/>
      <c r="G64" s="24"/>
      <c r="H64" s="24"/>
      <c r="I64" s="22"/>
      <c r="J64" s="25"/>
    </row>
    <row r="65" spans="1:10">
      <c r="A65" s="18"/>
      <c r="B65" s="26"/>
      <c r="C65" s="22"/>
      <c r="D65" s="23"/>
      <c r="E65" s="23"/>
      <c r="F65" s="23"/>
      <c r="G65" s="24"/>
      <c r="H65" s="24"/>
      <c r="I65" s="22"/>
      <c r="J65" s="25"/>
    </row>
    <row r="66" spans="1:10">
      <c r="A66" s="18"/>
      <c r="B66" s="26"/>
      <c r="C66" s="22"/>
      <c r="D66" s="23"/>
      <c r="E66" s="23"/>
      <c r="F66" s="23"/>
      <c r="G66" s="24"/>
      <c r="H66" s="24"/>
      <c r="I66" s="22"/>
      <c r="J66" s="25"/>
    </row>
    <row r="67" spans="1:10">
      <c r="A67" s="19"/>
      <c r="B67" s="27"/>
      <c r="C67" s="22"/>
      <c r="D67" s="23"/>
      <c r="E67" s="23"/>
      <c r="F67" s="23"/>
      <c r="G67" s="24"/>
      <c r="H67" s="24"/>
      <c r="I67" s="22"/>
      <c r="J67" s="25"/>
    </row>
    <row r="68" spans="1:10" ht="24">
      <c r="A68" s="30">
        <v>9</v>
      </c>
      <c r="B68" s="31" t="s">
        <v>10</v>
      </c>
      <c r="C68" s="32"/>
      <c r="D68" s="33"/>
      <c r="E68" s="33"/>
      <c r="F68" s="33"/>
      <c r="G68" s="34"/>
      <c r="H68" s="34">
        <f>SUM(G68:G75)</f>
        <v>0</v>
      </c>
      <c r="I68" s="35" t="str">
        <f>IF(H68&gt;=20,"Memenuhi","Tidak Memenuhi")</f>
        <v>Tidak Memenuhi</v>
      </c>
      <c r="J68" s="36"/>
    </row>
    <row r="69" spans="1:10">
      <c r="A69" s="18"/>
      <c r="B69" s="26"/>
      <c r="C69" s="22"/>
      <c r="D69" s="23"/>
      <c r="E69" s="23"/>
      <c r="F69" s="23"/>
      <c r="G69" s="24"/>
      <c r="H69" s="24"/>
      <c r="I69" s="22"/>
      <c r="J69" s="25"/>
    </row>
    <row r="70" spans="1:10">
      <c r="A70" s="18"/>
      <c r="B70" s="26"/>
      <c r="C70" s="22"/>
      <c r="D70" s="23"/>
      <c r="E70" s="23"/>
      <c r="F70" s="23"/>
      <c r="G70" s="24"/>
      <c r="H70" s="24"/>
      <c r="I70" s="22"/>
      <c r="J70" s="25"/>
    </row>
    <row r="71" spans="1:10">
      <c r="A71" s="18"/>
      <c r="B71" s="26"/>
      <c r="C71" s="22"/>
      <c r="D71" s="23"/>
      <c r="E71" s="23"/>
      <c r="F71" s="23"/>
      <c r="G71" s="24"/>
      <c r="H71" s="24"/>
      <c r="I71" s="22"/>
      <c r="J71" s="25"/>
    </row>
    <row r="72" spans="1:10">
      <c r="A72" s="18"/>
      <c r="B72" s="26"/>
      <c r="C72" s="22"/>
      <c r="D72" s="23"/>
      <c r="E72" s="23"/>
      <c r="F72" s="23"/>
      <c r="G72" s="24"/>
      <c r="H72" s="24"/>
      <c r="I72" s="22"/>
      <c r="J72" s="25"/>
    </row>
    <row r="73" spans="1:10">
      <c r="A73" s="18"/>
      <c r="B73" s="26"/>
      <c r="C73" s="22"/>
      <c r="D73" s="23"/>
      <c r="E73" s="23"/>
      <c r="F73" s="23"/>
      <c r="G73" s="24"/>
      <c r="H73" s="24"/>
      <c r="I73" s="22"/>
      <c r="J73" s="25"/>
    </row>
    <row r="74" spans="1:10">
      <c r="A74" s="18"/>
      <c r="B74" s="26"/>
      <c r="C74" s="22"/>
      <c r="D74" s="23"/>
      <c r="E74" s="23"/>
      <c r="F74" s="23"/>
      <c r="G74" s="24"/>
      <c r="H74" s="24"/>
      <c r="I74" s="22"/>
      <c r="J74" s="25"/>
    </row>
    <row r="75" spans="1:10">
      <c r="A75" s="19"/>
      <c r="B75" s="27"/>
      <c r="C75" s="22"/>
      <c r="D75" s="23"/>
      <c r="E75" s="23"/>
      <c r="F75" s="23"/>
      <c r="G75" s="24"/>
      <c r="H75" s="24"/>
      <c r="I75" s="22"/>
      <c r="J75" s="25"/>
    </row>
    <row r="76" spans="1:10">
      <c r="A76" s="30">
        <v>10</v>
      </c>
      <c r="B76" s="31" t="s">
        <v>15</v>
      </c>
      <c r="C76" s="32"/>
      <c r="D76" s="33"/>
      <c r="E76" s="33"/>
      <c r="F76" s="33"/>
      <c r="G76" s="34"/>
      <c r="H76" s="34">
        <f>SUM(G76:G83)</f>
        <v>0</v>
      </c>
      <c r="I76" s="35" t="str">
        <f>IF(H76&gt;=20,"Memenuhi","Tidak Memenuhi")</f>
        <v>Tidak Memenuhi</v>
      </c>
      <c r="J76" s="36"/>
    </row>
    <row r="77" spans="1:10">
      <c r="A77" s="18"/>
      <c r="B77" s="26"/>
      <c r="C77" s="22"/>
      <c r="D77" s="23"/>
      <c r="E77" s="23"/>
      <c r="F77" s="23"/>
      <c r="G77" s="24"/>
      <c r="H77" s="24"/>
      <c r="I77" s="22"/>
      <c r="J77" s="25"/>
    </row>
    <row r="78" spans="1:10">
      <c r="A78" s="18"/>
      <c r="B78" s="26"/>
      <c r="C78" s="22"/>
      <c r="D78" s="23"/>
      <c r="E78" s="23"/>
      <c r="F78" s="23"/>
      <c r="G78" s="24"/>
      <c r="H78" s="24"/>
      <c r="I78" s="22"/>
      <c r="J78" s="25"/>
    </row>
    <row r="79" spans="1:10">
      <c r="A79" s="18"/>
      <c r="B79" s="26"/>
      <c r="C79" s="22"/>
      <c r="D79" s="23"/>
      <c r="E79" s="23"/>
      <c r="F79" s="23"/>
      <c r="G79" s="24"/>
      <c r="H79" s="24"/>
      <c r="I79" s="22"/>
      <c r="J79" s="25"/>
    </row>
    <row r="80" spans="1:10">
      <c r="A80" s="18"/>
      <c r="B80" s="26"/>
      <c r="C80" s="22"/>
      <c r="D80" s="23"/>
      <c r="E80" s="23"/>
      <c r="F80" s="23"/>
      <c r="G80" s="24"/>
      <c r="H80" s="24"/>
      <c r="I80" s="22"/>
      <c r="J80" s="25"/>
    </row>
    <row r="81" spans="1:10">
      <c r="A81" s="18"/>
      <c r="B81" s="26"/>
      <c r="C81" s="22"/>
      <c r="D81" s="23"/>
      <c r="E81" s="23"/>
      <c r="F81" s="23"/>
      <c r="G81" s="24"/>
      <c r="H81" s="24"/>
      <c r="I81" s="22"/>
      <c r="J81" s="25"/>
    </row>
    <row r="82" spans="1:10">
      <c r="A82" s="18"/>
      <c r="B82" s="26"/>
      <c r="C82" s="22"/>
      <c r="D82" s="23"/>
      <c r="E82" s="23"/>
      <c r="F82" s="23"/>
      <c r="G82" s="24"/>
      <c r="H82" s="24"/>
      <c r="I82" s="22"/>
      <c r="J82" s="25"/>
    </row>
    <row r="83" spans="1:10">
      <c r="A83" s="19"/>
      <c r="B83" s="27"/>
      <c r="C83" s="22"/>
      <c r="D83" s="23"/>
      <c r="E83" s="23"/>
      <c r="F83" s="23"/>
      <c r="G83" s="24"/>
      <c r="H83" s="24"/>
      <c r="I83" s="22"/>
      <c r="J83" s="25"/>
    </row>
    <row r="84" spans="1:10">
      <c r="A84" s="30">
        <v>11</v>
      </c>
      <c r="B84" s="31" t="s">
        <v>160</v>
      </c>
      <c r="C84" s="32"/>
      <c r="D84" s="33"/>
      <c r="E84" s="33"/>
      <c r="F84" s="33"/>
      <c r="G84" s="34"/>
      <c r="H84" s="34">
        <f>SUM(G84:G91)</f>
        <v>0</v>
      </c>
      <c r="I84" s="35" t="str">
        <f>IF(H84&gt;=20,"Memenuhi","Tidak Memenuhi")</f>
        <v>Tidak Memenuhi</v>
      </c>
      <c r="J84" s="36"/>
    </row>
    <row r="85" spans="1:10">
      <c r="A85" s="18"/>
      <c r="B85" s="26"/>
      <c r="C85" s="22"/>
      <c r="D85" s="23"/>
      <c r="E85" s="23"/>
      <c r="F85" s="23"/>
      <c r="G85" s="24"/>
      <c r="H85" s="24"/>
      <c r="I85" s="22"/>
      <c r="J85" s="25"/>
    </row>
    <row r="86" spans="1:10">
      <c r="A86" s="18"/>
      <c r="B86" s="26"/>
      <c r="C86" s="22"/>
      <c r="D86" s="23"/>
      <c r="E86" s="23"/>
      <c r="F86" s="23"/>
      <c r="G86" s="24"/>
      <c r="H86" s="24"/>
      <c r="I86" s="22"/>
      <c r="J86" s="25"/>
    </row>
    <row r="87" spans="1:10">
      <c r="A87" s="18"/>
      <c r="B87" s="26"/>
      <c r="C87" s="22"/>
      <c r="D87" s="23"/>
      <c r="E87" s="23"/>
      <c r="F87" s="23"/>
      <c r="G87" s="24"/>
      <c r="H87" s="24"/>
      <c r="I87" s="22"/>
      <c r="J87" s="25"/>
    </row>
    <row r="88" spans="1:10">
      <c r="A88" s="18"/>
      <c r="B88" s="26"/>
      <c r="C88" s="22"/>
      <c r="D88" s="23"/>
      <c r="E88" s="23"/>
      <c r="F88" s="23"/>
      <c r="G88" s="24"/>
      <c r="H88" s="24"/>
      <c r="I88" s="22"/>
      <c r="J88" s="25"/>
    </row>
    <row r="89" spans="1:10">
      <c r="A89" s="18"/>
      <c r="B89" s="26"/>
      <c r="C89" s="22"/>
      <c r="D89" s="23"/>
      <c r="E89" s="23"/>
      <c r="F89" s="23"/>
      <c r="G89" s="24"/>
      <c r="H89" s="24"/>
      <c r="I89" s="22"/>
      <c r="J89" s="25"/>
    </row>
    <row r="90" spans="1:10">
      <c r="A90" s="18"/>
      <c r="B90" s="26"/>
      <c r="C90" s="22"/>
      <c r="D90" s="23"/>
      <c r="E90" s="23"/>
      <c r="F90" s="23"/>
      <c r="G90" s="24"/>
      <c r="H90" s="24"/>
      <c r="I90" s="22"/>
      <c r="J90" s="25"/>
    </row>
    <row r="91" spans="1:10">
      <c r="A91" s="19"/>
      <c r="B91" s="27"/>
      <c r="C91" s="22"/>
      <c r="D91" s="23"/>
      <c r="E91" s="23"/>
      <c r="F91" s="23"/>
      <c r="G91" s="24"/>
      <c r="H91" s="24"/>
      <c r="I91" s="22"/>
      <c r="J91" s="25"/>
    </row>
    <row r="92" spans="1:10" ht="24">
      <c r="A92" s="30">
        <v>12</v>
      </c>
      <c r="B92" s="31" t="s">
        <v>19</v>
      </c>
      <c r="C92" s="32"/>
      <c r="D92" s="33"/>
      <c r="E92" s="33"/>
      <c r="F92" s="33"/>
      <c r="G92" s="34"/>
      <c r="H92" s="34">
        <f>SUM(G92:G99)</f>
        <v>0</v>
      </c>
      <c r="I92" s="35" t="str">
        <f>IF(H92&gt;=20,"Memenuhi","Tidak Memenuhi")</f>
        <v>Tidak Memenuhi</v>
      </c>
      <c r="J92" s="36"/>
    </row>
    <row r="93" spans="1:10">
      <c r="A93" s="18"/>
      <c r="B93" s="26"/>
      <c r="C93" s="22"/>
      <c r="D93" s="23"/>
      <c r="E93" s="23"/>
      <c r="F93" s="23"/>
      <c r="G93" s="24"/>
      <c r="H93" s="24"/>
      <c r="I93" s="22"/>
      <c r="J93" s="25"/>
    </row>
    <row r="94" spans="1:10">
      <c r="A94" s="18"/>
      <c r="B94" s="26"/>
      <c r="C94" s="22"/>
      <c r="D94" s="23"/>
      <c r="E94" s="23"/>
      <c r="F94" s="23"/>
      <c r="G94" s="24"/>
      <c r="H94" s="24"/>
      <c r="I94" s="22"/>
      <c r="J94" s="25"/>
    </row>
    <row r="95" spans="1:10">
      <c r="A95" s="18"/>
      <c r="B95" s="26"/>
      <c r="C95" s="22"/>
      <c r="D95" s="23"/>
      <c r="E95" s="23"/>
      <c r="F95" s="23"/>
      <c r="G95" s="24"/>
      <c r="H95" s="24"/>
      <c r="I95" s="22"/>
      <c r="J95" s="25"/>
    </row>
    <row r="96" spans="1:10">
      <c r="A96" s="18"/>
      <c r="B96" s="26"/>
      <c r="C96" s="22"/>
      <c r="D96" s="23"/>
      <c r="E96" s="23"/>
      <c r="F96" s="23"/>
      <c r="G96" s="24"/>
      <c r="H96" s="24"/>
      <c r="I96" s="22"/>
      <c r="J96" s="25"/>
    </row>
    <row r="97" spans="1:10">
      <c r="A97" s="18"/>
      <c r="B97" s="26"/>
      <c r="C97" s="22"/>
      <c r="D97" s="23"/>
      <c r="E97" s="23"/>
      <c r="F97" s="23"/>
      <c r="G97" s="24"/>
      <c r="H97" s="24"/>
      <c r="I97" s="22"/>
      <c r="J97" s="25"/>
    </row>
    <row r="98" spans="1:10">
      <c r="A98" s="18"/>
      <c r="B98" s="26"/>
      <c r="C98" s="22"/>
      <c r="D98" s="23"/>
      <c r="E98" s="23"/>
      <c r="F98" s="23"/>
      <c r="G98" s="24"/>
      <c r="H98" s="24"/>
      <c r="I98" s="22"/>
      <c r="J98" s="25"/>
    </row>
    <row r="99" spans="1:10">
      <c r="A99" s="19"/>
      <c r="B99" s="27"/>
      <c r="C99" s="22"/>
      <c r="D99" s="23"/>
      <c r="E99" s="23"/>
      <c r="F99" s="23"/>
      <c r="G99" s="24"/>
      <c r="H99" s="24"/>
      <c r="I99" s="22"/>
      <c r="J99" s="25"/>
    </row>
    <row r="100" spans="1:10">
      <c r="A100" s="30">
        <v>13</v>
      </c>
      <c r="B100" s="31" t="s">
        <v>24</v>
      </c>
      <c r="C100" s="32"/>
      <c r="D100" s="33"/>
      <c r="E100" s="33"/>
      <c r="F100" s="33"/>
      <c r="G100" s="34"/>
      <c r="H100" s="34">
        <f>SUM(G100:G107)</f>
        <v>0</v>
      </c>
      <c r="I100" s="35" t="str">
        <f>IF(H100&gt;=20,"Memenuhi","Tidak Memenuhi")</f>
        <v>Tidak Memenuhi</v>
      </c>
      <c r="J100" s="36"/>
    </row>
    <row r="101" spans="1:10">
      <c r="A101" s="18"/>
      <c r="B101" s="26"/>
      <c r="C101" s="22"/>
      <c r="D101" s="23"/>
      <c r="E101" s="23"/>
      <c r="F101" s="23"/>
      <c r="G101" s="24"/>
      <c r="H101" s="24"/>
      <c r="I101" s="22"/>
      <c r="J101" s="25"/>
    </row>
    <row r="102" spans="1:10">
      <c r="A102" s="18"/>
      <c r="B102" s="26"/>
      <c r="C102" s="22"/>
      <c r="D102" s="23"/>
      <c r="E102" s="23"/>
      <c r="F102" s="23"/>
      <c r="G102" s="24"/>
      <c r="H102" s="24"/>
      <c r="I102" s="22"/>
      <c r="J102" s="25"/>
    </row>
    <row r="103" spans="1:10">
      <c r="A103" s="18"/>
      <c r="B103" s="26"/>
      <c r="C103" s="22"/>
      <c r="D103" s="23"/>
      <c r="E103" s="23"/>
      <c r="F103" s="23"/>
      <c r="G103" s="24"/>
      <c r="H103" s="24"/>
      <c r="I103" s="22"/>
      <c r="J103" s="25"/>
    </row>
    <row r="104" spans="1:10">
      <c r="A104" s="18"/>
      <c r="B104" s="26"/>
      <c r="C104" s="22"/>
      <c r="D104" s="23"/>
      <c r="E104" s="23"/>
      <c r="F104" s="23"/>
      <c r="G104" s="24"/>
      <c r="H104" s="24"/>
      <c r="I104" s="22"/>
      <c r="J104" s="25"/>
    </row>
    <row r="105" spans="1:10">
      <c r="A105" s="18"/>
      <c r="B105" s="26"/>
      <c r="C105" s="22"/>
      <c r="D105" s="23"/>
      <c r="E105" s="23"/>
      <c r="F105" s="23"/>
      <c r="G105" s="24"/>
      <c r="H105" s="24"/>
      <c r="I105" s="22"/>
      <c r="J105" s="25"/>
    </row>
    <row r="106" spans="1:10">
      <c r="A106" s="18"/>
      <c r="B106" s="26"/>
      <c r="C106" s="22"/>
      <c r="D106" s="23"/>
      <c r="E106" s="23"/>
      <c r="F106" s="23"/>
      <c r="G106" s="24"/>
      <c r="H106" s="24"/>
      <c r="I106" s="22"/>
      <c r="J106" s="25"/>
    </row>
    <row r="107" spans="1:10">
      <c r="A107" s="19"/>
      <c r="B107" s="27"/>
      <c r="C107" s="22"/>
      <c r="D107" s="23"/>
      <c r="E107" s="23"/>
      <c r="F107" s="23"/>
      <c r="G107" s="24"/>
      <c r="H107" s="24"/>
      <c r="I107" s="22"/>
      <c r="J107" s="25"/>
    </row>
    <row r="108" spans="1:10">
      <c r="A108" s="30">
        <v>14</v>
      </c>
      <c r="B108" s="31" t="s">
        <v>27</v>
      </c>
      <c r="C108" s="32"/>
      <c r="D108" s="33"/>
      <c r="E108" s="33"/>
      <c r="F108" s="33"/>
      <c r="G108" s="34"/>
      <c r="H108" s="34">
        <f>SUM(G108:G115)</f>
        <v>0</v>
      </c>
      <c r="I108" s="35" t="str">
        <f>IF(H108&gt;=20,"Memenuhi","Tidak Memenuhi")</f>
        <v>Tidak Memenuhi</v>
      </c>
      <c r="J108" s="36"/>
    </row>
    <row r="109" spans="1:10">
      <c r="A109" s="18"/>
      <c r="B109" s="26"/>
      <c r="C109" s="22"/>
      <c r="D109" s="23"/>
      <c r="E109" s="23"/>
      <c r="F109" s="23"/>
      <c r="G109" s="24"/>
      <c r="H109" s="24"/>
      <c r="I109" s="22"/>
      <c r="J109" s="25"/>
    </row>
    <row r="110" spans="1:10">
      <c r="A110" s="18"/>
      <c r="B110" s="26"/>
      <c r="C110" s="22"/>
      <c r="D110" s="23"/>
      <c r="E110" s="23"/>
      <c r="F110" s="23"/>
      <c r="G110" s="24"/>
      <c r="H110" s="24"/>
      <c r="I110" s="22"/>
      <c r="J110" s="25"/>
    </row>
    <row r="111" spans="1:10">
      <c r="A111" s="18"/>
      <c r="B111" s="26"/>
      <c r="C111" s="22"/>
      <c r="D111" s="23"/>
      <c r="E111" s="23"/>
      <c r="F111" s="23"/>
      <c r="G111" s="24"/>
      <c r="H111" s="24"/>
      <c r="I111" s="22"/>
      <c r="J111" s="25"/>
    </row>
    <row r="112" spans="1:10">
      <c r="A112" s="18"/>
      <c r="B112" s="26"/>
      <c r="C112" s="22"/>
      <c r="D112" s="23"/>
      <c r="E112" s="23"/>
      <c r="F112" s="23"/>
      <c r="G112" s="24"/>
      <c r="H112" s="24"/>
      <c r="I112" s="22"/>
      <c r="J112" s="25"/>
    </row>
    <row r="113" spans="1:10">
      <c r="A113" s="18"/>
      <c r="B113" s="26"/>
      <c r="C113" s="22"/>
      <c r="D113" s="23"/>
      <c r="E113" s="23"/>
      <c r="F113" s="23"/>
      <c r="G113" s="24"/>
      <c r="H113" s="24"/>
      <c r="I113" s="22"/>
      <c r="J113" s="25"/>
    </row>
    <row r="114" spans="1:10">
      <c r="A114" s="18"/>
      <c r="B114" s="26"/>
      <c r="C114" s="22"/>
      <c r="D114" s="23"/>
      <c r="E114" s="23"/>
      <c r="F114" s="23"/>
      <c r="G114" s="24"/>
      <c r="H114" s="24"/>
      <c r="I114" s="22"/>
      <c r="J114" s="25"/>
    </row>
    <row r="115" spans="1:10">
      <c r="A115" s="19"/>
      <c r="B115" s="27"/>
      <c r="C115" s="22"/>
      <c r="D115" s="23"/>
      <c r="E115" s="23"/>
      <c r="F115" s="23"/>
      <c r="G115" s="24"/>
      <c r="H115" s="24"/>
      <c r="I115" s="22"/>
      <c r="J115" s="25"/>
    </row>
    <row r="116" spans="1:10">
      <c r="A116" s="30">
        <v>15</v>
      </c>
      <c r="B116" s="31" t="s">
        <v>29</v>
      </c>
      <c r="C116" s="32"/>
      <c r="D116" s="33"/>
      <c r="E116" s="33"/>
      <c r="F116" s="33"/>
      <c r="G116" s="34"/>
      <c r="H116" s="34">
        <f>SUM(G116:G123)</f>
        <v>0</v>
      </c>
      <c r="I116" s="35" t="str">
        <f>IF(H116&gt;=20,"Memenuhi","Tidak Memenuhi")</f>
        <v>Tidak Memenuhi</v>
      </c>
      <c r="J116" s="36"/>
    </row>
    <row r="117" spans="1:10">
      <c r="A117" s="18"/>
      <c r="B117" s="26"/>
      <c r="C117" s="22"/>
      <c r="D117" s="23"/>
      <c r="E117" s="23"/>
      <c r="F117" s="23"/>
      <c r="G117" s="24"/>
      <c r="H117" s="24"/>
      <c r="I117" s="22"/>
      <c r="J117" s="25"/>
    </row>
    <row r="118" spans="1:10">
      <c r="A118" s="18"/>
      <c r="B118" s="26"/>
      <c r="C118" s="22"/>
      <c r="D118" s="23"/>
      <c r="E118" s="23"/>
      <c r="F118" s="23"/>
      <c r="G118" s="24"/>
      <c r="H118" s="24"/>
      <c r="I118" s="22"/>
      <c r="J118" s="25"/>
    </row>
    <row r="119" spans="1:10">
      <c r="A119" s="18"/>
      <c r="B119" s="26"/>
      <c r="C119" s="22"/>
      <c r="D119" s="23"/>
      <c r="E119" s="23"/>
      <c r="F119" s="23"/>
      <c r="G119" s="24"/>
      <c r="H119" s="24"/>
      <c r="I119" s="22"/>
      <c r="J119" s="25"/>
    </row>
    <row r="120" spans="1:10">
      <c r="A120" s="18"/>
      <c r="B120" s="26"/>
      <c r="C120" s="22"/>
      <c r="D120" s="23"/>
      <c r="E120" s="23"/>
      <c r="F120" s="23"/>
      <c r="G120" s="24"/>
      <c r="H120" s="24"/>
      <c r="I120" s="22"/>
      <c r="J120" s="25"/>
    </row>
    <row r="121" spans="1:10">
      <c r="A121" s="18"/>
      <c r="B121" s="26"/>
      <c r="C121" s="22"/>
      <c r="D121" s="23"/>
      <c r="E121" s="23"/>
      <c r="F121" s="23"/>
      <c r="G121" s="24"/>
      <c r="H121" s="24"/>
      <c r="I121" s="22"/>
      <c r="J121" s="25"/>
    </row>
    <row r="122" spans="1:10">
      <c r="A122" s="18"/>
      <c r="B122" s="26"/>
      <c r="C122" s="22"/>
      <c r="D122" s="23"/>
      <c r="E122" s="23"/>
      <c r="F122" s="23"/>
      <c r="G122" s="24"/>
      <c r="H122" s="24"/>
      <c r="I122" s="22"/>
      <c r="J122" s="25"/>
    </row>
    <row r="123" spans="1:10">
      <c r="A123" s="19"/>
      <c r="B123" s="27"/>
      <c r="C123" s="22"/>
      <c r="D123" s="23"/>
      <c r="E123" s="23"/>
      <c r="F123" s="23"/>
      <c r="G123" s="24"/>
      <c r="H123" s="24"/>
      <c r="I123" s="22"/>
      <c r="J123" s="25"/>
    </row>
    <row r="124" spans="1:10" ht="24">
      <c r="A124" s="30">
        <v>16</v>
      </c>
      <c r="B124" s="31" t="s">
        <v>31</v>
      </c>
      <c r="C124" s="32"/>
      <c r="D124" s="33"/>
      <c r="E124" s="33"/>
      <c r="F124" s="33"/>
      <c r="G124" s="34"/>
      <c r="H124" s="34">
        <f>SUM(G124:G131)</f>
        <v>0</v>
      </c>
      <c r="I124" s="35" t="str">
        <f>IF(H124&gt;=20,"Memenuhi","Tidak Memenuhi")</f>
        <v>Tidak Memenuhi</v>
      </c>
      <c r="J124" s="36"/>
    </row>
    <row r="125" spans="1:10">
      <c r="A125" s="18"/>
      <c r="B125" s="26"/>
      <c r="C125" s="22"/>
      <c r="D125" s="23"/>
      <c r="E125" s="23"/>
      <c r="F125" s="23"/>
      <c r="G125" s="24"/>
      <c r="H125" s="24"/>
      <c r="I125" s="22"/>
      <c r="J125" s="25"/>
    </row>
    <row r="126" spans="1:10">
      <c r="A126" s="18"/>
      <c r="B126" s="26"/>
      <c r="C126" s="22"/>
      <c r="D126" s="23"/>
      <c r="E126" s="23"/>
      <c r="F126" s="23"/>
      <c r="G126" s="24"/>
      <c r="H126" s="24"/>
      <c r="I126" s="22"/>
      <c r="J126" s="25"/>
    </row>
    <row r="127" spans="1:10">
      <c r="A127" s="18"/>
      <c r="B127" s="26"/>
      <c r="C127" s="22"/>
      <c r="D127" s="23"/>
      <c r="E127" s="23"/>
      <c r="F127" s="23"/>
      <c r="G127" s="24"/>
      <c r="H127" s="24"/>
      <c r="I127" s="22"/>
      <c r="J127" s="25"/>
    </row>
    <row r="128" spans="1:10">
      <c r="A128" s="18"/>
      <c r="B128" s="26"/>
      <c r="C128" s="22"/>
      <c r="D128" s="23"/>
      <c r="E128" s="23"/>
      <c r="F128" s="23"/>
      <c r="G128" s="24"/>
      <c r="H128" s="24"/>
      <c r="I128" s="22"/>
      <c r="J128" s="25"/>
    </row>
    <row r="129" spans="1:10">
      <c r="A129" s="18"/>
      <c r="B129" s="26"/>
      <c r="C129" s="22"/>
      <c r="D129" s="23"/>
      <c r="E129" s="23"/>
      <c r="F129" s="23"/>
      <c r="G129" s="24"/>
      <c r="H129" s="24"/>
      <c r="I129" s="22"/>
      <c r="J129" s="25"/>
    </row>
    <row r="130" spans="1:10">
      <c r="A130" s="18"/>
      <c r="B130" s="26"/>
      <c r="C130" s="22"/>
      <c r="D130" s="23"/>
      <c r="E130" s="23"/>
      <c r="F130" s="23"/>
      <c r="G130" s="24"/>
      <c r="H130" s="24"/>
      <c r="I130" s="22"/>
      <c r="J130" s="25"/>
    </row>
    <row r="131" spans="1:10">
      <c r="A131" s="19"/>
      <c r="B131" s="27"/>
      <c r="C131" s="22"/>
      <c r="D131" s="23"/>
      <c r="E131" s="23"/>
      <c r="F131" s="23"/>
      <c r="G131" s="24"/>
      <c r="H131" s="24"/>
      <c r="I131" s="22"/>
      <c r="J131" s="25"/>
    </row>
    <row r="132" spans="1:10">
      <c r="A132" s="30">
        <v>17</v>
      </c>
      <c r="B132" s="31" t="s">
        <v>33</v>
      </c>
      <c r="C132" s="32"/>
      <c r="D132" s="33"/>
      <c r="E132" s="33"/>
      <c r="F132" s="33"/>
      <c r="G132" s="34"/>
      <c r="H132" s="34">
        <f>SUM(G132:G139)</f>
        <v>0</v>
      </c>
      <c r="I132" s="35" t="str">
        <f>IF(H132&gt;=20,"Memenuhi","Tidak Memenuhi")</f>
        <v>Tidak Memenuhi</v>
      </c>
      <c r="J132" s="36"/>
    </row>
    <row r="133" spans="1:10">
      <c r="A133" s="18"/>
      <c r="B133" s="26"/>
      <c r="C133" s="22"/>
      <c r="D133" s="23"/>
      <c r="E133" s="23"/>
      <c r="F133" s="23"/>
      <c r="G133" s="24"/>
      <c r="H133" s="24"/>
      <c r="I133" s="22"/>
      <c r="J133" s="25"/>
    </row>
    <row r="134" spans="1:10">
      <c r="A134" s="18"/>
      <c r="B134" s="26"/>
      <c r="C134" s="22"/>
      <c r="D134" s="23"/>
      <c r="E134" s="23"/>
      <c r="F134" s="23"/>
      <c r="G134" s="24"/>
      <c r="H134" s="24"/>
      <c r="I134" s="22"/>
      <c r="J134" s="25"/>
    </row>
    <row r="135" spans="1:10">
      <c r="A135" s="18"/>
      <c r="B135" s="26"/>
      <c r="C135" s="22"/>
      <c r="D135" s="23"/>
      <c r="E135" s="23"/>
      <c r="F135" s="23"/>
      <c r="G135" s="24"/>
      <c r="H135" s="24"/>
      <c r="I135" s="22"/>
      <c r="J135" s="25"/>
    </row>
    <row r="136" spans="1:10">
      <c r="A136" s="18"/>
      <c r="B136" s="26"/>
      <c r="C136" s="22"/>
      <c r="D136" s="23"/>
      <c r="E136" s="23"/>
      <c r="F136" s="23"/>
      <c r="G136" s="24"/>
      <c r="H136" s="24"/>
      <c r="I136" s="22"/>
      <c r="J136" s="25"/>
    </row>
    <row r="137" spans="1:10">
      <c r="A137" s="18"/>
      <c r="B137" s="26"/>
      <c r="C137" s="22"/>
      <c r="D137" s="23"/>
      <c r="E137" s="23"/>
      <c r="F137" s="23"/>
      <c r="G137" s="24"/>
      <c r="H137" s="24"/>
      <c r="I137" s="22"/>
      <c r="J137" s="25"/>
    </row>
    <row r="138" spans="1:10">
      <c r="A138" s="18"/>
      <c r="B138" s="26"/>
      <c r="C138" s="22"/>
      <c r="D138" s="23"/>
      <c r="E138" s="23"/>
      <c r="F138" s="23"/>
      <c r="G138" s="24"/>
      <c r="H138" s="24"/>
      <c r="I138" s="22"/>
      <c r="J138" s="25"/>
    </row>
    <row r="139" spans="1:10">
      <c r="A139" s="19"/>
      <c r="B139" s="27"/>
      <c r="C139" s="22"/>
      <c r="D139" s="23"/>
      <c r="E139" s="23"/>
      <c r="F139" s="23"/>
      <c r="G139" s="24"/>
      <c r="H139" s="24"/>
      <c r="I139" s="22"/>
      <c r="J139" s="25"/>
    </row>
    <row r="140" spans="1:10">
      <c r="A140" s="30">
        <v>18</v>
      </c>
      <c r="B140" s="31" t="s">
        <v>35</v>
      </c>
      <c r="C140" s="32"/>
      <c r="D140" s="33"/>
      <c r="E140" s="33"/>
      <c r="F140" s="33"/>
      <c r="G140" s="34"/>
      <c r="H140" s="34">
        <f>SUM(G140:G147)</f>
        <v>0</v>
      </c>
      <c r="I140" s="35" t="str">
        <f>IF(H140&gt;=20,"Memenuhi","Tidak Memenuhi")</f>
        <v>Tidak Memenuhi</v>
      </c>
      <c r="J140" s="36"/>
    </row>
    <row r="141" spans="1:10">
      <c r="A141" s="18"/>
      <c r="B141" s="26"/>
      <c r="C141" s="22"/>
      <c r="D141" s="23"/>
      <c r="E141" s="23"/>
      <c r="F141" s="23"/>
      <c r="G141" s="24"/>
      <c r="H141" s="24"/>
      <c r="I141" s="22"/>
      <c r="J141" s="25"/>
    </row>
    <row r="142" spans="1:10">
      <c r="A142" s="18"/>
      <c r="B142" s="26"/>
      <c r="C142" s="22"/>
      <c r="D142" s="23"/>
      <c r="E142" s="23"/>
      <c r="F142" s="23"/>
      <c r="G142" s="24"/>
      <c r="H142" s="24"/>
      <c r="I142" s="22"/>
      <c r="J142" s="25"/>
    </row>
    <row r="143" spans="1:10">
      <c r="A143" s="18"/>
      <c r="B143" s="26"/>
      <c r="C143" s="22"/>
      <c r="D143" s="23"/>
      <c r="E143" s="23"/>
      <c r="F143" s="23"/>
      <c r="G143" s="24"/>
      <c r="H143" s="24"/>
      <c r="I143" s="22"/>
      <c r="J143" s="25"/>
    </row>
    <row r="144" spans="1:10">
      <c r="A144" s="18"/>
      <c r="B144" s="26"/>
      <c r="C144" s="22"/>
      <c r="D144" s="23"/>
      <c r="E144" s="23"/>
      <c r="F144" s="23"/>
      <c r="G144" s="24"/>
      <c r="H144" s="24"/>
      <c r="I144" s="22"/>
      <c r="J144" s="25"/>
    </row>
    <row r="145" spans="1:10">
      <c r="A145" s="18"/>
      <c r="B145" s="26"/>
      <c r="C145" s="22"/>
      <c r="D145" s="23"/>
      <c r="E145" s="23"/>
      <c r="F145" s="23"/>
      <c r="G145" s="24"/>
      <c r="H145" s="24"/>
      <c r="I145" s="22"/>
      <c r="J145" s="25"/>
    </row>
    <row r="146" spans="1:10">
      <c r="A146" s="18"/>
      <c r="B146" s="26"/>
      <c r="C146" s="22"/>
      <c r="D146" s="23"/>
      <c r="E146" s="23"/>
      <c r="F146" s="23"/>
      <c r="G146" s="24"/>
      <c r="H146" s="24"/>
      <c r="I146" s="22"/>
      <c r="J146" s="25"/>
    </row>
    <row r="147" spans="1:10">
      <c r="A147" s="19"/>
      <c r="B147" s="27"/>
      <c r="C147" s="22"/>
      <c r="D147" s="23"/>
      <c r="E147" s="23"/>
      <c r="F147" s="23"/>
      <c r="G147" s="24"/>
      <c r="H147" s="24"/>
      <c r="I147" s="22"/>
      <c r="J147" s="25"/>
    </row>
    <row r="148" spans="1:10">
      <c r="A148" s="30">
        <v>19</v>
      </c>
      <c r="B148" s="31" t="s">
        <v>38</v>
      </c>
      <c r="C148" s="32"/>
      <c r="D148" s="33"/>
      <c r="E148" s="33"/>
      <c r="F148" s="33"/>
      <c r="G148" s="34"/>
      <c r="H148" s="34">
        <f>SUM(G148:G155)</f>
        <v>0</v>
      </c>
      <c r="I148" s="35" t="str">
        <f>IF(H148&gt;=20,"Memenuhi","Tidak Memenuhi")</f>
        <v>Tidak Memenuhi</v>
      </c>
      <c r="J148" s="36"/>
    </row>
    <row r="149" spans="1:10">
      <c r="A149" s="18"/>
      <c r="B149" s="26"/>
      <c r="C149" s="22"/>
      <c r="D149" s="23"/>
      <c r="E149" s="23"/>
      <c r="F149" s="23"/>
      <c r="G149" s="24"/>
      <c r="H149" s="24"/>
      <c r="I149" s="22"/>
      <c r="J149" s="25"/>
    </row>
    <row r="150" spans="1:10">
      <c r="A150" s="18"/>
      <c r="B150" s="26"/>
      <c r="C150" s="22"/>
      <c r="D150" s="23"/>
      <c r="E150" s="23"/>
      <c r="F150" s="23"/>
      <c r="G150" s="24"/>
      <c r="H150" s="24"/>
      <c r="I150" s="22"/>
      <c r="J150" s="25"/>
    </row>
    <row r="151" spans="1:10">
      <c r="A151" s="18"/>
      <c r="B151" s="26"/>
      <c r="C151" s="22"/>
      <c r="D151" s="23"/>
      <c r="E151" s="23"/>
      <c r="F151" s="23"/>
      <c r="G151" s="24"/>
      <c r="H151" s="24"/>
      <c r="I151" s="22"/>
      <c r="J151" s="25"/>
    </row>
    <row r="152" spans="1:10">
      <c r="A152" s="18"/>
      <c r="B152" s="26"/>
      <c r="C152" s="22"/>
      <c r="D152" s="23"/>
      <c r="E152" s="23"/>
      <c r="F152" s="23"/>
      <c r="G152" s="24"/>
      <c r="H152" s="24"/>
      <c r="I152" s="22"/>
      <c r="J152" s="25"/>
    </row>
    <row r="153" spans="1:10">
      <c r="A153" s="18"/>
      <c r="B153" s="26"/>
      <c r="C153" s="22"/>
      <c r="D153" s="23"/>
      <c r="E153" s="23"/>
      <c r="F153" s="23"/>
      <c r="G153" s="24"/>
      <c r="H153" s="24"/>
      <c r="I153" s="22"/>
      <c r="J153" s="25"/>
    </row>
    <row r="154" spans="1:10">
      <c r="A154" s="18"/>
      <c r="B154" s="26"/>
      <c r="C154" s="22"/>
      <c r="D154" s="23"/>
      <c r="E154" s="23"/>
      <c r="F154" s="23"/>
      <c r="G154" s="24"/>
      <c r="H154" s="24"/>
      <c r="I154" s="22"/>
      <c r="J154" s="25"/>
    </row>
    <row r="155" spans="1:10">
      <c r="A155" s="19"/>
      <c r="B155" s="27"/>
      <c r="C155" s="22"/>
      <c r="D155" s="23"/>
      <c r="E155" s="23"/>
      <c r="F155" s="23"/>
      <c r="G155" s="24"/>
      <c r="H155" s="24"/>
      <c r="I155" s="22"/>
      <c r="J155" s="25"/>
    </row>
    <row r="156" spans="1:10" ht="24">
      <c r="A156" s="30">
        <v>20</v>
      </c>
      <c r="B156" s="31" t="s">
        <v>222</v>
      </c>
      <c r="C156" s="32"/>
      <c r="D156" s="33"/>
      <c r="E156" s="33"/>
      <c r="F156" s="33"/>
      <c r="G156" s="34"/>
      <c r="H156" s="34">
        <f>SUM(G156:G163)</f>
        <v>0</v>
      </c>
      <c r="I156" s="35" t="str">
        <f>IF(H156&gt;=20,"Memenuhi","Tidak Memenuhi")</f>
        <v>Tidak Memenuhi</v>
      </c>
      <c r="J156" s="36"/>
    </row>
    <row r="157" spans="1:10">
      <c r="A157" s="18"/>
      <c r="B157" s="26"/>
      <c r="C157" s="22"/>
      <c r="D157" s="23"/>
      <c r="E157" s="23"/>
      <c r="F157" s="23"/>
      <c r="G157" s="24"/>
      <c r="H157" s="24"/>
      <c r="I157" s="22"/>
      <c r="J157" s="25"/>
    </row>
    <row r="158" spans="1:10">
      <c r="A158" s="18"/>
      <c r="B158" s="26"/>
      <c r="C158" s="22"/>
      <c r="D158" s="23"/>
      <c r="E158" s="23"/>
      <c r="F158" s="23"/>
      <c r="G158" s="24"/>
      <c r="H158" s="24"/>
      <c r="I158" s="22"/>
      <c r="J158" s="25"/>
    </row>
    <row r="159" spans="1:10">
      <c r="A159" s="18"/>
      <c r="B159" s="26"/>
      <c r="C159" s="22"/>
      <c r="D159" s="23"/>
      <c r="E159" s="23"/>
      <c r="F159" s="23"/>
      <c r="G159" s="24"/>
      <c r="H159" s="24"/>
      <c r="I159" s="22"/>
      <c r="J159" s="25"/>
    </row>
    <row r="160" spans="1:10">
      <c r="A160" s="18"/>
      <c r="B160" s="26"/>
      <c r="C160" s="22"/>
      <c r="D160" s="23"/>
      <c r="E160" s="23"/>
      <c r="F160" s="23"/>
      <c r="G160" s="24"/>
      <c r="H160" s="24"/>
      <c r="I160" s="22"/>
      <c r="J160" s="25"/>
    </row>
    <row r="161" spans="1:10">
      <c r="A161" s="18"/>
      <c r="B161" s="26"/>
      <c r="C161" s="22"/>
      <c r="D161" s="23"/>
      <c r="E161" s="23"/>
      <c r="F161" s="23"/>
      <c r="G161" s="24"/>
      <c r="H161" s="24"/>
      <c r="I161" s="22"/>
      <c r="J161" s="25"/>
    </row>
    <row r="162" spans="1:10">
      <c r="A162" s="18"/>
      <c r="B162" s="26"/>
      <c r="C162" s="22"/>
      <c r="D162" s="23"/>
      <c r="E162" s="23"/>
      <c r="F162" s="23"/>
      <c r="G162" s="24"/>
      <c r="H162" s="24"/>
      <c r="I162" s="22"/>
      <c r="J162" s="25"/>
    </row>
    <row r="163" spans="1:10">
      <c r="A163" s="19"/>
      <c r="B163" s="27"/>
      <c r="C163" s="22"/>
      <c r="D163" s="23"/>
      <c r="E163" s="23"/>
      <c r="F163" s="23"/>
      <c r="G163" s="24"/>
      <c r="H163" s="24"/>
      <c r="I163" s="22"/>
      <c r="J163" s="25"/>
    </row>
    <row r="164" spans="1:10" ht="24">
      <c r="A164" s="30">
        <v>21</v>
      </c>
      <c r="B164" s="31" t="s">
        <v>40</v>
      </c>
      <c r="C164" s="32"/>
      <c r="D164" s="33"/>
      <c r="E164" s="33"/>
      <c r="F164" s="33"/>
      <c r="G164" s="34"/>
      <c r="H164" s="34">
        <f>SUM(G164:G171)</f>
        <v>0</v>
      </c>
      <c r="I164" s="35" t="str">
        <f>IF(H164&gt;=20,"Memenuhi","Tidak Memenuhi")</f>
        <v>Tidak Memenuhi</v>
      </c>
      <c r="J164" s="36"/>
    </row>
    <row r="165" spans="1:10">
      <c r="A165" s="18"/>
      <c r="B165" s="26"/>
      <c r="C165" s="22"/>
      <c r="D165" s="23"/>
      <c r="E165" s="23"/>
      <c r="F165" s="23"/>
      <c r="G165" s="24"/>
      <c r="H165" s="24"/>
      <c r="I165" s="22"/>
      <c r="J165" s="25"/>
    </row>
    <row r="166" spans="1:10">
      <c r="A166" s="18"/>
      <c r="B166" s="26"/>
      <c r="C166" s="22"/>
      <c r="D166" s="23"/>
      <c r="E166" s="23"/>
      <c r="F166" s="23"/>
      <c r="G166" s="24"/>
      <c r="H166" s="24"/>
      <c r="I166" s="22"/>
      <c r="J166" s="25"/>
    </row>
    <row r="167" spans="1:10">
      <c r="A167" s="18"/>
      <c r="B167" s="26"/>
      <c r="C167" s="22"/>
      <c r="D167" s="23"/>
      <c r="E167" s="23"/>
      <c r="F167" s="23"/>
      <c r="G167" s="24"/>
      <c r="H167" s="24"/>
      <c r="I167" s="22"/>
      <c r="J167" s="25"/>
    </row>
    <row r="168" spans="1:10">
      <c r="A168" s="18"/>
      <c r="B168" s="26"/>
      <c r="C168" s="22"/>
      <c r="D168" s="23"/>
      <c r="E168" s="23"/>
      <c r="F168" s="23"/>
      <c r="G168" s="24"/>
      <c r="H168" s="24"/>
      <c r="I168" s="22"/>
      <c r="J168" s="25"/>
    </row>
    <row r="169" spans="1:10">
      <c r="A169" s="18"/>
      <c r="B169" s="26"/>
      <c r="C169" s="22"/>
      <c r="D169" s="23"/>
      <c r="E169" s="23"/>
      <c r="F169" s="23"/>
      <c r="G169" s="24"/>
      <c r="H169" s="24"/>
      <c r="I169" s="22"/>
      <c r="J169" s="25"/>
    </row>
    <row r="170" spans="1:10">
      <c r="A170" s="18"/>
      <c r="B170" s="26"/>
      <c r="C170" s="22"/>
      <c r="D170" s="23"/>
      <c r="E170" s="23"/>
      <c r="F170" s="23"/>
      <c r="G170" s="24"/>
      <c r="H170" s="24"/>
      <c r="I170" s="22"/>
      <c r="J170" s="25"/>
    </row>
    <row r="171" spans="1:10">
      <c r="A171" s="19"/>
      <c r="B171" s="27"/>
      <c r="C171" s="22"/>
      <c r="D171" s="23"/>
      <c r="E171" s="23"/>
      <c r="F171" s="23"/>
      <c r="G171" s="24"/>
      <c r="H171" s="24"/>
      <c r="I171" s="22"/>
      <c r="J171" s="25"/>
    </row>
    <row r="172" spans="1:10" ht="26.25" customHeight="1">
      <c r="A172" s="30">
        <v>22</v>
      </c>
      <c r="B172" s="31" t="s">
        <v>42</v>
      </c>
      <c r="C172" s="32"/>
      <c r="D172" s="33"/>
      <c r="E172" s="33"/>
      <c r="F172" s="33"/>
      <c r="G172" s="34"/>
      <c r="H172" s="34">
        <f>SUM(G172:G179)</f>
        <v>0</v>
      </c>
      <c r="I172" s="35" t="str">
        <f>IF(H172&gt;=20,"Memenuhi","Tidak Memenuhi")</f>
        <v>Tidak Memenuhi</v>
      </c>
      <c r="J172" s="36"/>
    </row>
    <row r="173" spans="1:10">
      <c r="A173" s="18"/>
      <c r="B173" s="26"/>
      <c r="C173" s="22"/>
      <c r="D173" s="23"/>
      <c r="E173" s="23"/>
      <c r="F173" s="23"/>
      <c r="G173" s="24"/>
      <c r="H173" s="24"/>
      <c r="I173" s="22"/>
      <c r="J173" s="25"/>
    </row>
    <row r="174" spans="1:10">
      <c r="A174" s="18"/>
      <c r="B174" s="26"/>
      <c r="C174" s="22"/>
      <c r="D174" s="23"/>
      <c r="E174" s="23"/>
      <c r="F174" s="23"/>
      <c r="G174" s="24"/>
      <c r="H174" s="24"/>
      <c r="I174" s="22"/>
      <c r="J174" s="25"/>
    </row>
    <row r="175" spans="1:10">
      <c r="A175" s="18"/>
      <c r="B175" s="26"/>
      <c r="C175" s="22"/>
      <c r="D175" s="23"/>
      <c r="E175" s="23"/>
      <c r="F175" s="23"/>
      <c r="G175" s="24"/>
      <c r="H175" s="24"/>
      <c r="I175" s="22"/>
      <c r="J175" s="25"/>
    </row>
    <row r="176" spans="1:10">
      <c r="A176" s="18"/>
      <c r="B176" s="26"/>
      <c r="C176" s="22"/>
      <c r="D176" s="23"/>
      <c r="E176" s="23"/>
      <c r="F176" s="23"/>
      <c r="G176" s="24"/>
      <c r="H176" s="24"/>
      <c r="I176" s="22"/>
      <c r="J176" s="25"/>
    </row>
    <row r="177" spans="1:10">
      <c r="A177" s="18"/>
      <c r="B177" s="26"/>
      <c r="C177" s="22"/>
      <c r="D177" s="23"/>
      <c r="E177" s="23"/>
      <c r="F177" s="23"/>
      <c r="G177" s="24"/>
      <c r="H177" s="24"/>
      <c r="I177" s="22"/>
      <c r="J177" s="25"/>
    </row>
    <row r="178" spans="1:10">
      <c r="A178" s="18"/>
      <c r="B178" s="26"/>
      <c r="C178" s="22"/>
      <c r="D178" s="23"/>
      <c r="E178" s="23"/>
      <c r="F178" s="23"/>
      <c r="G178" s="24"/>
      <c r="H178" s="24"/>
      <c r="I178" s="22"/>
      <c r="J178" s="25"/>
    </row>
    <row r="179" spans="1:10">
      <c r="A179" s="19"/>
      <c r="B179" s="27"/>
      <c r="C179" s="22"/>
      <c r="D179" s="23"/>
      <c r="E179" s="23"/>
      <c r="F179" s="23"/>
      <c r="G179" s="24"/>
      <c r="H179" s="24"/>
      <c r="I179" s="22"/>
      <c r="J179" s="25"/>
    </row>
    <row r="180" spans="1:10">
      <c r="A180" s="30">
        <v>23</v>
      </c>
      <c r="B180" s="31" t="s">
        <v>44</v>
      </c>
      <c r="C180" s="32"/>
      <c r="D180" s="33"/>
      <c r="E180" s="33"/>
      <c r="F180" s="33"/>
      <c r="G180" s="34"/>
      <c r="H180" s="34">
        <f>SUM(G180:G187)</f>
        <v>0</v>
      </c>
      <c r="I180" s="35" t="str">
        <f>IF(H180&gt;=20,"Memenuhi","Tidak Memenuhi")</f>
        <v>Tidak Memenuhi</v>
      </c>
      <c r="J180" s="36"/>
    </row>
    <row r="181" spans="1:10">
      <c r="A181" s="18"/>
      <c r="B181" s="26"/>
      <c r="C181" s="22"/>
      <c r="D181" s="23"/>
      <c r="E181" s="23"/>
      <c r="F181" s="23"/>
      <c r="G181" s="24"/>
      <c r="H181" s="24"/>
      <c r="I181" s="22"/>
      <c r="J181" s="25"/>
    </row>
    <row r="182" spans="1:10">
      <c r="A182" s="18"/>
      <c r="B182" s="26"/>
      <c r="C182" s="22"/>
      <c r="D182" s="23"/>
      <c r="E182" s="23"/>
      <c r="F182" s="23"/>
      <c r="G182" s="24"/>
      <c r="H182" s="24"/>
      <c r="I182" s="22"/>
      <c r="J182" s="25"/>
    </row>
    <row r="183" spans="1:10">
      <c r="A183" s="18"/>
      <c r="B183" s="26"/>
      <c r="C183" s="22"/>
      <c r="D183" s="23"/>
      <c r="E183" s="23"/>
      <c r="F183" s="23"/>
      <c r="G183" s="24"/>
      <c r="H183" s="24"/>
      <c r="I183" s="22"/>
      <c r="J183" s="25"/>
    </row>
    <row r="184" spans="1:10">
      <c r="A184" s="18"/>
      <c r="B184" s="26"/>
      <c r="C184" s="22"/>
      <c r="D184" s="23"/>
      <c r="E184" s="23"/>
      <c r="F184" s="23"/>
      <c r="G184" s="24"/>
      <c r="H184" s="24"/>
      <c r="I184" s="22"/>
      <c r="J184" s="25"/>
    </row>
    <row r="185" spans="1:10">
      <c r="A185" s="18"/>
      <c r="B185" s="26"/>
      <c r="C185" s="22"/>
      <c r="D185" s="23"/>
      <c r="E185" s="23"/>
      <c r="F185" s="23"/>
      <c r="G185" s="24"/>
      <c r="H185" s="24"/>
      <c r="I185" s="22"/>
      <c r="J185" s="25"/>
    </row>
    <row r="186" spans="1:10">
      <c r="A186" s="18"/>
      <c r="B186" s="26"/>
      <c r="C186" s="22"/>
      <c r="D186" s="23"/>
      <c r="E186" s="23"/>
      <c r="F186" s="23"/>
      <c r="G186" s="24"/>
      <c r="H186" s="24"/>
      <c r="I186" s="22"/>
      <c r="J186" s="25"/>
    </row>
    <row r="187" spans="1:10">
      <c r="A187" s="19"/>
      <c r="B187" s="27"/>
      <c r="C187" s="22"/>
      <c r="D187" s="23"/>
      <c r="E187" s="23"/>
      <c r="F187" s="23"/>
      <c r="G187" s="24"/>
      <c r="H187" s="24"/>
      <c r="I187" s="22"/>
      <c r="J187" s="25"/>
    </row>
    <row r="188" spans="1:10">
      <c r="A188" s="30">
        <v>24</v>
      </c>
      <c r="B188" s="31" t="s">
        <v>46</v>
      </c>
      <c r="C188" s="32"/>
      <c r="D188" s="33"/>
      <c r="E188" s="33"/>
      <c r="F188" s="33"/>
      <c r="G188" s="34"/>
      <c r="H188" s="34">
        <f>SUM(G188:G195)</f>
        <v>0</v>
      </c>
      <c r="I188" s="35" t="str">
        <f>IF(H188&gt;=20,"Memenuhi","Tidak Memenuhi")</f>
        <v>Tidak Memenuhi</v>
      </c>
      <c r="J188" s="36"/>
    </row>
    <row r="189" spans="1:10">
      <c r="A189" s="18"/>
      <c r="B189" s="26"/>
      <c r="C189" s="22"/>
      <c r="D189" s="23"/>
      <c r="E189" s="23"/>
      <c r="F189" s="23"/>
      <c r="G189" s="24"/>
      <c r="H189" s="24"/>
      <c r="I189" s="22"/>
      <c r="J189" s="25"/>
    </row>
    <row r="190" spans="1:10">
      <c r="A190" s="18"/>
      <c r="B190" s="26"/>
      <c r="C190" s="22"/>
      <c r="D190" s="23"/>
      <c r="E190" s="23"/>
      <c r="F190" s="23"/>
      <c r="G190" s="24"/>
      <c r="H190" s="24"/>
      <c r="I190" s="22"/>
      <c r="J190" s="25"/>
    </row>
    <row r="191" spans="1:10">
      <c r="A191" s="18"/>
      <c r="B191" s="26"/>
      <c r="C191" s="22"/>
      <c r="D191" s="23"/>
      <c r="E191" s="23"/>
      <c r="F191" s="23"/>
      <c r="G191" s="24"/>
      <c r="H191" s="24"/>
      <c r="I191" s="22"/>
      <c r="J191" s="25"/>
    </row>
    <row r="192" spans="1:10">
      <c r="A192" s="18"/>
      <c r="B192" s="26"/>
      <c r="C192" s="22"/>
      <c r="D192" s="23"/>
      <c r="E192" s="23"/>
      <c r="F192" s="23"/>
      <c r="G192" s="24"/>
      <c r="H192" s="24"/>
      <c r="I192" s="22"/>
      <c r="J192" s="25"/>
    </row>
    <row r="193" spans="1:10">
      <c r="A193" s="18"/>
      <c r="B193" s="26"/>
      <c r="C193" s="22"/>
      <c r="D193" s="23"/>
      <c r="E193" s="23"/>
      <c r="F193" s="23"/>
      <c r="G193" s="24"/>
      <c r="H193" s="24"/>
      <c r="I193" s="22"/>
      <c r="J193" s="25"/>
    </row>
    <row r="194" spans="1:10">
      <c r="A194" s="18"/>
      <c r="B194" s="26"/>
      <c r="C194" s="22"/>
      <c r="D194" s="23"/>
      <c r="E194" s="23"/>
      <c r="F194" s="23"/>
      <c r="G194" s="24"/>
      <c r="H194" s="24"/>
      <c r="I194" s="22"/>
      <c r="J194" s="25"/>
    </row>
    <row r="195" spans="1:10">
      <c r="A195" s="19"/>
      <c r="B195" s="27"/>
      <c r="C195" s="22"/>
      <c r="D195" s="23"/>
      <c r="E195" s="23"/>
      <c r="F195" s="23"/>
      <c r="G195" s="24"/>
      <c r="H195" s="24"/>
      <c r="I195" s="22"/>
      <c r="J195" s="25"/>
    </row>
    <row r="196" spans="1:10" ht="24">
      <c r="A196" s="30">
        <v>25</v>
      </c>
      <c r="B196" s="31" t="s">
        <v>48</v>
      </c>
      <c r="C196" s="32"/>
      <c r="D196" s="33"/>
      <c r="E196" s="33"/>
      <c r="F196" s="33"/>
      <c r="G196" s="34"/>
      <c r="H196" s="34">
        <f>SUM(G196:G203)</f>
        <v>0</v>
      </c>
      <c r="I196" s="35" t="str">
        <f>IF(H196&gt;=20,"Memenuhi","Tidak Memenuhi")</f>
        <v>Tidak Memenuhi</v>
      </c>
      <c r="J196" s="36"/>
    </row>
    <row r="197" spans="1:10">
      <c r="A197" s="18"/>
      <c r="B197" s="26"/>
      <c r="C197" s="22"/>
      <c r="D197" s="23"/>
      <c r="E197" s="23"/>
      <c r="F197" s="23"/>
      <c r="G197" s="24"/>
      <c r="H197" s="24"/>
      <c r="I197" s="22"/>
      <c r="J197" s="25"/>
    </row>
    <row r="198" spans="1:10">
      <c r="A198" s="18"/>
      <c r="B198" s="26"/>
      <c r="C198" s="22"/>
      <c r="D198" s="23"/>
      <c r="E198" s="23"/>
      <c r="F198" s="23"/>
      <c r="G198" s="24"/>
      <c r="H198" s="24"/>
      <c r="I198" s="22"/>
      <c r="J198" s="25"/>
    </row>
    <row r="199" spans="1:10">
      <c r="A199" s="18"/>
      <c r="B199" s="26"/>
      <c r="C199" s="22"/>
      <c r="D199" s="23"/>
      <c r="E199" s="23"/>
      <c r="F199" s="23"/>
      <c r="G199" s="24"/>
      <c r="H199" s="24"/>
      <c r="I199" s="22"/>
      <c r="J199" s="25"/>
    </row>
    <row r="200" spans="1:10">
      <c r="A200" s="18"/>
      <c r="B200" s="26"/>
      <c r="C200" s="22"/>
      <c r="D200" s="23"/>
      <c r="E200" s="23"/>
      <c r="F200" s="23"/>
      <c r="G200" s="24"/>
      <c r="H200" s="24"/>
      <c r="I200" s="22"/>
      <c r="J200" s="25"/>
    </row>
    <row r="201" spans="1:10">
      <c r="A201" s="18"/>
      <c r="B201" s="26"/>
      <c r="C201" s="22"/>
      <c r="D201" s="23"/>
      <c r="E201" s="23"/>
      <c r="F201" s="23"/>
      <c r="G201" s="24"/>
      <c r="H201" s="24"/>
      <c r="I201" s="22"/>
      <c r="J201" s="25"/>
    </row>
    <row r="202" spans="1:10">
      <c r="A202" s="18"/>
      <c r="B202" s="26"/>
      <c r="C202" s="22"/>
      <c r="D202" s="23"/>
      <c r="E202" s="23"/>
      <c r="F202" s="23"/>
      <c r="G202" s="24"/>
      <c r="H202" s="24"/>
      <c r="I202" s="22"/>
      <c r="J202" s="25"/>
    </row>
    <row r="203" spans="1:10">
      <c r="A203" s="19"/>
      <c r="B203" s="27"/>
      <c r="C203" s="22"/>
      <c r="D203" s="23"/>
      <c r="E203" s="23"/>
      <c r="F203" s="23"/>
      <c r="G203" s="24"/>
      <c r="H203" s="24"/>
      <c r="I203" s="22"/>
      <c r="J203" s="25"/>
    </row>
    <row r="204" spans="1:10">
      <c r="A204" s="30">
        <v>26</v>
      </c>
      <c r="B204" s="31" t="s">
        <v>50</v>
      </c>
      <c r="C204" s="32"/>
      <c r="D204" s="33"/>
      <c r="E204" s="33"/>
      <c r="F204" s="33"/>
      <c r="G204" s="34"/>
      <c r="H204" s="34">
        <f>SUM(G204:G211)</f>
        <v>0</v>
      </c>
      <c r="I204" s="35" t="str">
        <f>IF(H204&gt;=20,"Memenuhi","Tidak Memenuhi")</f>
        <v>Tidak Memenuhi</v>
      </c>
      <c r="J204" s="36"/>
    </row>
    <row r="205" spans="1:10">
      <c r="A205" s="18"/>
      <c r="B205" s="26"/>
      <c r="C205" s="22"/>
      <c r="D205" s="23"/>
      <c r="E205" s="23"/>
      <c r="F205" s="23"/>
      <c r="G205" s="24"/>
      <c r="H205" s="24"/>
      <c r="I205" s="22"/>
      <c r="J205" s="25"/>
    </row>
    <row r="206" spans="1:10">
      <c r="A206" s="18"/>
      <c r="B206" s="26"/>
      <c r="C206" s="22"/>
      <c r="D206" s="23"/>
      <c r="E206" s="23"/>
      <c r="F206" s="23"/>
      <c r="G206" s="24"/>
      <c r="H206" s="24"/>
      <c r="I206" s="22"/>
      <c r="J206" s="25"/>
    </row>
    <row r="207" spans="1:10">
      <c r="A207" s="18"/>
      <c r="B207" s="26"/>
      <c r="C207" s="22"/>
      <c r="D207" s="23"/>
      <c r="E207" s="23"/>
      <c r="F207" s="23"/>
      <c r="G207" s="24"/>
      <c r="H207" s="24"/>
      <c r="I207" s="22"/>
      <c r="J207" s="25"/>
    </row>
    <row r="208" spans="1:10">
      <c r="A208" s="18"/>
      <c r="B208" s="26"/>
      <c r="C208" s="22"/>
      <c r="D208" s="23"/>
      <c r="E208" s="23"/>
      <c r="F208" s="23"/>
      <c r="G208" s="24"/>
      <c r="H208" s="24"/>
      <c r="I208" s="22"/>
      <c r="J208" s="25"/>
    </row>
    <row r="209" spans="1:10">
      <c r="A209" s="18"/>
      <c r="B209" s="26"/>
      <c r="C209" s="22"/>
      <c r="D209" s="23"/>
      <c r="E209" s="23"/>
      <c r="F209" s="23"/>
      <c r="G209" s="24"/>
      <c r="H209" s="24"/>
      <c r="I209" s="22"/>
      <c r="J209" s="25"/>
    </row>
    <row r="210" spans="1:10">
      <c r="A210" s="18"/>
      <c r="B210" s="26"/>
      <c r="C210" s="22"/>
      <c r="D210" s="23"/>
      <c r="E210" s="23"/>
      <c r="F210" s="23"/>
      <c r="G210" s="24"/>
      <c r="H210" s="24"/>
      <c r="I210" s="22"/>
      <c r="J210" s="25"/>
    </row>
    <row r="211" spans="1:10">
      <c r="A211" s="19"/>
      <c r="B211" s="27"/>
      <c r="C211" s="22"/>
      <c r="D211" s="23"/>
      <c r="E211" s="23"/>
      <c r="F211" s="23"/>
      <c r="G211" s="24"/>
      <c r="H211" s="24"/>
      <c r="I211" s="22"/>
      <c r="J211" s="25"/>
    </row>
    <row r="212" spans="1:10" ht="24">
      <c r="A212" s="30">
        <v>27</v>
      </c>
      <c r="B212" s="31" t="s">
        <v>52</v>
      </c>
      <c r="C212" s="32"/>
      <c r="D212" s="33"/>
      <c r="E212" s="33"/>
      <c r="F212" s="33"/>
      <c r="G212" s="34"/>
      <c r="H212" s="34">
        <f>SUM(G212:G219)</f>
        <v>0</v>
      </c>
      <c r="I212" s="35" t="str">
        <f>IF(H212&gt;=20,"Memenuhi","Tidak Memenuhi")</f>
        <v>Tidak Memenuhi</v>
      </c>
      <c r="J212" s="36"/>
    </row>
    <row r="213" spans="1:10">
      <c r="A213" s="18"/>
      <c r="B213" s="26"/>
      <c r="C213" s="22"/>
      <c r="D213" s="23"/>
      <c r="E213" s="23"/>
      <c r="F213" s="23"/>
      <c r="G213" s="24"/>
      <c r="H213" s="24"/>
      <c r="I213" s="22"/>
      <c r="J213" s="25"/>
    </row>
    <row r="214" spans="1:10">
      <c r="A214" s="18"/>
      <c r="B214" s="26"/>
      <c r="C214" s="22"/>
      <c r="D214" s="23"/>
      <c r="E214" s="23"/>
      <c r="F214" s="23"/>
      <c r="G214" s="24"/>
      <c r="H214" s="24"/>
      <c r="I214" s="22"/>
      <c r="J214" s="25"/>
    </row>
    <row r="215" spans="1:10">
      <c r="A215" s="18"/>
      <c r="B215" s="26"/>
      <c r="C215" s="22"/>
      <c r="D215" s="23"/>
      <c r="E215" s="23"/>
      <c r="F215" s="23"/>
      <c r="G215" s="24"/>
      <c r="H215" s="24"/>
      <c r="I215" s="22"/>
      <c r="J215" s="25"/>
    </row>
    <row r="216" spans="1:10">
      <c r="A216" s="18"/>
      <c r="B216" s="26"/>
      <c r="C216" s="22"/>
      <c r="D216" s="23"/>
      <c r="E216" s="23"/>
      <c r="F216" s="23"/>
      <c r="G216" s="24"/>
      <c r="H216" s="24"/>
      <c r="I216" s="22"/>
      <c r="J216" s="25"/>
    </row>
    <row r="217" spans="1:10">
      <c r="A217" s="18"/>
      <c r="B217" s="26"/>
      <c r="C217" s="22"/>
      <c r="D217" s="23"/>
      <c r="E217" s="23"/>
      <c r="F217" s="23"/>
      <c r="G217" s="24"/>
      <c r="H217" s="24"/>
      <c r="I217" s="22"/>
      <c r="J217" s="25"/>
    </row>
    <row r="218" spans="1:10">
      <c r="A218" s="18"/>
      <c r="B218" s="26"/>
      <c r="C218" s="22"/>
      <c r="D218" s="23"/>
      <c r="E218" s="23"/>
      <c r="F218" s="23"/>
      <c r="G218" s="24"/>
      <c r="H218" s="24"/>
      <c r="I218" s="22"/>
      <c r="J218" s="25"/>
    </row>
    <row r="219" spans="1:10">
      <c r="A219" s="19"/>
      <c r="B219" s="27"/>
      <c r="C219" s="22"/>
      <c r="D219" s="23"/>
      <c r="E219" s="23"/>
      <c r="F219" s="23"/>
      <c r="G219" s="24"/>
      <c r="H219" s="24"/>
      <c r="I219" s="22"/>
      <c r="J219" s="25"/>
    </row>
    <row r="220" spans="1:10" ht="24">
      <c r="A220" s="30">
        <v>28</v>
      </c>
      <c r="B220" s="31" t="s">
        <v>54</v>
      </c>
      <c r="C220" s="32"/>
      <c r="D220" s="33"/>
      <c r="E220" s="33"/>
      <c r="F220" s="33"/>
      <c r="G220" s="34"/>
      <c r="H220" s="34">
        <f>SUM(G220:G227)</f>
        <v>0</v>
      </c>
      <c r="I220" s="35" t="str">
        <f>IF(H220&gt;=20,"Memenuhi","Tidak Memenuhi")</f>
        <v>Tidak Memenuhi</v>
      </c>
      <c r="J220" s="36"/>
    </row>
    <row r="221" spans="1:10">
      <c r="A221" s="18"/>
      <c r="B221" s="26"/>
      <c r="C221" s="22"/>
      <c r="D221" s="23"/>
      <c r="E221" s="23"/>
      <c r="F221" s="23"/>
      <c r="G221" s="24"/>
      <c r="H221" s="24"/>
      <c r="I221" s="22"/>
      <c r="J221" s="25"/>
    </row>
    <row r="222" spans="1:10">
      <c r="A222" s="18"/>
      <c r="B222" s="26"/>
      <c r="C222" s="22"/>
      <c r="D222" s="23"/>
      <c r="E222" s="23"/>
      <c r="F222" s="23"/>
      <c r="G222" s="24"/>
      <c r="H222" s="24"/>
      <c r="I222" s="22"/>
      <c r="J222" s="25"/>
    </row>
    <row r="223" spans="1:10">
      <c r="A223" s="18"/>
      <c r="B223" s="26"/>
      <c r="C223" s="22"/>
      <c r="D223" s="23"/>
      <c r="E223" s="23"/>
      <c r="F223" s="23"/>
      <c r="G223" s="24"/>
      <c r="H223" s="24"/>
      <c r="I223" s="22"/>
      <c r="J223" s="25"/>
    </row>
    <row r="224" spans="1:10">
      <c r="A224" s="18"/>
      <c r="B224" s="26"/>
      <c r="C224" s="22"/>
      <c r="D224" s="23"/>
      <c r="E224" s="23"/>
      <c r="F224" s="23"/>
      <c r="G224" s="24"/>
      <c r="H224" s="24"/>
      <c r="I224" s="22"/>
      <c r="J224" s="25"/>
    </row>
    <row r="225" spans="1:10">
      <c r="A225" s="18"/>
      <c r="B225" s="26"/>
      <c r="C225" s="22"/>
      <c r="D225" s="23"/>
      <c r="E225" s="23"/>
      <c r="F225" s="23"/>
      <c r="G225" s="24"/>
      <c r="H225" s="24"/>
      <c r="I225" s="22"/>
      <c r="J225" s="25"/>
    </row>
    <row r="226" spans="1:10">
      <c r="A226" s="18"/>
      <c r="B226" s="26"/>
      <c r="C226" s="22"/>
      <c r="D226" s="23"/>
      <c r="E226" s="23"/>
      <c r="F226" s="23"/>
      <c r="G226" s="24"/>
      <c r="H226" s="24"/>
      <c r="I226" s="22"/>
      <c r="J226" s="25"/>
    </row>
    <row r="227" spans="1:10">
      <c r="A227" s="19"/>
      <c r="B227" s="27"/>
      <c r="C227" s="22"/>
      <c r="D227" s="23"/>
      <c r="E227" s="23"/>
      <c r="F227" s="23"/>
      <c r="G227" s="24"/>
      <c r="H227" s="24"/>
      <c r="I227" s="22"/>
      <c r="J227" s="25"/>
    </row>
    <row r="228" spans="1:10">
      <c r="A228" s="30">
        <v>29</v>
      </c>
      <c r="B228" s="31" t="s">
        <v>56</v>
      </c>
      <c r="C228" s="32"/>
      <c r="D228" s="33"/>
      <c r="E228" s="33"/>
      <c r="F228" s="33"/>
      <c r="G228" s="34"/>
      <c r="H228" s="34">
        <f>SUM(G228:G235)</f>
        <v>0</v>
      </c>
      <c r="I228" s="35" t="str">
        <f>IF(H228&gt;=20,"Memenuhi","Tidak Memenuhi")</f>
        <v>Tidak Memenuhi</v>
      </c>
      <c r="J228" s="36"/>
    </row>
    <row r="229" spans="1:10">
      <c r="A229" s="18"/>
      <c r="B229" s="26"/>
      <c r="C229" s="22"/>
      <c r="D229" s="23"/>
      <c r="E229" s="23"/>
      <c r="F229" s="23"/>
      <c r="G229" s="24"/>
      <c r="H229" s="24"/>
      <c r="I229" s="22"/>
      <c r="J229" s="25"/>
    </row>
    <row r="230" spans="1:10">
      <c r="A230" s="18"/>
      <c r="B230" s="26"/>
      <c r="C230" s="22"/>
      <c r="D230" s="23"/>
      <c r="E230" s="23"/>
      <c r="F230" s="23"/>
      <c r="G230" s="24"/>
      <c r="H230" s="24"/>
      <c r="I230" s="22"/>
      <c r="J230" s="25"/>
    </row>
    <row r="231" spans="1:10">
      <c r="A231" s="18"/>
      <c r="B231" s="26"/>
      <c r="C231" s="22"/>
      <c r="D231" s="23"/>
      <c r="E231" s="23"/>
      <c r="F231" s="23"/>
      <c r="G231" s="24"/>
      <c r="H231" s="24"/>
      <c r="I231" s="22"/>
      <c r="J231" s="25"/>
    </row>
    <row r="232" spans="1:10">
      <c r="A232" s="18"/>
      <c r="B232" s="26"/>
      <c r="C232" s="22"/>
      <c r="D232" s="23"/>
      <c r="E232" s="23"/>
      <c r="F232" s="23"/>
      <c r="G232" s="24"/>
      <c r="H232" s="24"/>
      <c r="I232" s="22"/>
      <c r="J232" s="25"/>
    </row>
    <row r="233" spans="1:10">
      <c r="A233" s="18"/>
      <c r="B233" s="26"/>
      <c r="C233" s="22"/>
      <c r="D233" s="23"/>
      <c r="E233" s="23"/>
      <c r="F233" s="23"/>
      <c r="G233" s="24"/>
      <c r="H233" s="24"/>
      <c r="I233" s="22"/>
      <c r="J233" s="25"/>
    </row>
    <row r="234" spans="1:10">
      <c r="A234" s="18"/>
      <c r="B234" s="26"/>
      <c r="C234" s="22"/>
      <c r="D234" s="23"/>
      <c r="E234" s="23"/>
      <c r="F234" s="23"/>
      <c r="G234" s="24"/>
      <c r="H234" s="24"/>
      <c r="I234" s="22"/>
      <c r="J234" s="25"/>
    </row>
    <row r="235" spans="1:10">
      <c r="A235" s="19"/>
      <c r="B235" s="27"/>
      <c r="C235" s="22"/>
      <c r="D235" s="23"/>
      <c r="E235" s="23"/>
      <c r="F235" s="23"/>
      <c r="G235" s="24"/>
      <c r="H235" s="24"/>
      <c r="I235" s="22"/>
      <c r="J235" s="25"/>
    </row>
    <row r="236" spans="1:10">
      <c r="A236" s="30">
        <v>30</v>
      </c>
      <c r="B236" s="31" t="s">
        <v>58</v>
      </c>
      <c r="C236" s="32"/>
      <c r="D236" s="33"/>
      <c r="E236" s="33"/>
      <c r="F236" s="33"/>
      <c r="G236" s="34"/>
      <c r="H236" s="34">
        <f>SUM(G236:G243)</f>
        <v>0</v>
      </c>
      <c r="I236" s="35" t="str">
        <f>IF(H236&gt;=20,"Memenuhi","Tidak Memenuhi")</f>
        <v>Tidak Memenuhi</v>
      </c>
      <c r="J236" s="36"/>
    </row>
    <row r="237" spans="1:10">
      <c r="A237" s="18"/>
      <c r="B237" s="26"/>
      <c r="C237" s="22"/>
      <c r="D237" s="23"/>
      <c r="E237" s="23"/>
      <c r="F237" s="23"/>
      <c r="G237" s="24"/>
      <c r="H237" s="24"/>
      <c r="I237" s="22"/>
      <c r="J237" s="25"/>
    </row>
    <row r="238" spans="1:10">
      <c r="A238" s="18"/>
      <c r="B238" s="26"/>
      <c r="C238" s="22"/>
      <c r="D238" s="23"/>
      <c r="E238" s="23"/>
      <c r="F238" s="23"/>
      <c r="G238" s="24"/>
      <c r="H238" s="24"/>
      <c r="I238" s="22"/>
      <c r="J238" s="25"/>
    </row>
    <row r="239" spans="1:10">
      <c r="A239" s="18"/>
      <c r="B239" s="26"/>
      <c r="C239" s="22"/>
      <c r="D239" s="23"/>
      <c r="E239" s="23"/>
      <c r="F239" s="23"/>
      <c r="G239" s="24"/>
      <c r="H239" s="24"/>
      <c r="I239" s="22"/>
      <c r="J239" s="25"/>
    </row>
    <row r="240" spans="1:10">
      <c r="A240" s="18"/>
      <c r="B240" s="26"/>
      <c r="C240" s="22"/>
      <c r="D240" s="23"/>
      <c r="E240" s="23"/>
      <c r="F240" s="23"/>
      <c r="G240" s="24"/>
      <c r="H240" s="24"/>
      <c r="I240" s="22"/>
      <c r="J240" s="25"/>
    </row>
    <row r="241" spans="1:10">
      <c r="A241" s="18"/>
      <c r="B241" s="26"/>
      <c r="C241" s="22"/>
      <c r="D241" s="23"/>
      <c r="E241" s="23"/>
      <c r="F241" s="23"/>
      <c r="G241" s="24"/>
      <c r="H241" s="24"/>
      <c r="I241" s="22"/>
      <c r="J241" s="25"/>
    </row>
    <row r="242" spans="1:10">
      <c r="A242" s="18"/>
      <c r="B242" s="26"/>
      <c r="C242" s="22"/>
      <c r="D242" s="23"/>
      <c r="E242" s="23"/>
      <c r="F242" s="23"/>
      <c r="G242" s="24"/>
      <c r="H242" s="24"/>
      <c r="I242" s="22"/>
      <c r="J242" s="25"/>
    </row>
    <row r="243" spans="1:10">
      <c r="A243" s="19"/>
      <c r="B243" s="27"/>
      <c r="C243" s="22"/>
      <c r="D243" s="23"/>
      <c r="E243" s="23"/>
      <c r="F243" s="23"/>
      <c r="G243" s="24"/>
      <c r="H243" s="24"/>
      <c r="I243" s="22"/>
      <c r="J243" s="25"/>
    </row>
    <row r="244" spans="1:10">
      <c r="A244" s="30">
        <v>31</v>
      </c>
      <c r="B244" s="31" t="s">
        <v>259</v>
      </c>
      <c r="C244" s="32"/>
      <c r="D244" s="33"/>
      <c r="E244" s="33"/>
      <c r="F244" s="33"/>
      <c r="G244" s="34"/>
      <c r="H244" s="34">
        <f>SUM(G244:G251)</f>
        <v>0</v>
      </c>
      <c r="I244" s="35" t="str">
        <f>IF(H244&gt;=20,"Memenuhi","Tidak Memenuhi")</f>
        <v>Tidak Memenuhi</v>
      </c>
      <c r="J244" s="36"/>
    </row>
    <row r="245" spans="1:10">
      <c r="A245" s="18"/>
      <c r="B245" s="26"/>
      <c r="C245" s="22"/>
      <c r="D245" s="23"/>
      <c r="E245" s="23"/>
      <c r="F245" s="23"/>
      <c r="G245" s="24"/>
      <c r="H245" s="24"/>
      <c r="I245" s="22"/>
      <c r="J245" s="25"/>
    </row>
    <row r="246" spans="1:10">
      <c r="A246" s="18"/>
      <c r="B246" s="26"/>
      <c r="C246" s="22"/>
      <c r="D246" s="23"/>
      <c r="E246" s="23"/>
      <c r="F246" s="23"/>
      <c r="G246" s="24"/>
      <c r="H246" s="24"/>
      <c r="I246" s="22"/>
      <c r="J246" s="25"/>
    </row>
    <row r="247" spans="1:10">
      <c r="A247" s="18"/>
      <c r="B247" s="26"/>
      <c r="C247" s="22"/>
      <c r="D247" s="23"/>
      <c r="E247" s="23"/>
      <c r="F247" s="23"/>
      <c r="G247" s="24"/>
      <c r="H247" s="24"/>
      <c r="I247" s="22"/>
      <c r="J247" s="25"/>
    </row>
    <row r="248" spans="1:10">
      <c r="A248" s="18"/>
      <c r="B248" s="26"/>
      <c r="C248" s="22"/>
      <c r="D248" s="23"/>
      <c r="E248" s="23"/>
      <c r="F248" s="23"/>
      <c r="G248" s="24"/>
      <c r="H248" s="24"/>
      <c r="I248" s="22"/>
      <c r="J248" s="25"/>
    </row>
    <row r="249" spans="1:10">
      <c r="A249" s="18"/>
      <c r="B249" s="26"/>
      <c r="C249" s="22"/>
      <c r="D249" s="23"/>
      <c r="E249" s="23"/>
      <c r="F249" s="23"/>
      <c r="G249" s="24"/>
      <c r="H249" s="24"/>
      <c r="I249" s="22"/>
      <c r="J249" s="25"/>
    </row>
    <row r="250" spans="1:10">
      <c r="A250" s="18"/>
      <c r="B250" s="26"/>
      <c r="C250" s="22"/>
      <c r="D250" s="23"/>
      <c r="E250" s="23"/>
      <c r="F250" s="23"/>
      <c r="G250" s="24"/>
      <c r="H250" s="24"/>
      <c r="I250" s="22"/>
      <c r="J250" s="25"/>
    </row>
    <row r="251" spans="1:10">
      <c r="A251" s="19"/>
      <c r="B251" s="27"/>
      <c r="C251" s="22"/>
      <c r="D251" s="23"/>
      <c r="E251" s="23"/>
      <c r="F251" s="23"/>
      <c r="G251" s="24"/>
      <c r="H251" s="24"/>
      <c r="I251" s="22"/>
      <c r="J251" s="25"/>
    </row>
    <row r="252" spans="1:10">
      <c r="A252" s="30">
        <v>32</v>
      </c>
      <c r="B252" s="31" t="s">
        <v>268</v>
      </c>
      <c r="C252" s="32"/>
      <c r="D252" s="33"/>
      <c r="E252" s="33"/>
      <c r="F252" s="33"/>
      <c r="G252" s="34"/>
      <c r="H252" s="34">
        <f>SUM(G252:G259)</f>
        <v>0</v>
      </c>
      <c r="I252" s="35" t="str">
        <f>IF(H252&gt;=20,"Memenuhi","Tidak Memenuhi")</f>
        <v>Tidak Memenuhi</v>
      </c>
      <c r="J252" s="36"/>
    </row>
    <row r="253" spans="1:10">
      <c r="A253" s="18"/>
      <c r="B253" s="26"/>
      <c r="C253" s="22"/>
      <c r="D253" s="23"/>
      <c r="E253" s="23"/>
      <c r="F253" s="23"/>
      <c r="G253" s="24"/>
      <c r="H253" s="24"/>
      <c r="I253" s="22"/>
      <c r="J253" s="25"/>
    </row>
    <row r="254" spans="1:10">
      <c r="A254" s="18"/>
      <c r="B254" s="26"/>
      <c r="C254" s="22"/>
      <c r="D254" s="23"/>
      <c r="E254" s="23"/>
      <c r="F254" s="23"/>
      <c r="G254" s="24"/>
      <c r="H254" s="24"/>
      <c r="I254" s="22"/>
      <c r="J254" s="25"/>
    </row>
    <row r="255" spans="1:10">
      <c r="A255" s="18"/>
      <c r="B255" s="26"/>
      <c r="C255" s="22"/>
      <c r="D255" s="23"/>
      <c r="E255" s="23"/>
      <c r="F255" s="23"/>
      <c r="G255" s="24"/>
      <c r="H255" s="24"/>
      <c r="I255" s="22"/>
      <c r="J255" s="25"/>
    </row>
    <row r="256" spans="1:10">
      <c r="A256" s="18"/>
      <c r="B256" s="26"/>
      <c r="C256" s="22"/>
      <c r="D256" s="23"/>
      <c r="E256" s="23"/>
      <c r="F256" s="23"/>
      <c r="G256" s="24"/>
      <c r="H256" s="24"/>
      <c r="I256" s="22"/>
      <c r="J256" s="25"/>
    </row>
    <row r="257" spans="1:10">
      <c r="A257" s="18"/>
      <c r="B257" s="26"/>
      <c r="C257" s="22"/>
      <c r="D257" s="23"/>
      <c r="E257" s="23"/>
      <c r="F257" s="23"/>
      <c r="G257" s="24"/>
      <c r="H257" s="24"/>
      <c r="I257" s="22"/>
      <c r="J257" s="25"/>
    </row>
    <row r="258" spans="1:10">
      <c r="A258" s="18"/>
      <c r="B258" s="26"/>
      <c r="C258" s="22"/>
      <c r="D258" s="23"/>
      <c r="E258" s="23"/>
      <c r="F258" s="23"/>
      <c r="G258" s="24"/>
      <c r="H258" s="24"/>
      <c r="I258" s="22"/>
      <c r="J258" s="25"/>
    </row>
    <row r="259" spans="1:10">
      <c r="A259" s="19"/>
      <c r="B259" s="27"/>
      <c r="C259" s="22"/>
      <c r="D259" s="23"/>
      <c r="E259" s="23"/>
      <c r="F259" s="23"/>
      <c r="G259" s="24"/>
      <c r="H259" s="24"/>
      <c r="I259" s="22"/>
      <c r="J259" s="25"/>
    </row>
    <row r="260" spans="1:10">
      <c r="A260" s="30">
        <v>33</v>
      </c>
      <c r="B260" s="31" t="s">
        <v>279</v>
      </c>
      <c r="C260" s="32"/>
      <c r="D260" s="33"/>
      <c r="E260" s="33"/>
      <c r="F260" s="33"/>
      <c r="G260" s="34"/>
      <c r="H260" s="34">
        <f>SUM(G260:G267)</f>
        <v>0</v>
      </c>
      <c r="I260" s="35" t="str">
        <f>IF(H260&gt;=20,"Memenuhi","Tidak Memenuhi")</f>
        <v>Tidak Memenuhi</v>
      </c>
      <c r="J260" s="36"/>
    </row>
    <row r="261" spans="1:10">
      <c r="A261" s="18"/>
      <c r="B261" s="26"/>
      <c r="C261" s="22"/>
      <c r="D261" s="23"/>
      <c r="E261" s="23"/>
      <c r="F261" s="23"/>
      <c r="G261" s="24"/>
      <c r="H261" s="24"/>
      <c r="I261" s="22"/>
      <c r="J261" s="25"/>
    </row>
    <row r="262" spans="1:10">
      <c r="A262" s="18"/>
      <c r="B262" s="26"/>
      <c r="C262" s="22"/>
      <c r="D262" s="23"/>
      <c r="E262" s="23"/>
      <c r="F262" s="23"/>
      <c r="G262" s="24"/>
      <c r="H262" s="24"/>
      <c r="I262" s="22"/>
      <c r="J262" s="25"/>
    </row>
    <row r="263" spans="1:10">
      <c r="A263" s="18"/>
      <c r="B263" s="26"/>
      <c r="C263" s="22"/>
      <c r="D263" s="23"/>
      <c r="E263" s="23"/>
      <c r="F263" s="23"/>
      <c r="G263" s="24"/>
      <c r="H263" s="24"/>
      <c r="I263" s="22"/>
      <c r="J263" s="25"/>
    </row>
    <row r="264" spans="1:10">
      <c r="A264" s="18"/>
      <c r="B264" s="26"/>
      <c r="C264" s="22"/>
      <c r="D264" s="23"/>
      <c r="E264" s="23"/>
      <c r="F264" s="23"/>
      <c r="G264" s="24"/>
      <c r="H264" s="24"/>
      <c r="I264" s="22"/>
      <c r="J264" s="25"/>
    </row>
    <row r="265" spans="1:10">
      <c r="A265" s="18"/>
      <c r="B265" s="26"/>
      <c r="C265" s="22"/>
      <c r="D265" s="23"/>
      <c r="E265" s="23"/>
      <c r="F265" s="23"/>
      <c r="G265" s="24"/>
      <c r="H265" s="24"/>
      <c r="I265" s="22"/>
      <c r="J265" s="25"/>
    </row>
    <row r="266" spans="1:10">
      <c r="A266" s="18"/>
      <c r="B266" s="26"/>
      <c r="C266" s="22"/>
      <c r="D266" s="23"/>
      <c r="E266" s="23"/>
      <c r="F266" s="23"/>
      <c r="G266" s="24"/>
      <c r="H266" s="24"/>
      <c r="I266" s="22"/>
      <c r="J266" s="25"/>
    </row>
    <row r="267" spans="1:10">
      <c r="A267" s="19"/>
      <c r="B267" s="27"/>
      <c r="C267" s="22"/>
      <c r="D267" s="23"/>
      <c r="E267" s="23"/>
      <c r="F267" s="23"/>
      <c r="G267" s="24"/>
      <c r="H267" s="24"/>
      <c r="I267" s="22"/>
      <c r="J267" s="25"/>
    </row>
    <row r="268" spans="1:10" ht="24">
      <c r="A268" s="30">
        <v>34</v>
      </c>
      <c r="B268" s="31" t="s">
        <v>286</v>
      </c>
      <c r="C268" s="32"/>
      <c r="D268" s="33"/>
      <c r="E268" s="33"/>
      <c r="F268" s="33"/>
      <c r="G268" s="34"/>
      <c r="H268" s="34">
        <f>SUM(G268:G275)</f>
        <v>0</v>
      </c>
      <c r="I268" s="35" t="str">
        <f>IF(H268&gt;=20,"Memenuhi","Tidak Memenuhi")</f>
        <v>Tidak Memenuhi</v>
      </c>
      <c r="J268" s="36"/>
    </row>
    <row r="269" spans="1:10">
      <c r="A269" s="18"/>
      <c r="B269" s="26"/>
      <c r="C269" s="22"/>
      <c r="D269" s="23"/>
      <c r="E269" s="23"/>
      <c r="F269" s="23"/>
      <c r="G269" s="24"/>
      <c r="H269" s="24"/>
      <c r="I269" s="22"/>
      <c r="J269" s="25"/>
    </row>
    <row r="270" spans="1:10">
      <c r="A270" s="18"/>
      <c r="B270" s="26"/>
      <c r="C270" s="22"/>
      <c r="D270" s="23"/>
      <c r="E270" s="23"/>
      <c r="F270" s="23"/>
      <c r="G270" s="24"/>
      <c r="H270" s="24"/>
      <c r="I270" s="22"/>
      <c r="J270" s="25"/>
    </row>
    <row r="271" spans="1:10">
      <c r="A271" s="18"/>
      <c r="B271" s="26"/>
      <c r="C271" s="22"/>
      <c r="D271" s="23"/>
      <c r="E271" s="23"/>
      <c r="F271" s="23"/>
      <c r="G271" s="24"/>
      <c r="H271" s="24"/>
      <c r="I271" s="22"/>
      <c r="J271" s="25"/>
    </row>
    <row r="272" spans="1:10">
      <c r="A272" s="18"/>
      <c r="B272" s="26"/>
      <c r="C272" s="22"/>
      <c r="D272" s="23"/>
      <c r="E272" s="23"/>
      <c r="F272" s="23"/>
      <c r="G272" s="24"/>
      <c r="H272" s="24"/>
      <c r="I272" s="22"/>
      <c r="J272" s="25"/>
    </row>
    <row r="273" spans="1:10">
      <c r="A273" s="18"/>
      <c r="B273" s="26"/>
      <c r="C273" s="22"/>
      <c r="D273" s="23"/>
      <c r="E273" s="23"/>
      <c r="F273" s="23"/>
      <c r="G273" s="24"/>
      <c r="H273" s="24"/>
      <c r="I273" s="22"/>
      <c r="J273" s="25"/>
    </row>
    <row r="274" spans="1:10">
      <c r="A274" s="18"/>
      <c r="B274" s="26"/>
      <c r="C274" s="22"/>
      <c r="D274" s="23"/>
      <c r="E274" s="23"/>
      <c r="F274" s="23"/>
      <c r="G274" s="24"/>
      <c r="H274" s="24"/>
      <c r="I274" s="22"/>
      <c r="J274" s="25"/>
    </row>
    <row r="275" spans="1:10">
      <c r="A275" s="19"/>
      <c r="B275" s="27"/>
      <c r="C275" s="22"/>
      <c r="D275" s="23"/>
      <c r="E275" s="23"/>
      <c r="F275" s="23"/>
      <c r="G275" s="24"/>
      <c r="H275" s="24"/>
      <c r="I275" s="22"/>
      <c r="J275" s="25"/>
    </row>
    <row r="276" spans="1:10">
      <c r="A276" s="30">
        <v>35</v>
      </c>
      <c r="B276" s="31" t="s">
        <v>328</v>
      </c>
      <c r="C276" s="32"/>
      <c r="D276" s="33"/>
      <c r="E276" s="33"/>
      <c r="F276" s="33"/>
      <c r="G276" s="34"/>
      <c r="H276" s="34">
        <f>SUM(G276:G283)</f>
        <v>0</v>
      </c>
      <c r="I276" s="35" t="str">
        <f>IF(H276&gt;=20,"Memenuhi","Tidak Memenuhi")</f>
        <v>Tidak Memenuhi</v>
      </c>
      <c r="J276" s="36"/>
    </row>
    <row r="277" spans="1:10">
      <c r="A277" s="18"/>
      <c r="B277" s="26"/>
      <c r="C277" s="22"/>
      <c r="D277" s="23"/>
      <c r="E277" s="23"/>
      <c r="F277" s="23"/>
      <c r="G277" s="24"/>
      <c r="H277" s="24"/>
      <c r="I277" s="22"/>
      <c r="J277" s="25"/>
    </row>
    <row r="278" spans="1:10">
      <c r="A278" s="18"/>
      <c r="B278" s="26"/>
      <c r="C278" s="22"/>
      <c r="D278" s="23"/>
      <c r="E278" s="23"/>
      <c r="F278" s="23"/>
      <c r="G278" s="24"/>
      <c r="H278" s="24"/>
      <c r="I278" s="22"/>
      <c r="J278" s="25"/>
    </row>
    <row r="279" spans="1:10">
      <c r="A279" s="18"/>
      <c r="B279" s="26"/>
      <c r="C279" s="22"/>
      <c r="D279" s="23"/>
      <c r="E279" s="23"/>
      <c r="F279" s="23"/>
      <c r="G279" s="24"/>
      <c r="H279" s="24"/>
      <c r="I279" s="22"/>
      <c r="J279" s="25"/>
    </row>
    <row r="280" spans="1:10">
      <c r="A280" s="18"/>
      <c r="B280" s="26"/>
      <c r="C280" s="22"/>
      <c r="D280" s="23"/>
      <c r="E280" s="23"/>
      <c r="F280" s="23"/>
      <c r="G280" s="24"/>
      <c r="H280" s="24"/>
      <c r="I280" s="22"/>
      <c r="J280" s="25"/>
    </row>
    <row r="281" spans="1:10">
      <c r="A281" s="18"/>
      <c r="B281" s="26"/>
      <c r="C281" s="22"/>
      <c r="D281" s="23"/>
      <c r="E281" s="23"/>
      <c r="F281" s="23"/>
      <c r="G281" s="24"/>
      <c r="H281" s="24"/>
      <c r="I281" s="22"/>
      <c r="J281" s="25"/>
    </row>
    <row r="282" spans="1:10">
      <c r="A282" s="18"/>
      <c r="B282" s="26"/>
      <c r="C282" s="22"/>
      <c r="D282" s="23"/>
      <c r="E282" s="23"/>
      <c r="F282" s="23"/>
      <c r="G282" s="24"/>
      <c r="H282" s="24"/>
      <c r="I282" s="22"/>
      <c r="J282" s="25"/>
    </row>
    <row r="283" spans="1:10">
      <c r="A283" s="19"/>
      <c r="B283" s="27"/>
      <c r="C283" s="22"/>
      <c r="D283" s="23"/>
      <c r="E283" s="23"/>
      <c r="F283" s="23"/>
      <c r="G283" s="24"/>
      <c r="H283" s="24"/>
      <c r="I283" s="22"/>
      <c r="J283" s="25"/>
    </row>
    <row r="284" spans="1:10">
      <c r="A284" s="30">
        <v>36</v>
      </c>
      <c r="B284" s="31" t="s">
        <v>982</v>
      </c>
      <c r="C284" s="32"/>
      <c r="D284" s="33"/>
      <c r="E284" s="33"/>
      <c r="F284" s="33"/>
      <c r="G284" s="34"/>
      <c r="H284" s="34">
        <f>SUM(G284:G291)</f>
        <v>0</v>
      </c>
      <c r="I284" s="35" t="str">
        <f>IF(H284&gt;=20,"Memenuhi","Tidak Memenuhi")</f>
        <v>Tidak Memenuhi</v>
      </c>
      <c r="J284" s="36"/>
    </row>
    <row r="285" spans="1:10">
      <c r="A285" s="18"/>
      <c r="B285" s="26"/>
      <c r="C285" s="22"/>
      <c r="D285" s="23"/>
      <c r="E285" s="23"/>
      <c r="F285" s="23"/>
      <c r="G285" s="24"/>
      <c r="H285" s="24"/>
      <c r="I285" s="22"/>
      <c r="J285" s="25"/>
    </row>
    <row r="286" spans="1:10">
      <c r="A286" s="18"/>
      <c r="B286" s="26"/>
      <c r="C286" s="22"/>
      <c r="D286" s="23"/>
      <c r="E286" s="23"/>
      <c r="F286" s="23"/>
      <c r="G286" s="24"/>
      <c r="H286" s="24"/>
      <c r="I286" s="22"/>
      <c r="J286" s="25"/>
    </row>
    <row r="287" spans="1:10">
      <c r="A287" s="18"/>
      <c r="B287" s="26"/>
      <c r="C287" s="22"/>
      <c r="D287" s="23"/>
      <c r="E287" s="23"/>
      <c r="F287" s="23"/>
      <c r="G287" s="24"/>
      <c r="H287" s="24"/>
      <c r="I287" s="22"/>
      <c r="J287" s="25"/>
    </row>
    <row r="288" spans="1:10">
      <c r="A288" s="18"/>
      <c r="B288" s="26"/>
      <c r="C288" s="22"/>
      <c r="D288" s="23"/>
      <c r="E288" s="23"/>
      <c r="F288" s="23"/>
      <c r="G288" s="24"/>
      <c r="H288" s="24"/>
      <c r="I288" s="22"/>
      <c r="J288" s="25"/>
    </row>
    <row r="289" spans="1:10">
      <c r="A289" s="18"/>
      <c r="B289" s="26"/>
      <c r="C289" s="22"/>
      <c r="D289" s="23"/>
      <c r="E289" s="23"/>
      <c r="F289" s="23"/>
      <c r="G289" s="24"/>
      <c r="H289" s="24"/>
      <c r="I289" s="22"/>
      <c r="J289" s="25"/>
    </row>
    <row r="290" spans="1:10">
      <c r="A290" s="18"/>
      <c r="B290" s="26"/>
      <c r="C290" s="22"/>
      <c r="D290" s="23"/>
      <c r="E290" s="23"/>
      <c r="F290" s="23"/>
      <c r="G290" s="24"/>
      <c r="H290" s="24"/>
      <c r="I290" s="22"/>
      <c r="J290" s="25"/>
    </row>
    <row r="291" spans="1:10">
      <c r="A291" s="19"/>
      <c r="B291" s="27"/>
      <c r="C291" s="22"/>
      <c r="D291" s="23"/>
      <c r="E291" s="23"/>
      <c r="F291" s="23"/>
      <c r="G291" s="24"/>
      <c r="H291" s="24"/>
      <c r="I291" s="22"/>
      <c r="J291" s="25"/>
    </row>
    <row r="292" spans="1:10" ht="24">
      <c r="A292" s="30">
        <v>37</v>
      </c>
      <c r="B292" s="31" t="s">
        <v>1002</v>
      </c>
      <c r="C292" s="32"/>
      <c r="D292" s="33"/>
      <c r="E292" s="33"/>
      <c r="F292" s="33"/>
      <c r="G292" s="34"/>
      <c r="H292" s="34">
        <f>SUM(G292:G299)</f>
        <v>0</v>
      </c>
      <c r="I292" s="35" t="str">
        <f>IF(H292&gt;=20,"Memenuhi","Tidak Memenuhi")</f>
        <v>Tidak Memenuhi</v>
      </c>
      <c r="J292" s="36"/>
    </row>
    <row r="293" spans="1:10">
      <c r="A293" s="18"/>
      <c r="B293" s="26"/>
      <c r="C293" s="22"/>
      <c r="D293" s="23"/>
      <c r="E293" s="23"/>
      <c r="F293" s="23"/>
      <c r="G293" s="24"/>
      <c r="H293" s="24"/>
      <c r="I293" s="22"/>
      <c r="J293" s="25"/>
    </row>
    <row r="294" spans="1:10">
      <c r="A294" s="18"/>
      <c r="B294" s="26"/>
      <c r="C294" s="22"/>
      <c r="D294" s="23"/>
      <c r="E294" s="23"/>
      <c r="F294" s="23"/>
      <c r="G294" s="24"/>
      <c r="H294" s="24"/>
      <c r="I294" s="22"/>
      <c r="J294" s="25"/>
    </row>
    <row r="295" spans="1:10">
      <c r="A295" s="18"/>
      <c r="B295" s="26"/>
      <c r="C295" s="22"/>
      <c r="D295" s="23"/>
      <c r="E295" s="23"/>
      <c r="F295" s="23"/>
      <c r="G295" s="24"/>
      <c r="H295" s="24"/>
      <c r="I295" s="22"/>
      <c r="J295" s="25"/>
    </row>
    <row r="296" spans="1:10">
      <c r="A296" s="18"/>
      <c r="B296" s="26"/>
      <c r="C296" s="22"/>
      <c r="D296" s="23"/>
      <c r="E296" s="23"/>
      <c r="F296" s="23"/>
      <c r="G296" s="24"/>
      <c r="H296" s="24"/>
      <c r="I296" s="22"/>
      <c r="J296" s="25"/>
    </row>
    <row r="297" spans="1:10">
      <c r="A297" s="18"/>
      <c r="B297" s="26"/>
      <c r="C297" s="22"/>
      <c r="D297" s="23"/>
      <c r="E297" s="23"/>
      <c r="F297" s="23"/>
      <c r="G297" s="24"/>
      <c r="H297" s="24"/>
      <c r="I297" s="22"/>
      <c r="J297" s="25"/>
    </row>
    <row r="298" spans="1:10">
      <c r="A298" s="18"/>
      <c r="B298" s="26"/>
      <c r="C298" s="22"/>
      <c r="D298" s="23"/>
      <c r="E298" s="23"/>
      <c r="F298" s="23"/>
      <c r="G298" s="24"/>
      <c r="H298" s="24"/>
      <c r="I298" s="22"/>
      <c r="J298" s="25"/>
    </row>
    <row r="299" spans="1:10">
      <c r="A299" s="19"/>
      <c r="B299" s="27"/>
      <c r="C299" s="22"/>
      <c r="D299" s="23"/>
      <c r="E299" s="23"/>
      <c r="F299" s="23"/>
      <c r="G299" s="24"/>
      <c r="H299" s="24"/>
      <c r="I299" s="22"/>
      <c r="J299" s="25"/>
    </row>
    <row r="300" spans="1:10" ht="24">
      <c r="A300" s="30">
        <v>38</v>
      </c>
      <c r="B300" s="31" t="s">
        <v>1016</v>
      </c>
      <c r="C300" s="32"/>
      <c r="D300" s="33"/>
      <c r="E300" s="33"/>
      <c r="F300" s="33"/>
      <c r="G300" s="34"/>
      <c r="H300" s="34">
        <f>SUM(G300:G307)</f>
        <v>0</v>
      </c>
      <c r="I300" s="35" t="str">
        <f>IF(H300&gt;=20,"Memenuhi","Tidak Memenuhi")</f>
        <v>Tidak Memenuhi</v>
      </c>
      <c r="J300" s="36"/>
    </row>
    <row r="301" spans="1:10">
      <c r="A301" s="18"/>
      <c r="B301" s="26"/>
      <c r="C301" s="22"/>
      <c r="D301" s="23"/>
      <c r="E301" s="23"/>
      <c r="F301" s="23"/>
      <c r="G301" s="24"/>
      <c r="H301" s="24"/>
      <c r="I301" s="22"/>
      <c r="J301" s="25"/>
    </row>
    <row r="302" spans="1:10">
      <c r="A302" s="18"/>
      <c r="B302" s="26"/>
      <c r="C302" s="22"/>
      <c r="D302" s="23"/>
      <c r="E302" s="23"/>
      <c r="F302" s="23"/>
      <c r="G302" s="24"/>
      <c r="H302" s="24"/>
      <c r="I302" s="22"/>
      <c r="J302" s="25"/>
    </row>
    <row r="303" spans="1:10">
      <c r="A303" s="18"/>
      <c r="B303" s="26"/>
      <c r="C303" s="22"/>
      <c r="D303" s="23"/>
      <c r="E303" s="23"/>
      <c r="F303" s="23"/>
      <c r="G303" s="24"/>
      <c r="H303" s="24"/>
      <c r="I303" s="22"/>
      <c r="J303" s="25"/>
    </row>
    <row r="304" spans="1:10">
      <c r="A304" s="18"/>
      <c r="B304" s="26"/>
      <c r="C304" s="22"/>
      <c r="D304" s="23"/>
      <c r="E304" s="23"/>
      <c r="F304" s="23"/>
      <c r="G304" s="24"/>
      <c r="H304" s="24"/>
      <c r="I304" s="22"/>
      <c r="J304" s="25"/>
    </row>
    <row r="305" spans="1:10">
      <c r="A305" s="18"/>
      <c r="B305" s="26"/>
      <c r="C305" s="22"/>
      <c r="D305" s="23"/>
      <c r="E305" s="23"/>
      <c r="F305" s="23"/>
      <c r="G305" s="24"/>
      <c r="H305" s="24"/>
      <c r="I305" s="22"/>
      <c r="J305" s="25"/>
    </row>
    <row r="306" spans="1:10">
      <c r="A306" s="18"/>
      <c r="B306" s="26"/>
      <c r="C306" s="22"/>
      <c r="D306" s="23"/>
      <c r="E306" s="23"/>
      <c r="F306" s="23"/>
      <c r="G306" s="24"/>
      <c r="H306" s="24"/>
      <c r="I306" s="22"/>
      <c r="J306" s="25"/>
    </row>
    <row r="307" spans="1:10">
      <c r="A307" s="19"/>
      <c r="B307" s="27"/>
      <c r="C307" s="22"/>
      <c r="D307" s="23"/>
      <c r="E307" s="23"/>
      <c r="F307" s="23"/>
      <c r="G307" s="24"/>
      <c r="H307" s="24"/>
      <c r="I307" s="22"/>
      <c r="J307" s="25"/>
    </row>
    <row r="308" spans="1:10">
      <c r="A308" s="30">
        <v>39</v>
      </c>
      <c r="B308" s="31" t="s">
        <v>1023</v>
      </c>
      <c r="C308" s="32"/>
      <c r="D308" s="33"/>
      <c r="E308" s="33"/>
      <c r="F308" s="33"/>
      <c r="G308" s="34"/>
      <c r="H308" s="34">
        <f>SUM(G308:G315)</f>
        <v>0</v>
      </c>
      <c r="I308" s="35" t="str">
        <f>IF(H308&gt;=20,"Memenuhi","Tidak Memenuhi")</f>
        <v>Tidak Memenuhi</v>
      </c>
      <c r="J308" s="36"/>
    </row>
    <row r="309" spans="1:10">
      <c r="A309" s="18"/>
      <c r="B309" s="26"/>
      <c r="C309" s="22"/>
      <c r="D309" s="23"/>
      <c r="E309" s="23"/>
      <c r="F309" s="23"/>
      <c r="G309" s="24"/>
      <c r="H309" s="24"/>
      <c r="I309" s="22"/>
      <c r="J309" s="25"/>
    </row>
    <row r="310" spans="1:10">
      <c r="A310" s="18"/>
      <c r="B310" s="26"/>
      <c r="C310" s="22"/>
      <c r="D310" s="23"/>
      <c r="E310" s="23"/>
      <c r="F310" s="23"/>
      <c r="G310" s="24"/>
      <c r="H310" s="24"/>
      <c r="I310" s="22"/>
      <c r="J310" s="25"/>
    </row>
    <row r="311" spans="1:10">
      <c r="A311" s="18"/>
      <c r="B311" s="26"/>
      <c r="C311" s="22"/>
      <c r="D311" s="23"/>
      <c r="E311" s="23"/>
      <c r="F311" s="23"/>
      <c r="G311" s="24"/>
      <c r="H311" s="24"/>
      <c r="I311" s="22"/>
      <c r="J311" s="25"/>
    </row>
    <row r="312" spans="1:10">
      <c r="A312" s="18"/>
      <c r="B312" s="26"/>
      <c r="C312" s="22"/>
      <c r="D312" s="23"/>
      <c r="E312" s="23"/>
      <c r="F312" s="23"/>
      <c r="G312" s="24"/>
      <c r="H312" s="24"/>
      <c r="I312" s="22"/>
      <c r="J312" s="25"/>
    </row>
    <row r="313" spans="1:10">
      <c r="A313" s="18"/>
      <c r="B313" s="26"/>
      <c r="C313" s="22"/>
      <c r="D313" s="23"/>
      <c r="E313" s="23"/>
      <c r="F313" s="23"/>
      <c r="G313" s="24"/>
      <c r="H313" s="24"/>
      <c r="I313" s="22"/>
      <c r="J313" s="25"/>
    </row>
    <row r="314" spans="1:10">
      <c r="A314" s="18"/>
      <c r="B314" s="26"/>
      <c r="C314" s="22"/>
      <c r="D314" s="23"/>
      <c r="E314" s="23"/>
      <c r="F314" s="23"/>
      <c r="G314" s="24"/>
      <c r="H314" s="24"/>
      <c r="I314" s="22"/>
      <c r="J314" s="25"/>
    </row>
    <row r="315" spans="1:10">
      <c r="A315" s="19"/>
      <c r="B315" s="27"/>
      <c r="C315" s="22"/>
      <c r="D315" s="23"/>
      <c r="E315" s="23"/>
      <c r="F315" s="23"/>
      <c r="G315" s="24"/>
      <c r="H315" s="24"/>
      <c r="I315" s="22"/>
      <c r="J315" s="25"/>
    </row>
    <row r="316" spans="1:10">
      <c r="A316" s="30">
        <v>40</v>
      </c>
      <c r="B316" s="31" t="s">
        <v>1036</v>
      </c>
      <c r="C316" s="32"/>
      <c r="D316" s="33"/>
      <c r="E316" s="33"/>
      <c r="F316" s="33"/>
      <c r="G316" s="34"/>
      <c r="H316" s="34">
        <f>SUM(G316:G323)</f>
        <v>0</v>
      </c>
      <c r="I316" s="35" t="str">
        <f>IF(H316&gt;=20,"Memenuhi","Tidak Memenuhi")</f>
        <v>Tidak Memenuhi</v>
      </c>
      <c r="J316" s="36"/>
    </row>
    <row r="317" spans="1:10">
      <c r="A317" s="18"/>
      <c r="B317" s="26"/>
      <c r="C317" s="22"/>
      <c r="D317" s="23"/>
      <c r="E317" s="23"/>
      <c r="F317" s="23"/>
      <c r="G317" s="24"/>
      <c r="H317" s="24"/>
      <c r="I317" s="22"/>
      <c r="J317" s="25"/>
    </row>
    <row r="318" spans="1:10">
      <c r="A318" s="18"/>
      <c r="B318" s="26"/>
      <c r="C318" s="22"/>
      <c r="D318" s="23"/>
      <c r="E318" s="23"/>
      <c r="F318" s="23"/>
      <c r="G318" s="24"/>
      <c r="H318" s="24"/>
      <c r="I318" s="22"/>
      <c r="J318" s="25"/>
    </row>
    <row r="319" spans="1:10">
      <c r="A319" s="18"/>
      <c r="B319" s="26"/>
      <c r="C319" s="22"/>
      <c r="D319" s="23"/>
      <c r="E319" s="23"/>
      <c r="F319" s="23"/>
      <c r="G319" s="24"/>
      <c r="H319" s="24"/>
      <c r="I319" s="22"/>
      <c r="J319" s="25"/>
    </row>
    <row r="320" spans="1:10">
      <c r="A320" s="18"/>
      <c r="B320" s="26"/>
      <c r="C320" s="22"/>
      <c r="D320" s="23"/>
      <c r="E320" s="23"/>
      <c r="F320" s="23"/>
      <c r="G320" s="24"/>
      <c r="H320" s="24"/>
      <c r="I320" s="22"/>
      <c r="J320" s="25"/>
    </row>
    <row r="321" spans="1:10">
      <c r="A321" s="18"/>
      <c r="B321" s="26"/>
      <c r="C321" s="22"/>
      <c r="D321" s="23"/>
      <c r="E321" s="23"/>
      <c r="F321" s="23"/>
      <c r="G321" s="24"/>
      <c r="H321" s="24"/>
      <c r="I321" s="22"/>
      <c r="J321" s="25"/>
    </row>
    <row r="322" spans="1:10">
      <c r="A322" s="18"/>
      <c r="B322" s="26"/>
      <c r="C322" s="22"/>
      <c r="D322" s="23"/>
      <c r="E322" s="23"/>
      <c r="F322" s="23"/>
      <c r="G322" s="24"/>
      <c r="H322" s="24"/>
      <c r="I322" s="22"/>
      <c r="J322" s="25"/>
    </row>
    <row r="323" spans="1:10">
      <c r="A323" s="19"/>
      <c r="B323" s="27"/>
      <c r="C323" s="22"/>
      <c r="D323" s="23"/>
      <c r="E323" s="23"/>
      <c r="F323" s="23"/>
      <c r="G323" s="24"/>
      <c r="H323" s="24"/>
      <c r="I323" s="22"/>
      <c r="J323" s="25"/>
    </row>
    <row r="324" spans="1:10">
      <c r="A324" s="30">
        <v>41</v>
      </c>
      <c r="B324" s="31" t="s">
        <v>1043</v>
      </c>
      <c r="C324" s="32"/>
      <c r="D324" s="33"/>
      <c r="E324" s="33"/>
      <c r="F324" s="33"/>
      <c r="G324" s="34"/>
      <c r="H324" s="34">
        <f>SUM(G324:G331)</f>
        <v>0</v>
      </c>
      <c r="I324" s="35" t="str">
        <f>IF(H324&gt;=20,"Memenuhi","Tidak Memenuhi")</f>
        <v>Tidak Memenuhi</v>
      </c>
      <c r="J324" s="36"/>
    </row>
    <row r="325" spans="1:10">
      <c r="A325" s="18"/>
      <c r="B325" s="26"/>
      <c r="C325" s="22"/>
      <c r="D325" s="23"/>
      <c r="E325" s="23"/>
      <c r="F325" s="23"/>
      <c r="G325" s="24"/>
      <c r="H325" s="24"/>
      <c r="I325" s="22"/>
      <c r="J325" s="25"/>
    </row>
    <row r="326" spans="1:10">
      <c r="A326" s="18"/>
      <c r="B326" s="26"/>
      <c r="C326" s="22"/>
      <c r="D326" s="23"/>
      <c r="E326" s="23"/>
      <c r="F326" s="23"/>
      <c r="G326" s="24"/>
      <c r="H326" s="24"/>
      <c r="I326" s="22"/>
      <c r="J326" s="25"/>
    </row>
    <row r="327" spans="1:10">
      <c r="A327" s="18"/>
      <c r="B327" s="26"/>
      <c r="C327" s="22"/>
      <c r="D327" s="23"/>
      <c r="E327" s="23"/>
      <c r="F327" s="23"/>
      <c r="G327" s="24"/>
      <c r="H327" s="24"/>
      <c r="I327" s="22"/>
      <c r="J327" s="25"/>
    </row>
    <row r="328" spans="1:10">
      <c r="A328" s="18"/>
      <c r="B328" s="26"/>
      <c r="C328" s="22"/>
      <c r="D328" s="23"/>
      <c r="E328" s="23"/>
      <c r="F328" s="23"/>
      <c r="G328" s="24"/>
      <c r="H328" s="24"/>
      <c r="I328" s="22"/>
      <c r="J328" s="25"/>
    </row>
    <row r="329" spans="1:10">
      <c r="A329" s="18"/>
      <c r="B329" s="26"/>
      <c r="C329" s="22"/>
      <c r="D329" s="23"/>
      <c r="E329" s="23"/>
      <c r="F329" s="23"/>
      <c r="G329" s="24"/>
      <c r="H329" s="24"/>
      <c r="I329" s="22"/>
      <c r="J329" s="25"/>
    </row>
    <row r="330" spans="1:10">
      <c r="A330" s="18"/>
      <c r="B330" s="26"/>
      <c r="C330" s="22"/>
      <c r="D330" s="23"/>
      <c r="E330" s="23"/>
      <c r="F330" s="23"/>
      <c r="G330" s="24"/>
      <c r="H330" s="24"/>
      <c r="I330" s="22"/>
      <c r="J330" s="25"/>
    </row>
    <row r="331" spans="1:10">
      <c r="A331" s="19"/>
      <c r="B331" s="27"/>
      <c r="C331" s="22"/>
      <c r="D331" s="23"/>
      <c r="E331" s="23"/>
      <c r="F331" s="23"/>
      <c r="G331" s="24"/>
      <c r="H331" s="24"/>
      <c r="I331" s="22"/>
      <c r="J331" s="25"/>
    </row>
    <row r="332" spans="1:10">
      <c r="A332" s="30">
        <v>42</v>
      </c>
      <c r="B332" s="31" t="s">
        <v>1050</v>
      </c>
      <c r="C332" s="32"/>
      <c r="D332" s="33"/>
      <c r="E332" s="33"/>
      <c r="F332" s="33"/>
      <c r="G332" s="34"/>
      <c r="H332" s="34">
        <f>SUM(G332:G339)</f>
        <v>0</v>
      </c>
      <c r="I332" s="35" t="str">
        <f>IF(H332&gt;=20,"Memenuhi","Tidak Memenuhi")</f>
        <v>Tidak Memenuhi</v>
      </c>
      <c r="J332" s="36"/>
    </row>
    <row r="333" spans="1:10">
      <c r="A333" s="18"/>
      <c r="B333" s="26"/>
      <c r="C333" s="22"/>
      <c r="D333" s="23"/>
      <c r="E333" s="23"/>
      <c r="F333" s="23"/>
      <c r="G333" s="24"/>
      <c r="H333" s="24"/>
      <c r="I333" s="22"/>
      <c r="J333" s="25"/>
    </row>
    <row r="334" spans="1:10">
      <c r="A334" s="18"/>
      <c r="B334" s="26"/>
      <c r="C334" s="22"/>
      <c r="D334" s="23"/>
      <c r="E334" s="23"/>
      <c r="F334" s="23"/>
      <c r="G334" s="24"/>
      <c r="H334" s="24"/>
      <c r="I334" s="22"/>
      <c r="J334" s="25"/>
    </row>
    <row r="335" spans="1:10">
      <c r="A335" s="18"/>
      <c r="B335" s="26"/>
      <c r="C335" s="22"/>
      <c r="D335" s="23"/>
      <c r="E335" s="23"/>
      <c r="F335" s="23"/>
      <c r="G335" s="24"/>
      <c r="H335" s="24"/>
      <c r="I335" s="22"/>
      <c r="J335" s="25"/>
    </row>
    <row r="336" spans="1:10">
      <c r="A336" s="18"/>
      <c r="B336" s="26"/>
      <c r="C336" s="22"/>
      <c r="D336" s="23"/>
      <c r="E336" s="23"/>
      <c r="F336" s="23"/>
      <c r="G336" s="24"/>
      <c r="H336" s="24"/>
      <c r="I336" s="22"/>
      <c r="J336" s="25"/>
    </row>
    <row r="337" spans="1:10">
      <c r="A337" s="18"/>
      <c r="B337" s="26"/>
      <c r="C337" s="22"/>
      <c r="D337" s="23"/>
      <c r="E337" s="23"/>
      <c r="F337" s="23"/>
      <c r="G337" s="24"/>
      <c r="H337" s="24"/>
      <c r="I337" s="22"/>
      <c r="J337" s="25"/>
    </row>
    <row r="338" spans="1:10">
      <c r="A338" s="18"/>
      <c r="B338" s="26"/>
      <c r="C338" s="22"/>
      <c r="D338" s="23"/>
      <c r="E338" s="23"/>
      <c r="F338" s="23"/>
      <c r="G338" s="24"/>
      <c r="H338" s="24"/>
      <c r="I338" s="22"/>
      <c r="J338" s="25"/>
    </row>
    <row r="339" spans="1:10">
      <c r="A339" s="19"/>
      <c r="B339" s="27"/>
      <c r="C339" s="22"/>
      <c r="D339" s="23"/>
      <c r="E339" s="23"/>
      <c r="F339" s="23"/>
      <c r="G339" s="24"/>
      <c r="H339" s="24"/>
      <c r="I339" s="22"/>
      <c r="J339" s="25"/>
    </row>
    <row r="340" spans="1:10" ht="23.25" customHeight="1">
      <c r="A340" s="30">
        <v>43</v>
      </c>
      <c r="B340" s="31" t="s">
        <v>1059</v>
      </c>
      <c r="C340" s="32"/>
      <c r="D340" s="33"/>
      <c r="E340" s="33"/>
      <c r="F340" s="33"/>
      <c r="G340" s="34"/>
      <c r="H340" s="34">
        <f>SUM(G340:G347)</f>
        <v>0</v>
      </c>
      <c r="I340" s="35" t="str">
        <f>IF(H340&gt;=20,"Memenuhi","Tidak Memenuhi")</f>
        <v>Tidak Memenuhi</v>
      </c>
      <c r="J340" s="36"/>
    </row>
    <row r="341" spans="1:10">
      <c r="A341" s="18"/>
      <c r="B341" s="26"/>
      <c r="C341" s="22"/>
      <c r="D341" s="23"/>
      <c r="E341" s="23"/>
      <c r="F341" s="23"/>
      <c r="G341" s="24"/>
      <c r="H341" s="24"/>
      <c r="I341" s="22"/>
      <c r="J341" s="25"/>
    </row>
    <row r="342" spans="1:10">
      <c r="A342" s="18"/>
      <c r="B342" s="26"/>
      <c r="C342" s="22"/>
      <c r="D342" s="23"/>
      <c r="E342" s="23"/>
      <c r="F342" s="23"/>
      <c r="G342" s="24"/>
      <c r="H342" s="24"/>
      <c r="I342" s="22"/>
      <c r="J342" s="25"/>
    </row>
    <row r="343" spans="1:10">
      <c r="A343" s="18"/>
      <c r="B343" s="26"/>
      <c r="C343" s="22"/>
      <c r="D343" s="23"/>
      <c r="E343" s="23"/>
      <c r="F343" s="23"/>
      <c r="G343" s="24"/>
      <c r="H343" s="24"/>
      <c r="I343" s="22"/>
      <c r="J343" s="25"/>
    </row>
    <row r="344" spans="1:10">
      <c r="A344" s="18"/>
      <c r="B344" s="26"/>
      <c r="C344" s="22"/>
      <c r="D344" s="23"/>
      <c r="E344" s="23"/>
      <c r="F344" s="23"/>
      <c r="G344" s="24"/>
      <c r="H344" s="24"/>
      <c r="I344" s="22"/>
      <c r="J344" s="25"/>
    </row>
    <row r="345" spans="1:10">
      <c r="A345" s="18"/>
      <c r="B345" s="26"/>
      <c r="C345" s="22"/>
      <c r="D345" s="23"/>
      <c r="E345" s="23"/>
      <c r="F345" s="23"/>
      <c r="G345" s="24"/>
      <c r="H345" s="24"/>
      <c r="I345" s="22"/>
      <c r="J345" s="25"/>
    </row>
    <row r="346" spans="1:10">
      <c r="A346" s="18"/>
      <c r="B346" s="26"/>
      <c r="C346" s="22"/>
      <c r="D346" s="23"/>
      <c r="E346" s="23"/>
      <c r="F346" s="23"/>
      <c r="G346" s="24"/>
      <c r="H346" s="24"/>
      <c r="I346" s="22"/>
      <c r="J346" s="25"/>
    </row>
    <row r="347" spans="1:10">
      <c r="A347" s="19"/>
      <c r="B347" s="27"/>
      <c r="C347" s="22"/>
      <c r="D347" s="23"/>
      <c r="E347" s="23"/>
      <c r="F347" s="23"/>
      <c r="G347" s="24"/>
      <c r="H347" s="24"/>
      <c r="I347" s="22"/>
      <c r="J347" s="25"/>
    </row>
    <row r="348" spans="1:10" ht="22.5" customHeight="1">
      <c r="A348" s="30">
        <v>44</v>
      </c>
      <c r="B348" s="31" t="s">
        <v>1085</v>
      </c>
      <c r="C348" s="32"/>
      <c r="D348" s="33"/>
      <c r="E348" s="33"/>
      <c r="F348" s="33"/>
      <c r="G348" s="34"/>
      <c r="H348" s="34">
        <f>SUM(G348:G355)</f>
        <v>0</v>
      </c>
      <c r="I348" s="35" t="str">
        <f>IF(H348&gt;=20,"Memenuhi","Tidak Memenuhi")</f>
        <v>Tidak Memenuhi</v>
      </c>
      <c r="J348" s="36"/>
    </row>
    <row r="349" spans="1:10">
      <c r="A349" s="18"/>
      <c r="B349" s="26"/>
      <c r="C349" s="22"/>
      <c r="D349" s="23"/>
      <c r="E349" s="23"/>
      <c r="F349" s="23"/>
      <c r="G349" s="24"/>
      <c r="H349" s="24"/>
      <c r="I349" s="22"/>
      <c r="J349" s="25"/>
    </row>
    <row r="350" spans="1:10">
      <c r="A350" s="18"/>
      <c r="B350" s="26"/>
      <c r="C350" s="22"/>
      <c r="D350" s="23"/>
      <c r="E350" s="23"/>
      <c r="F350" s="23"/>
      <c r="G350" s="24"/>
      <c r="H350" s="24"/>
      <c r="I350" s="22"/>
      <c r="J350" s="25"/>
    </row>
    <row r="351" spans="1:10">
      <c r="A351" s="18"/>
      <c r="B351" s="26"/>
      <c r="C351" s="22"/>
      <c r="D351" s="23"/>
      <c r="E351" s="23"/>
      <c r="F351" s="23"/>
      <c r="G351" s="24"/>
      <c r="H351" s="24"/>
      <c r="I351" s="22"/>
      <c r="J351" s="25"/>
    </row>
    <row r="352" spans="1:10">
      <c r="A352" s="18"/>
      <c r="B352" s="26"/>
      <c r="C352" s="22"/>
      <c r="D352" s="23"/>
      <c r="E352" s="23"/>
      <c r="F352" s="23"/>
      <c r="G352" s="24"/>
      <c r="H352" s="24"/>
      <c r="I352" s="22"/>
      <c r="J352" s="25"/>
    </row>
    <row r="353" spans="1:10">
      <c r="A353" s="18"/>
      <c r="B353" s="26"/>
      <c r="C353" s="22"/>
      <c r="D353" s="23"/>
      <c r="E353" s="23"/>
      <c r="F353" s="23"/>
      <c r="G353" s="24"/>
      <c r="H353" s="24"/>
      <c r="I353" s="22"/>
      <c r="J353" s="25"/>
    </row>
    <row r="354" spans="1:10">
      <c r="A354" s="18"/>
      <c r="B354" s="26"/>
      <c r="C354" s="22"/>
      <c r="D354" s="23"/>
      <c r="E354" s="23"/>
      <c r="F354" s="23"/>
      <c r="G354" s="24"/>
      <c r="H354" s="24"/>
      <c r="I354" s="22"/>
      <c r="J354" s="25"/>
    </row>
    <row r="355" spans="1:10">
      <c r="A355" s="19"/>
      <c r="B355" s="27"/>
      <c r="C355" s="22"/>
      <c r="D355" s="23"/>
      <c r="E355" s="23"/>
      <c r="F355" s="23"/>
      <c r="G355" s="24"/>
      <c r="H355" s="24"/>
      <c r="I355" s="22"/>
      <c r="J355" s="25"/>
    </row>
    <row r="356" spans="1:10" ht="24">
      <c r="A356" s="30">
        <v>45</v>
      </c>
      <c r="B356" s="31" t="s">
        <v>1094</v>
      </c>
      <c r="C356" s="32"/>
      <c r="D356" s="33"/>
      <c r="E356" s="33"/>
      <c r="F356" s="33"/>
      <c r="G356" s="34"/>
      <c r="H356" s="34">
        <f>SUM(G356:G363)</f>
        <v>0</v>
      </c>
      <c r="I356" s="35" t="str">
        <f>IF(H356&gt;=20,"Memenuhi","Tidak Memenuhi")</f>
        <v>Tidak Memenuhi</v>
      </c>
      <c r="J356" s="36"/>
    </row>
    <row r="357" spans="1:10">
      <c r="A357" s="18"/>
      <c r="B357" s="26"/>
      <c r="C357" s="22"/>
      <c r="D357" s="23"/>
      <c r="E357" s="23"/>
      <c r="F357" s="23"/>
      <c r="G357" s="24"/>
      <c r="H357" s="24"/>
      <c r="I357" s="22"/>
      <c r="J357" s="25"/>
    </row>
    <row r="358" spans="1:10">
      <c r="A358" s="18"/>
      <c r="B358" s="26"/>
      <c r="C358" s="22"/>
      <c r="D358" s="23"/>
      <c r="E358" s="23"/>
      <c r="F358" s="23"/>
      <c r="G358" s="24"/>
      <c r="H358" s="24"/>
      <c r="I358" s="22"/>
      <c r="J358" s="25"/>
    </row>
    <row r="359" spans="1:10">
      <c r="A359" s="18"/>
      <c r="B359" s="26"/>
      <c r="C359" s="22"/>
      <c r="D359" s="23"/>
      <c r="E359" s="23"/>
      <c r="F359" s="23"/>
      <c r="G359" s="24"/>
      <c r="H359" s="24"/>
      <c r="I359" s="22"/>
      <c r="J359" s="25"/>
    </row>
    <row r="360" spans="1:10">
      <c r="A360" s="18"/>
      <c r="B360" s="26"/>
      <c r="C360" s="22"/>
      <c r="D360" s="23"/>
      <c r="E360" s="23"/>
      <c r="F360" s="23"/>
      <c r="G360" s="24"/>
      <c r="H360" s="24"/>
      <c r="I360" s="22"/>
      <c r="J360" s="25"/>
    </row>
    <row r="361" spans="1:10">
      <c r="A361" s="18"/>
      <c r="B361" s="26"/>
      <c r="C361" s="22"/>
      <c r="D361" s="23"/>
      <c r="E361" s="23"/>
      <c r="F361" s="23"/>
      <c r="G361" s="24"/>
      <c r="H361" s="24"/>
      <c r="I361" s="22"/>
      <c r="J361" s="25"/>
    </row>
    <row r="362" spans="1:10">
      <c r="A362" s="18"/>
      <c r="B362" s="26"/>
      <c r="C362" s="22"/>
      <c r="D362" s="23"/>
      <c r="E362" s="23"/>
      <c r="F362" s="23"/>
      <c r="G362" s="24"/>
      <c r="H362" s="24"/>
      <c r="I362" s="22"/>
      <c r="J362" s="25"/>
    </row>
    <row r="363" spans="1:10">
      <c r="A363" s="19"/>
      <c r="B363" s="27"/>
      <c r="C363" s="22"/>
      <c r="D363" s="23"/>
      <c r="E363" s="23"/>
      <c r="F363" s="23"/>
      <c r="G363" s="24"/>
      <c r="H363" s="24"/>
      <c r="I363" s="22"/>
      <c r="J363" s="25"/>
    </row>
    <row r="364" spans="1:10">
      <c r="A364" s="30">
        <v>46</v>
      </c>
      <c r="B364" s="31" t="s">
        <v>1105</v>
      </c>
      <c r="C364" s="32"/>
      <c r="D364" s="33"/>
      <c r="E364" s="33"/>
      <c r="F364" s="33"/>
      <c r="G364" s="34"/>
      <c r="H364" s="34">
        <f>SUM(G364:G371)</f>
        <v>0</v>
      </c>
      <c r="I364" s="35" t="str">
        <f>IF(H364&gt;=20,"Memenuhi","Tidak Memenuhi")</f>
        <v>Tidak Memenuhi</v>
      </c>
      <c r="J364" s="36"/>
    </row>
    <row r="365" spans="1:10">
      <c r="A365" s="18"/>
      <c r="B365" s="26"/>
      <c r="C365" s="22"/>
      <c r="D365" s="23"/>
      <c r="E365" s="23"/>
      <c r="F365" s="23"/>
      <c r="G365" s="24"/>
      <c r="H365" s="24"/>
      <c r="I365" s="22"/>
      <c r="J365" s="25"/>
    </row>
    <row r="366" spans="1:10">
      <c r="A366" s="18"/>
      <c r="B366" s="26"/>
      <c r="C366" s="22"/>
      <c r="D366" s="23"/>
      <c r="E366" s="23"/>
      <c r="F366" s="23"/>
      <c r="G366" s="24"/>
      <c r="H366" s="24"/>
      <c r="I366" s="22"/>
      <c r="J366" s="25"/>
    </row>
    <row r="367" spans="1:10">
      <c r="A367" s="18"/>
      <c r="B367" s="26"/>
      <c r="C367" s="22"/>
      <c r="D367" s="23"/>
      <c r="E367" s="23"/>
      <c r="F367" s="23"/>
      <c r="G367" s="24"/>
      <c r="H367" s="24"/>
      <c r="I367" s="22"/>
      <c r="J367" s="25"/>
    </row>
    <row r="368" spans="1:10">
      <c r="A368" s="18"/>
      <c r="B368" s="26"/>
      <c r="C368" s="22"/>
      <c r="D368" s="23"/>
      <c r="E368" s="23"/>
      <c r="F368" s="23"/>
      <c r="G368" s="24"/>
      <c r="H368" s="24"/>
      <c r="I368" s="22"/>
      <c r="J368" s="25"/>
    </row>
    <row r="369" spans="1:10">
      <c r="A369" s="18"/>
      <c r="B369" s="26"/>
      <c r="C369" s="22"/>
      <c r="D369" s="23"/>
      <c r="E369" s="23"/>
      <c r="F369" s="23"/>
      <c r="G369" s="24"/>
      <c r="H369" s="24"/>
      <c r="I369" s="22"/>
      <c r="J369" s="25"/>
    </row>
    <row r="370" spans="1:10">
      <c r="A370" s="18"/>
      <c r="B370" s="26"/>
      <c r="C370" s="22"/>
      <c r="D370" s="23"/>
      <c r="E370" s="23"/>
      <c r="F370" s="23"/>
      <c r="G370" s="24"/>
      <c r="H370" s="24"/>
      <c r="I370" s="22"/>
      <c r="J370" s="25"/>
    </row>
    <row r="371" spans="1:10">
      <c r="A371" s="19"/>
      <c r="B371" s="27"/>
      <c r="C371" s="22"/>
      <c r="D371" s="23"/>
      <c r="E371" s="23"/>
      <c r="F371" s="23"/>
      <c r="G371" s="24"/>
      <c r="H371" s="24"/>
      <c r="I371" s="22"/>
      <c r="J371" s="25"/>
    </row>
    <row r="372" spans="1:10">
      <c r="A372" s="30">
        <v>47</v>
      </c>
      <c r="B372" s="31" t="s">
        <v>1116</v>
      </c>
      <c r="C372" s="32"/>
      <c r="D372" s="33"/>
      <c r="E372" s="33"/>
      <c r="F372" s="33"/>
      <c r="G372" s="34"/>
      <c r="H372" s="34">
        <f>SUM(G372:G379)</f>
        <v>0</v>
      </c>
      <c r="I372" s="35" t="str">
        <f>IF(H372&gt;=20,"Memenuhi","Tidak Memenuhi")</f>
        <v>Tidak Memenuhi</v>
      </c>
      <c r="J372" s="36"/>
    </row>
    <row r="373" spans="1:10">
      <c r="A373" s="18"/>
      <c r="B373" s="26"/>
      <c r="C373" s="22"/>
      <c r="D373" s="23"/>
      <c r="E373" s="23"/>
      <c r="F373" s="23"/>
      <c r="G373" s="24"/>
      <c r="H373" s="24"/>
      <c r="I373" s="22"/>
      <c r="J373" s="25"/>
    </row>
    <row r="374" spans="1:10">
      <c r="A374" s="18"/>
      <c r="B374" s="26"/>
      <c r="C374" s="22"/>
      <c r="D374" s="23"/>
      <c r="E374" s="23"/>
      <c r="F374" s="23"/>
      <c r="G374" s="24"/>
      <c r="H374" s="24"/>
      <c r="I374" s="22"/>
      <c r="J374" s="25"/>
    </row>
    <row r="375" spans="1:10">
      <c r="A375" s="18"/>
      <c r="B375" s="26"/>
      <c r="C375" s="22"/>
      <c r="D375" s="23"/>
      <c r="E375" s="23"/>
      <c r="F375" s="23"/>
      <c r="G375" s="24"/>
      <c r="H375" s="24"/>
      <c r="I375" s="22"/>
      <c r="J375" s="25"/>
    </row>
    <row r="376" spans="1:10">
      <c r="A376" s="18"/>
      <c r="B376" s="26"/>
      <c r="C376" s="22"/>
      <c r="D376" s="23"/>
      <c r="E376" s="23"/>
      <c r="F376" s="23"/>
      <c r="G376" s="24"/>
      <c r="H376" s="24"/>
      <c r="I376" s="22"/>
      <c r="J376" s="25"/>
    </row>
    <row r="377" spans="1:10">
      <c r="A377" s="18"/>
      <c r="B377" s="26"/>
      <c r="C377" s="22"/>
      <c r="D377" s="23"/>
      <c r="E377" s="23"/>
      <c r="F377" s="23"/>
      <c r="G377" s="24"/>
      <c r="H377" s="24"/>
      <c r="I377" s="22"/>
      <c r="J377" s="25"/>
    </row>
    <row r="378" spans="1:10">
      <c r="A378" s="18"/>
      <c r="B378" s="26"/>
      <c r="C378" s="22"/>
      <c r="D378" s="23"/>
      <c r="E378" s="23"/>
      <c r="F378" s="23"/>
      <c r="G378" s="24"/>
      <c r="H378" s="24"/>
      <c r="I378" s="22"/>
      <c r="J378" s="25"/>
    </row>
    <row r="379" spans="1:10">
      <c r="A379" s="19"/>
      <c r="B379" s="27"/>
      <c r="C379" s="22"/>
      <c r="D379" s="23"/>
      <c r="E379" s="23"/>
      <c r="F379" s="23"/>
      <c r="G379" s="24"/>
      <c r="H379" s="24"/>
      <c r="I379" s="22"/>
      <c r="J379" s="25"/>
    </row>
    <row r="380" spans="1:10">
      <c r="A380" s="30">
        <v>48</v>
      </c>
      <c r="B380" s="31" t="s">
        <v>1119</v>
      </c>
      <c r="C380" s="32"/>
      <c r="D380" s="33"/>
      <c r="E380" s="33"/>
      <c r="F380" s="33"/>
      <c r="G380" s="34"/>
      <c r="H380" s="34">
        <f>SUM(G380:G387)</f>
        <v>0</v>
      </c>
      <c r="I380" s="35" t="str">
        <f>IF(H380&gt;=20,"Memenuhi","Tidak Memenuhi")</f>
        <v>Tidak Memenuhi</v>
      </c>
      <c r="J380" s="36"/>
    </row>
    <row r="381" spans="1:10">
      <c r="A381" s="18"/>
      <c r="B381" s="26"/>
      <c r="C381" s="22"/>
      <c r="D381" s="23"/>
      <c r="E381" s="23"/>
      <c r="F381" s="23"/>
      <c r="G381" s="24"/>
      <c r="H381" s="24"/>
      <c r="I381" s="22"/>
      <c r="J381" s="25"/>
    </row>
    <row r="382" spans="1:10">
      <c r="A382" s="18"/>
      <c r="B382" s="26"/>
      <c r="C382" s="22"/>
      <c r="D382" s="23"/>
      <c r="E382" s="23"/>
      <c r="F382" s="23"/>
      <c r="G382" s="24"/>
      <c r="H382" s="24"/>
      <c r="I382" s="22"/>
      <c r="J382" s="25"/>
    </row>
    <row r="383" spans="1:10">
      <c r="A383" s="18"/>
      <c r="B383" s="26"/>
      <c r="C383" s="22"/>
      <c r="D383" s="23"/>
      <c r="E383" s="23"/>
      <c r="F383" s="23"/>
      <c r="G383" s="24"/>
      <c r="H383" s="24"/>
      <c r="I383" s="22"/>
      <c r="J383" s="25"/>
    </row>
    <row r="384" spans="1:10">
      <c r="A384" s="18"/>
      <c r="B384" s="26"/>
      <c r="C384" s="22"/>
      <c r="D384" s="23"/>
      <c r="E384" s="23"/>
      <c r="F384" s="23"/>
      <c r="G384" s="24"/>
      <c r="H384" s="24"/>
      <c r="I384" s="22"/>
      <c r="J384" s="25"/>
    </row>
    <row r="385" spans="1:10">
      <c r="A385" s="18"/>
      <c r="B385" s="26"/>
      <c r="C385" s="22"/>
      <c r="D385" s="23"/>
      <c r="E385" s="23"/>
      <c r="F385" s="23"/>
      <c r="G385" s="24"/>
      <c r="H385" s="24"/>
      <c r="I385" s="22"/>
      <c r="J385" s="25"/>
    </row>
    <row r="386" spans="1:10">
      <c r="A386" s="18"/>
      <c r="B386" s="26"/>
      <c r="C386" s="22"/>
      <c r="D386" s="23"/>
      <c r="E386" s="23"/>
      <c r="F386" s="23"/>
      <c r="G386" s="24"/>
      <c r="H386" s="24"/>
      <c r="I386" s="22"/>
      <c r="J386" s="25"/>
    </row>
    <row r="387" spans="1:10">
      <c r="A387" s="19"/>
      <c r="B387" s="27"/>
      <c r="C387" s="22"/>
      <c r="D387" s="23"/>
      <c r="E387" s="23"/>
      <c r="F387" s="23"/>
      <c r="G387" s="24"/>
      <c r="H387" s="24"/>
      <c r="I387" s="22"/>
      <c r="J387" s="25"/>
    </row>
    <row r="388" spans="1:10">
      <c r="A388" s="30">
        <v>49</v>
      </c>
      <c r="B388" s="31" t="s">
        <v>1124</v>
      </c>
      <c r="C388" s="32"/>
      <c r="D388" s="33"/>
      <c r="E388" s="33"/>
      <c r="F388" s="33"/>
      <c r="G388" s="34"/>
      <c r="H388" s="34">
        <f>SUM(G388:G395)</f>
        <v>0</v>
      </c>
      <c r="I388" s="35" t="str">
        <f>IF(H388&gt;=20,"Memenuhi","Tidak Memenuhi")</f>
        <v>Tidak Memenuhi</v>
      </c>
      <c r="J388" s="36"/>
    </row>
    <row r="389" spans="1:10">
      <c r="A389" s="18"/>
      <c r="B389" s="26"/>
      <c r="C389" s="22"/>
      <c r="D389" s="23"/>
      <c r="E389" s="23"/>
      <c r="F389" s="23"/>
      <c r="G389" s="24"/>
      <c r="H389" s="24"/>
      <c r="I389" s="22"/>
      <c r="J389" s="25"/>
    </row>
    <row r="390" spans="1:10">
      <c r="A390" s="18"/>
      <c r="B390" s="26"/>
      <c r="C390" s="22"/>
      <c r="D390" s="23"/>
      <c r="E390" s="23"/>
      <c r="F390" s="23"/>
      <c r="G390" s="24"/>
      <c r="H390" s="24"/>
      <c r="I390" s="22"/>
      <c r="J390" s="25"/>
    </row>
    <row r="391" spans="1:10">
      <c r="A391" s="18"/>
      <c r="B391" s="26"/>
      <c r="C391" s="22"/>
      <c r="D391" s="23"/>
      <c r="E391" s="23"/>
      <c r="F391" s="23"/>
      <c r="G391" s="24"/>
      <c r="H391" s="24"/>
      <c r="I391" s="22"/>
      <c r="J391" s="25"/>
    </row>
    <row r="392" spans="1:10">
      <c r="A392" s="18"/>
      <c r="B392" s="26"/>
      <c r="C392" s="22"/>
      <c r="D392" s="23"/>
      <c r="E392" s="23"/>
      <c r="F392" s="23"/>
      <c r="G392" s="24"/>
      <c r="H392" s="24"/>
      <c r="I392" s="22"/>
      <c r="J392" s="25"/>
    </row>
    <row r="393" spans="1:10">
      <c r="A393" s="18"/>
      <c r="B393" s="26"/>
      <c r="C393" s="22"/>
      <c r="D393" s="23"/>
      <c r="E393" s="23"/>
      <c r="F393" s="23"/>
      <c r="G393" s="24"/>
      <c r="H393" s="24"/>
      <c r="I393" s="22"/>
      <c r="J393" s="25"/>
    </row>
    <row r="394" spans="1:10">
      <c r="A394" s="18"/>
      <c r="B394" s="26"/>
      <c r="C394" s="22"/>
      <c r="D394" s="23"/>
      <c r="E394" s="23"/>
      <c r="F394" s="23"/>
      <c r="G394" s="24"/>
      <c r="H394" s="24"/>
      <c r="I394" s="22"/>
      <c r="J394" s="25"/>
    </row>
    <row r="395" spans="1:10">
      <c r="A395" s="19"/>
      <c r="B395" s="27"/>
      <c r="C395" s="22"/>
      <c r="D395" s="23"/>
      <c r="E395" s="23"/>
      <c r="F395" s="23"/>
      <c r="G395" s="24"/>
      <c r="H395" s="24"/>
      <c r="I395" s="22"/>
      <c r="J395" s="25"/>
    </row>
    <row r="396" spans="1:10" ht="24">
      <c r="A396" s="30">
        <v>50</v>
      </c>
      <c r="B396" s="31" t="s">
        <v>1132</v>
      </c>
      <c r="C396" s="32"/>
      <c r="D396" s="33"/>
      <c r="E396" s="33"/>
      <c r="F396" s="33"/>
      <c r="G396" s="34"/>
      <c r="H396" s="34">
        <f>SUM(G396:G403)</f>
        <v>0</v>
      </c>
      <c r="I396" s="35" t="str">
        <f>IF(H396&gt;=20,"Memenuhi","Tidak Memenuhi")</f>
        <v>Tidak Memenuhi</v>
      </c>
      <c r="J396" s="36"/>
    </row>
    <row r="397" spans="1:10">
      <c r="A397" s="18"/>
      <c r="B397" s="26"/>
      <c r="C397" s="22"/>
      <c r="D397" s="23"/>
      <c r="E397" s="23"/>
      <c r="F397" s="23"/>
      <c r="G397" s="24"/>
      <c r="H397" s="24"/>
      <c r="I397" s="22"/>
      <c r="J397" s="25"/>
    </row>
    <row r="398" spans="1:10">
      <c r="A398" s="18"/>
      <c r="B398" s="26"/>
      <c r="C398" s="22"/>
      <c r="D398" s="23"/>
      <c r="E398" s="23"/>
      <c r="F398" s="23"/>
      <c r="G398" s="24"/>
      <c r="H398" s="24"/>
      <c r="I398" s="22"/>
      <c r="J398" s="25"/>
    </row>
    <row r="399" spans="1:10">
      <c r="A399" s="18"/>
      <c r="B399" s="26"/>
      <c r="C399" s="22"/>
      <c r="D399" s="23"/>
      <c r="E399" s="23"/>
      <c r="F399" s="23"/>
      <c r="G399" s="24"/>
      <c r="H399" s="24"/>
      <c r="I399" s="22"/>
      <c r="J399" s="25"/>
    </row>
    <row r="400" spans="1:10">
      <c r="A400" s="18"/>
      <c r="B400" s="26"/>
      <c r="C400" s="22"/>
      <c r="D400" s="23"/>
      <c r="E400" s="23"/>
      <c r="F400" s="23"/>
      <c r="G400" s="24"/>
      <c r="H400" s="24"/>
      <c r="I400" s="22"/>
      <c r="J400" s="25"/>
    </row>
    <row r="401" spans="1:10">
      <c r="A401" s="18"/>
      <c r="B401" s="26"/>
      <c r="C401" s="22"/>
      <c r="D401" s="23"/>
      <c r="E401" s="23"/>
      <c r="F401" s="23"/>
      <c r="G401" s="24"/>
      <c r="H401" s="24"/>
      <c r="I401" s="22"/>
      <c r="J401" s="25"/>
    </row>
    <row r="402" spans="1:10">
      <c r="A402" s="18"/>
      <c r="B402" s="26"/>
      <c r="C402" s="22"/>
      <c r="D402" s="23"/>
      <c r="E402" s="23"/>
      <c r="F402" s="23"/>
      <c r="G402" s="24"/>
      <c r="H402" s="24"/>
      <c r="I402" s="22"/>
      <c r="J402" s="25"/>
    </row>
    <row r="403" spans="1:10">
      <c r="A403" s="19"/>
      <c r="B403" s="27"/>
      <c r="C403" s="22"/>
      <c r="D403" s="23"/>
      <c r="E403" s="23"/>
      <c r="F403" s="23"/>
      <c r="G403" s="24"/>
      <c r="H403" s="24"/>
      <c r="I403" s="22"/>
      <c r="J403" s="25"/>
    </row>
    <row r="404" spans="1:10">
      <c r="A404" s="30">
        <v>51</v>
      </c>
      <c r="B404" s="31" t="s">
        <v>337</v>
      </c>
      <c r="C404" s="32"/>
      <c r="D404" s="33"/>
      <c r="E404" s="33"/>
      <c r="F404" s="33"/>
      <c r="G404" s="34"/>
      <c r="H404" s="34">
        <f>SUM(G404:G411)</f>
        <v>0</v>
      </c>
      <c r="I404" s="35" t="str">
        <f>IF(H404&gt;=20,"Memenuhi","Tidak Memenuhi")</f>
        <v>Tidak Memenuhi</v>
      </c>
      <c r="J404" s="36"/>
    </row>
    <row r="405" spans="1:10">
      <c r="A405" s="18"/>
      <c r="B405" s="26"/>
      <c r="C405" s="22"/>
      <c r="D405" s="23"/>
      <c r="E405" s="23"/>
      <c r="F405" s="23"/>
      <c r="G405" s="24"/>
      <c r="H405" s="24"/>
      <c r="I405" s="22"/>
      <c r="J405" s="25"/>
    </row>
    <row r="406" spans="1:10">
      <c r="A406" s="18"/>
      <c r="B406" s="26"/>
      <c r="C406" s="22"/>
      <c r="D406" s="23"/>
      <c r="E406" s="23"/>
      <c r="F406" s="23"/>
      <c r="G406" s="24"/>
      <c r="H406" s="24"/>
      <c r="I406" s="22"/>
      <c r="J406" s="25"/>
    </row>
    <row r="407" spans="1:10">
      <c r="A407" s="18"/>
      <c r="B407" s="26"/>
      <c r="C407" s="22"/>
      <c r="D407" s="23"/>
      <c r="E407" s="23"/>
      <c r="F407" s="23"/>
      <c r="G407" s="24"/>
      <c r="H407" s="24"/>
      <c r="I407" s="22"/>
      <c r="J407" s="25"/>
    </row>
    <row r="408" spans="1:10">
      <c r="A408" s="18"/>
      <c r="B408" s="26"/>
      <c r="C408" s="22"/>
      <c r="D408" s="23"/>
      <c r="E408" s="23"/>
      <c r="F408" s="23"/>
      <c r="G408" s="24"/>
      <c r="H408" s="24"/>
      <c r="I408" s="22"/>
      <c r="J408" s="25"/>
    </row>
    <row r="409" spans="1:10">
      <c r="A409" s="18"/>
      <c r="B409" s="26"/>
      <c r="C409" s="22"/>
      <c r="D409" s="23"/>
      <c r="E409" s="23"/>
      <c r="F409" s="23"/>
      <c r="G409" s="24"/>
      <c r="H409" s="24"/>
      <c r="I409" s="22"/>
      <c r="J409" s="25"/>
    </row>
    <row r="410" spans="1:10">
      <c r="A410" s="18"/>
      <c r="B410" s="26"/>
      <c r="C410" s="22"/>
      <c r="D410" s="23"/>
      <c r="E410" s="23"/>
      <c r="F410" s="23"/>
      <c r="G410" s="24"/>
      <c r="H410" s="24"/>
      <c r="I410" s="22"/>
      <c r="J410" s="25"/>
    </row>
    <row r="411" spans="1:10">
      <c r="A411" s="19"/>
      <c r="B411" s="27"/>
      <c r="C411" s="22"/>
      <c r="D411" s="23"/>
      <c r="E411" s="23"/>
      <c r="F411" s="23"/>
      <c r="G411" s="24"/>
      <c r="H411" s="24"/>
      <c r="I411" s="22"/>
      <c r="J411" s="25"/>
    </row>
    <row r="412" spans="1:10">
      <c r="A412" s="30">
        <v>52</v>
      </c>
      <c r="B412" s="31" t="s">
        <v>339</v>
      </c>
      <c r="C412" s="32"/>
      <c r="D412" s="33"/>
      <c r="E412" s="33"/>
      <c r="F412" s="33"/>
      <c r="G412" s="34"/>
      <c r="H412" s="34">
        <f>SUM(G412:G419)</f>
        <v>0</v>
      </c>
      <c r="I412" s="35" t="str">
        <f>IF(H412&gt;=20,"Memenuhi","Tidak Memenuhi")</f>
        <v>Tidak Memenuhi</v>
      </c>
      <c r="J412" s="36"/>
    </row>
    <row r="413" spans="1:10">
      <c r="A413" s="18"/>
      <c r="B413" s="26"/>
      <c r="C413" s="22"/>
      <c r="D413" s="23"/>
      <c r="E413" s="23"/>
      <c r="F413" s="23"/>
      <c r="G413" s="24"/>
      <c r="H413" s="24"/>
      <c r="I413" s="22"/>
      <c r="J413" s="25"/>
    </row>
    <row r="414" spans="1:10">
      <c r="A414" s="18"/>
      <c r="B414" s="26"/>
      <c r="C414" s="22"/>
      <c r="D414" s="23"/>
      <c r="E414" s="23"/>
      <c r="F414" s="23"/>
      <c r="G414" s="24"/>
      <c r="H414" s="24"/>
      <c r="I414" s="22"/>
      <c r="J414" s="25"/>
    </row>
    <row r="415" spans="1:10">
      <c r="A415" s="18"/>
      <c r="B415" s="26"/>
      <c r="C415" s="22"/>
      <c r="D415" s="23"/>
      <c r="E415" s="23"/>
      <c r="F415" s="23"/>
      <c r="G415" s="24"/>
      <c r="H415" s="24"/>
      <c r="I415" s="22"/>
      <c r="J415" s="25"/>
    </row>
    <row r="416" spans="1:10">
      <c r="A416" s="18"/>
      <c r="B416" s="26"/>
      <c r="C416" s="22"/>
      <c r="D416" s="23"/>
      <c r="E416" s="23"/>
      <c r="F416" s="23"/>
      <c r="G416" s="24"/>
      <c r="H416" s="24"/>
      <c r="I416" s="22"/>
      <c r="J416" s="25"/>
    </row>
    <row r="417" spans="1:10">
      <c r="A417" s="18"/>
      <c r="B417" s="26"/>
      <c r="C417" s="22"/>
      <c r="D417" s="23"/>
      <c r="E417" s="23"/>
      <c r="F417" s="23"/>
      <c r="G417" s="24"/>
      <c r="H417" s="24"/>
      <c r="I417" s="22"/>
      <c r="J417" s="25"/>
    </row>
    <row r="418" spans="1:10">
      <c r="A418" s="18"/>
      <c r="B418" s="26"/>
      <c r="C418" s="22"/>
      <c r="D418" s="23"/>
      <c r="E418" s="23"/>
      <c r="F418" s="23"/>
      <c r="G418" s="24"/>
      <c r="H418" s="24"/>
      <c r="I418" s="22"/>
      <c r="J418" s="25"/>
    </row>
    <row r="419" spans="1:10">
      <c r="A419" s="19"/>
      <c r="B419" s="27"/>
      <c r="C419" s="22"/>
      <c r="D419" s="23"/>
      <c r="E419" s="23"/>
      <c r="F419" s="23"/>
      <c r="G419" s="24"/>
      <c r="H419" s="24"/>
      <c r="I419" s="22"/>
      <c r="J419" s="25"/>
    </row>
    <row r="420" spans="1:10">
      <c r="A420" s="30">
        <v>53</v>
      </c>
      <c r="B420" s="31" t="s">
        <v>342</v>
      </c>
      <c r="C420" s="32"/>
      <c r="D420" s="33"/>
      <c r="E420" s="33"/>
      <c r="F420" s="33"/>
      <c r="G420" s="34"/>
      <c r="H420" s="34">
        <f>SUM(G420:G427)</f>
        <v>0</v>
      </c>
      <c r="I420" s="35" t="str">
        <f>IF(H420&gt;=20,"Memenuhi","Tidak Memenuhi")</f>
        <v>Tidak Memenuhi</v>
      </c>
      <c r="J420" s="36"/>
    </row>
    <row r="421" spans="1:10">
      <c r="A421" s="18"/>
      <c r="B421" s="26"/>
      <c r="C421" s="22"/>
      <c r="D421" s="23"/>
      <c r="E421" s="23"/>
      <c r="F421" s="23"/>
      <c r="G421" s="24"/>
      <c r="H421" s="24"/>
      <c r="I421" s="22"/>
      <c r="J421" s="25"/>
    </row>
    <row r="422" spans="1:10">
      <c r="A422" s="18"/>
      <c r="B422" s="26"/>
      <c r="C422" s="22"/>
      <c r="D422" s="23"/>
      <c r="E422" s="23"/>
      <c r="F422" s="23"/>
      <c r="G422" s="24"/>
      <c r="H422" s="24"/>
      <c r="I422" s="22"/>
      <c r="J422" s="25"/>
    </row>
    <row r="423" spans="1:10">
      <c r="A423" s="18"/>
      <c r="B423" s="26"/>
      <c r="C423" s="22"/>
      <c r="D423" s="23"/>
      <c r="E423" s="23"/>
      <c r="F423" s="23"/>
      <c r="G423" s="24"/>
      <c r="H423" s="24"/>
      <c r="I423" s="22"/>
      <c r="J423" s="25"/>
    </row>
    <row r="424" spans="1:10">
      <c r="A424" s="18"/>
      <c r="B424" s="26"/>
      <c r="C424" s="22"/>
      <c r="D424" s="23"/>
      <c r="E424" s="23"/>
      <c r="F424" s="23"/>
      <c r="G424" s="24"/>
      <c r="H424" s="24"/>
      <c r="I424" s="22"/>
      <c r="J424" s="25"/>
    </row>
    <row r="425" spans="1:10">
      <c r="A425" s="18"/>
      <c r="B425" s="26"/>
      <c r="C425" s="22"/>
      <c r="D425" s="23"/>
      <c r="E425" s="23"/>
      <c r="F425" s="23"/>
      <c r="G425" s="24"/>
      <c r="H425" s="24"/>
      <c r="I425" s="22"/>
      <c r="J425" s="25"/>
    </row>
    <row r="426" spans="1:10">
      <c r="A426" s="18"/>
      <c r="B426" s="26"/>
      <c r="C426" s="22"/>
      <c r="D426" s="23"/>
      <c r="E426" s="23"/>
      <c r="F426" s="23"/>
      <c r="G426" s="24"/>
      <c r="H426" s="24"/>
      <c r="I426" s="22"/>
      <c r="J426" s="25"/>
    </row>
    <row r="427" spans="1:10">
      <c r="A427" s="19"/>
      <c r="B427" s="27"/>
      <c r="C427" s="22"/>
      <c r="D427" s="23"/>
      <c r="E427" s="23"/>
      <c r="F427" s="23"/>
      <c r="G427" s="24"/>
      <c r="H427" s="24"/>
      <c r="I427" s="22"/>
      <c r="J427" s="25"/>
    </row>
    <row r="428" spans="1:10">
      <c r="A428" s="30">
        <v>54</v>
      </c>
      <c r="B428" s="31" t="s">
        <v>344</v>
      </c>
      <c r="C428" s="32"/>
      <c r="D428" s="33"/>
      <c r="E428" s="33"/>
      <c r="F428" s="33"/>
      <c r="G428" s="34"/>
      <c r="H428" s="34">
        <f>SUM(G428:G435)</f>
        <v>0</v>
      </c>
      <c r="I428" s="35" t="str">
        <f>IF(H428&gt;=20,"Memenuhi","Tidak Memenuhi")</f>
        <v>Tidak Memenuhi</v>
      </c>
      <c r="J428" s="36"/>
    </row>
    <row r="429" spans="1:10">
      <c r="A429" s="18"/>
      <c r="B429" s="26"/>
      <c r="C429" s="22"/>
      <c r="D429" s="23"/>
      <c r="E429" s="23"/>
      <c r="F429" s="23"/>
      <c r="G429" s="24"/>
      <c r="H429" s="24"/>
      <c r="I429" s="22"/>
      <c r="J429" s="25"/>
    </row>
    <row r="430" spans="1:10">
      <c r="A430" s="18"/>
      <c r="B430" s="26"/>
      <c r="C430" s="22"/>
      <c r="D430" s="23"/>
      <c r="E430" s="23"/>
      <c r="F430" s="23"/>
      <c r="G430" s="24"/>
      <c r="H430" s="24"/>
      <c r="I430" s="22"/>
      <c r="J430" s="25"/>
    </row>
    <row r="431" spans="1:10">
      <c r="A431" s="18"/>
      <c r="B431" s="26"/>
      <c r="C431" s="22"/>
      <c r="D431" s="23"/>
      <c r="E431" s="23"/>
      <c r="F431" s="23"/>
      <c r="G431" s="24"/>
      <c r="H431" s="24"/>
      <c r="I431" s="22"/>
      <c r="J431" s="25"/>
    </row>
    <row r="432" spans="1:10">
      <c r="A432" s="18"/>
      <c r="B432" s="26"/>
      <c r="C432" s="22"/>
      <c r="D432" s="23"/>
      <c r="E432" s="23"/>
      <c r="F432" s="23"/>
      <c r="G432" s="24"/>
      <c r="H432" s="24"/>
      <c r="I432" s="22"/>
      <c r="J432" s="25"/>
    </row>
    <row r="433" spans="1:10">
      <c r="A433" s="18"/>
      <c r="B433" s="26"/>
      <c r="C433" s="22"/>
      <c r="D433" s="23"/>
      <c r="E433" s="23"/>
      <c r="F433" s="23"/>
      <c r="G433" s="24"/>
      <c r="H433" s="24"/>
      <c r="I433" s="22"/>
      <c r="J433" s="25"/>
    </row>
    <row r="434" spans="1:10">
      <c r="A434" s="18"/>
      <c r="B434" s="26"/>
      <c r="C434" s="22"/>
      <c r="D434" s="23"/>
      <c r="E434" s="23"/>
      <c r="F434" s="23"/>
      <c r="G434" s="24"/>
      <c r="H434" s="24"/>
      <c r="I434" s="22"/>
      <c r="J434" s="25"/>
    </row>
    <row r="435" spans="1:10">
      <c r="A435" s="19"/>
      <c r="B435" s="27"/>
      <c r="C435" s="22"/>
      <c r="D435" s="23"/>
      <c r="E435" s="23"/>
      <c r="F435" s="23"/>
      <c r="G435" s="24"/>
      <c r="H435" s="24"/>
      <c r="I435" s="22"/>
      <c r="J435" s="25"/>
    </row>
    <row r="436" spans="1:10">
      <c r="A436" s="30">
        <v>55</v>
      </c>
      <c r="B436" s="31" t="s">
        <v>347</v>
      </c>
      <c r="C436" s="32"/>
      <c r="D436" s="33"/>
      <c r="E436" s="33"/>
      <c r="F436" s="33"/>
      <c r="G436" s="34"/>
      <c r="H436" s="34">
        <f>SUM(G436:G443)</f>
        <v>0</v>
      </c>
      <c r="I436" s="35" t="str">
        <f>IF(H436&gt;=20,"Memenuhi","Tidak Memenuhi")</f>
        <v>Tidak Memenuhi</v>
      </c>
      <c r="J436" s="36"/>
    </row>
    <row r="437" spans="1:10">
      <c r="A437" s="18"/>
      <c r="B437" s="26"/>
      <c r="C437" s="22"/>
      <c r="D437" s="23"/>
      <c r="E437" s="23"/>
      <c r="F437" s="23"/>
      <c r="G437" s="24"/>
      <c r="H437" s="24"/>
      <c r="I437" s="22"/>
      <c r="J437" s="25"/>
    </row>
    <row r="438" spans="1:10">
      <c r="A438" s="18"/>
      <c r="B438" s="26"/>
      <c r="C438" s="22"/>
      <c r="D438" s="23"/>
      <c r="E438" s="23"/>
      <c r="F438" s="23"/>
      <c r="G438" s="24"/>
      <c r="H438" s="24"/>
      <c r="I438" s="22"/>
      <c r="J438" s="25"/>
    </row>
    <row r="439" spans="1:10">
      <c r="A439" s="18"/>
      <c r="B439" s="26"/>
      <c r="C439" s="22"/>
      <c r="D439" s="23"/>
      <c r="E439" s="23"/>
      <c r="F439" s="23"/>
      <c r="G439" s="24"/>
      <c r="H439" s="24"/>
      <c r="I439" s="22"/>
      <c r="J439" s="25"/>
    </row>
    <row r="440" spans="1:10">
      <c r="A440" s="18"/>
      <c r="B440" s="26"/>
      <c r="C440" s="22"/>
      <c r="D440" s="23"/>
      <c r="E440" s="23"/>
      <c r="F440" s="23"/>
      <c r="G440" s="24"/>
      <c r="H440" s="24"/>
      <c r="I440" s="22"/>
      <c r="J440" s="25"/>
    </row>
    <row r="441" spans="1:10">
      <c r="A441" s="18"/>
      <c r="B441" s="26"/>
      <c r="C441" s="22"/>
      <c r="D441" s="23"/>
      <c r="E441" s="23"/>
      <c r="F441" s="23"/>
      <c r="G441" s="24"/>
      <c r="H441" s="24"/>
      <c r="I441" s="22"/>
      <c r="J441" s="25"/>
    </row>
    <row r="442" spans="1:10">
      <c r="A442" s="18"/>
      <c r="B442" s="26"/>
      <c r="C442" s="22"/>
      <c r="D442" s="23"/>
      <c r="E442" s="23"/>
      <c r="F442" s="23"/>
      <c r="G442" s="24"/>
      <c r="H442" s="24"/>
      <c r="I442" s="22"/>
      <c r="J442" s="25"/>
    </row>
    <row r="443" spans="1:10">
      <c r="A443" s="19"/>
      <c r="B443" s="27"/>
      <c r="C443" s="22"/>
      <c r="D443" s="23"/>
      <c r="E443" s="23"/>
      <c r="F443" s="23"/>
      <c r="G443" s="24"/>
      <c r="H443" s="24"/>
      <c r="I443" s="22"/>
      <c r="J443" s="25"/>
    </row>
    <row r="444" spans="1:10">
      <c r="A444" s="30">
        <v>56</v>
      </c>
      <c r="B444" s="31" t="s">
        <v>350</v>
      </c>
      <c r="C444" s="32"/>
      <c r="D444" s="33"/>
      <c r="E444" s="33"/>
      <c r="F444" s="33"/>
      <c r="G444" s="34"/>
      <c r="H444" s="34">
        <f>SUM(G444:G451)</f>
        <v>0</v>
      </c>
      <c r="I444" s="35" t="str">
        <f>IF(H444&gt;=20,"Memenuhi","Tidak Memenuhi")</f>
        <v>Tidak Memenuhi</v>
      </c>
      <c r="J444" s="36"/>
    </row>
    <row r="445" spans="1:10">
      <c r="A445" s="18"/>
      <c r="B445" s="26"/>
      <c r="C445" s="22"/>
      <c r="D445" s="23"/>
      <c r="E445" s="23"/>
      <c r="F445" s="23"/>
      <c r="G445" s="24"/>
      <c r="H445" s="24"/>
      <c r="I445" s="22"/>
      <c r="J445" s="25"/>
    </row>
    <row r="446" spans="1:10">
      <c r="A446" s="18"/>
      <c r="B446" s="26"/>
      <c r="C446" s="22"/>
      <c r="D446" s="23"/>
      <c r="E446" s="23"/>
      <c r="F446" s="23"/>
      <c r="G446" s="24"/>
      <c r="H446" s="24"/>
      <c r="I446" s="22"/>
      <c r="J446" s="25"/>
    </row>
    <row r="447" spans="1:10">
      <c r="A447" s="18"/>
      <c r="B447" s="26"/>
      <c r="C447" s="22"/>
      <c r="D447" s="23"/>
      <c r="E447" s="23"/>
      <c r="F447" s="23"/>
      <c r="G447" s="24"/>
      <c r="H447" s="24"/>
      <c r="I447" s="22"/>
      <c r="J447" s="25"/>
    </row>
    <row r="448" spans="1:10">
      <c r="A448" s="18"/>
      <c r="B448" s="26"/>
      <c r="C448" s="22"/>
      <c r="D448" s="23"/>
      <c r="E448" s="23"/>
      <c r="F448" s="23"/>
      <c r="G448" s="24"/>
      <c r="H448" s="24"/>
      <c r="I448" s="22"/>
      <c r="J448" s="25"/>
    </row>
    <row r="449" spans="1:10">
      <c r="A449" s="18"/>
      <c r="B449" s="26"/>
      <c r="C449" s="22"/>
      <c r="D449" s="23"/>
      <c r="E449" s="23"/>
      <c r="F449" s="23"/>
      <c r="G449" s="24"/>
      <c r="H449" s="24"/>
      <c r="I449" s="22"/>
      <c r="J449" s="25"/>
    </row>
    <row r="450" spans="1:10">
      <c r="A450" s="18"/>
      <c r="B450" s="26"/>
      <c r="C450" s="22"/>
      <c r="D450" s="23"/>
      <c r="E450" s="23"/>
      <c r="F450" s="23"/>
      <c r="G450" s="24"/>
      <c r="H450" s="24"/>
      <c r="I450" s="22"/>
      <c r="J450" s="25"/>
    </row>
    <row r="451" spans="1:10">
      <c r="A451" s="19"/>
      <c r="B451" s="27"/>
      <c r="C451" s="22"/>
      <c r="D451" s="23"/>
      <c r="E451" s="23"/>
      <c r="F451" s="23"/>
      <c r="G451" s="24"/>
      <c r="H451" s="24"/>
      <c r="I451" s="22"/>
      <c r="J451" s="25"/>
    </row>
    <row r="452" spans="1:10">
      <c r="B452" s="15"/>
      <c r="D452" s="17"/>
    </row>
    <row r="453" spans="1:10">
      <c r="B453" s="15"/>
      <c r="D453" s="17"/>
    </row>
    <row r="454" spans="1:10">
      <c r="B454" s="15"/>
      <c r="D454" s="17"/>
    </row>
    <row r="455" spans="1:10">
      <c r="B455" s="15"/>
      <c r="D455" s="17"/>
    </row>
    <row r="456" spans="1:10">
      <c r="D456" s="17"/>
    </row>
  </sheetData>
  <mergeCells count="1">
    <mergeCell ref="A1:J1"/>
  </mergeCells>
  <hyperlinks>
    <hyperlink ref="M3" r:id="rId1" xr:uid="{1893410E-EF71-452A-97B1-03ECF3CD4E8F}"/>
    <hyperlink ref="J12" r:id="rId2" xr:uid="{26BCD7C0-2A5F-4F3A-8352-8FBA0A9EE176}"/>
    <hyperlink ref="J13" r:id="rId3" xr:uid="{6BE8963C-F52D-4835-ADFA-3DAD77EE0B29}"/>
    <hyperlink ref="J14" r:id="rId4" xr:uid="{75D5AD7C-CF2B-4A10-B5ED-B30D0510CCE3}"/>
    <hyperlink ref="J15" r:id="rId5" xr:uid="{D9662AC1-614A-4C64-BAD3-018EAADA1F08}"/>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59F00-624B-4557-B41A-A608599B740D}">
  <dimension ref="A1:K22"/>
  <sheetViews>
    <sheetView workbookViewId="0">
      <selection activeCell="I6" sqref="I6"/>
    </sheetView>
  </sheetViews>
  <sheetFormatPr defaultRowHeight="15"/>
  <cols>
    <col min="1" max="1" width="4.42578125" style="594" customWidth="1"/>
    <col min="2" max="2" width="23.5703125" customWidth="1"/>
    <col min="3" max="3" width="18.5703125" customWidth="1"/>
    <col min="4" max="4" width="17" customWidth="1"/>
    <col min="5" max="6" width="13.140625" customWidth="1"/>
    <col min="7" max="7" width="25" customWidth="1"/>
    <col min="8" max="8" width="18.42578125" style="593" customWidth="1"/>
    <col min="9" max="9" width="42" customWidth="1"/>
    <col min="10" max="10" width="33" customWidth="1"/>
    <col min="11" max="11" width="23.7109375" customWidth="1"/>
  </cols>
  <sheetData>
    <row r="1" spans="1:11">
      <c r="A1" s="1587" t="s">
        <v>1707</v>
      </c>
      <c r="B1" s="1587"/>
      <c r="C1" s="1587"/>
      <c r="D1" s="1587"/>
      <c r="E1" s="1587"/>
      <c r="F1" s="1587"/>
      <c r="G1" s="1587"/>
      <c r="H1" s="1587"/>
      <c r="I1" s="1587"/>
      <c r="J1" s="1587"/>
      <c r="K1" s="1587"/>
    </row>
    <row r="3" spans="1:11" s="42" customFormat="1" ht="50.25" customHeight="1">
      <c r="A3" s="599" t="s">
        <v>61</v>
      </c>
      <c r="B3" s="599" t="s">
        <v>366</v>
      </c>
      <c r="C3" s="599" t="s">
        <v>2</v>
      </c>
      <c r="D3" s="599" t="s">
        <v>1206</v>
      </c>
      <c r="E3" s="599" t="s">
        <v>1708</v>
      </c>
      <c r="F3" s="599" t="s">
        <v>1709</v>
      </c>
      <c r="G3" s="599" t="s">
        <v>1710</v>
      </c>
      <c r="H3" s="599" t="s">
        <v>1350</v>
      </c>
      <c r="I3" s="599" t="s">
        <v>1711</v>
      </c>
      <c r="J3" s="599" t="s">
        <v>1712</v>
      </c>
      <c r="K3" s="599" t="s">
        <v>9</v>
      </c>
    </row>
    <row r="4" spans="1:11" s="17" customFormat="1" ht="84" customHeight="1">
      <c r="A4" s="600">
        <v>1</v>
      </c>
      <c r="B4" s="595" t="s">
        <v>982</v>
      </c>
      <c r="C4" s="596" t="s">
        <v>1288</v>
      </c>
      <c r="D4" s="631" t="s">
        <v>13</v>
      </c>
      <c r="E4" s="628" t="s">
        <v>1360</v>
      </c>
      <c r="F4" s="628" t="s">
        <v>1713</v>
      </c>
      <c r="G4" s="629" t="s">
        <v>1714</v>
      </c>
      <c r="H4" s="629" t="s">
        <v>1715</v>
      </c>
      <c r="I4" s="630" t="s">
        <v>1716</v>
      </c>
      <c r="J4" s="630" t="s">
        <v>1717</v>
      </c>
      <c r="K4" s="1567" t="s">
        <v>1718</v>
      </c>
    </row>
    <row r="5" spans="1:11" s="17" customFormat="1" ht="72.75" customHeight="1">
      <c r="A5" s="600">
        <v>2</v>
      </c>
      <c r="B5" s="597" t="s">
        <v>1002</v>
      </c>
      <c r="C5" s="598" t="s">
        <v>1290</v>
      </c>
      <c r="D5" s="632" t="s">
        <v>1291</v>
      </c>
      <c r="E5" s="628" t="s">
        <v>1360</v>
      </c>
      <c r="F5" s="628" t="s">
        <v>1713</v>
      </c>
      <c r="G5" s="629" t="s">
        <v>1719</v>
      </c>
      <c r="H5" s="629" t="s">
        <v>1715</v>
      </c>
      <c r="I5" s="630" t="s">
        <v>1720</v>
      </c>
      <c r="J5" s="630" t="s">
        <v>1721</v>
      </c>
      <c r="K5" s="1567"/>
    </row>
    <row r="6" spans="1:11" s="17" customFormat="1" ht="88.5" customHeight="1">
      <c r="A6" s="600">
        <v>3</v>
      </c>
      <c r="B6" s="597" t="s">
        <v>1016</v>
      </c>
      <c r="C6" s="598" t="s">
        <v>1294</v>
      </c>
      <c r="D6" s="632" t="s">
        <v>1295</v>
      </c>
      <c r="E6" s="628" t="s">
        <v>1360</v>
      </c>
      <c r="F6" s="628" t="s">
        <v>1713</v>
      </c>
      <c r="G6" s="629" t="s">
        <v>1719</v>
      </c>
      <c r="H6" s="629" t="s">
        <v>1715</v>
      </c>
      <c r="I6" s="630" t="s">
        <v>1722</v>
      </c>
      <c r="J6" s="630" t="s">
        <v>1723</v>
      </c>
      <c r="K6" s="1567"/>
    </row>
    <row r="7" spans="1:11" s="17" customFormat="1" ht="69.75" customHeight="1">
      <c r="A7" s="600">
        <v>4</v>
      </c>
      <c r="B7" s="597" t="s">
        <v>1023</v>
      </c>
      <c r="C7" s="598" t="s">
        <v>1298</v>
      </c>
      <c r="D7" s="632" t="s">
        <v>13</v>
      </c>
      <c r="E7" s="628" t="s">
        <v>1360</v>
      </c>
      <c r="F7" s="628" t="s">
        <v>1713</v>
      </c>
      <c r="G7" s="629" t="s">
        <v>1724</v>
      </c>
      <c r="H7" s="629" t="s">
        <v>1715</v>
      </c>
      <c r="I7" s="630" t="s">
        <v>1725</v>
      </c>
      <c r="J7" s="630" t="s">
        <v>1726</v>
      </c>
      <c r="K7" s="1567"/>
    </row>
    <row r="8" spans="1:11" s="17" customFormat="1" ht="81.75" customHeight="1">
      <c r="A8" s="600">
        <v>5</v>
      </c>
      <c r="B8" s="597" t="s">
        <v>1036</v>
      </c>
      <c r="C8" s="598" t="s">
        <v>1299</v>
      </c>
      <c r="D8" s="632" t="s">
        <v>1301</v>
      </c>
      <c r="E8" s="628" t="s">
        <v>1360</v>
      </c>
      <c r="F8" s="628" t="s">
        <v>1713</v>
      </c>
      <c r="G8" s="629" t="s">
        <v>1719</v>
      </c>
      <c r="H8" s="629" t="s">
        <v>1727</v>
      </c>
      <c r="I8" s="630" t="s">
        <v>1728</v>
      </c>
      <c r="J8" s="630" t="s">
        <v>1729</v>
      </c>
      <c r="K8" s="1567"/>
    </row>
    <row r="9" spans="1:11" s="17" customFormat="1" ht="81" customHeight="1">
      <c r="A9" s="600">
        <v>6</v>
      </c>
      <c r="B9" s="597" t="s">
        <v>1043</v>
      </c>
      <c r="C9" s="598" t="s">
        <v>1305</v>
      </c>
      <c r="D9" s="632" t="s">
        <v>1295</v>
      </c>
      <c r="E9" s="628" t="s">
        <v>1360</v>
      </c>
      <c r="F9" s="628" t="s">
        <v>1713</v>
      </c>
      <c r="G9" s="629" t="s">
        <v>1719</v>
      </c>
      <c r="H9" s="629" t="s">
        <v>1715</v>
      </c>
      <c r="I9" s="630" t="s">
        <v>1730</v>
      </c>
      <c r="J9" s="630" t="s">
        <v>1731</v>
      </c>
      <c r="K9" s="1567"/>
    </row>
    <row r="10" spans="1:11" s="17" customFormat="1" ht="95.25" customHeight="1">
      <c r="A10" s="600">
        <v>7</v>
      </c>
      <c r="B10" s="597" t="s">
        <v>1050</v>
      </c>
      <c r="C10" s="598" t="s">
        <v>1306</v>
      </c>
      <c r="D10" s="632" t="s">
        <v>13</v>
      </c>
      <c r="E10" s="628" t="s">
        <v>1360</v>
      </c>
      <c r="F10" s="628" t="s">
        <v>1713</v>
      </c>
      <c r="G10" s="629" t="s">
        <v>1732</v>
      </c>
      <c r="H10" s="629" t="s">
        <v>1715</v>
      </c>
      <c r="I10" s="630" t="s">
        <v>1733</v>
      </c>
      <c r="J10" s="630" t="s">
        <v>1734</v>
      </c>
      <c r="K10" s="1567"/>
    </row>
    <row r="11" spans="1:11" s="17" customFormat="1" ht="91.5" customHeight="1">
      <c r="A11" s="600">
        <v>8</v>
      </c>
      <c r="B11" s="597" t="s">
        <v>1059</v>
      </c>
      <c r="C11" s="598" t="s">
        <v>1307</v>
      </c>
      <c r="D11" s="632" t="s">
        <v>13</v>
      </c>
      <c r="E11" s="628" t="s">
        <v>1360</v>
      </c>
      <c r="F11" s="628" t="s">
        <v>1713</v>
      </c>
      <c r="G11" s="629" t="s">
        <v>1732</v>
      </c>
      <c r="H11" s="629" t="s">
        <v>1715</v>
      </c>
      <c r="I11" s="630" t="s">
        <v>1735</v>
      </c>
      <c r="J11" s="630" t="s">
        <v>1736</v>
      </c>
      <c r="K11" s="1567"/>
    </row>
    <row r="12" spans="1:11" s="17" customFormat="1" ht="106.5" customHeight="1">
      <c r="A12" s="600">
        <v>9</v>
      </c>
      <c r="B12" s="597" t="s">
        <v>1085</v>
      </c>
      <c r="C12" s="598" t="s">
        <v>1308</v>
      </c>
      <c r="D12" s="632" t="s">
        <v>13</v>
      </c>
      <c r="E12" s="628" t="s">
        <v>1360</v>
      </c>
      <c r="F12" s="628" t="s">
        <v>1713</v>
      </c>
      <c r="G12" s="629" t="s">
        <v>1737</v>
      </c>
      <c r="H12" s="629" t="s">
        <v>1738</v>
      </c>
      <c r="I12" s="630" t="s">
        <v>1739</v>
      </c>
      <c r="J12" s="630" t="s">
        <v>1740</v>
      </c>
      <c r="K12" s="1567"/>
    </row>
    <row r="13" spans="1:11" s="17" customFormat="1" ht="106.5" customHeight="1">
      <c r="A13" s="600">
        <v>10</v>
      </c>
      <c r="B13" s="597" t="s">
        <v>1094</v>
      </c>
      <c r="C13" s="598" t="s">
        <v>1309</v>
      </c>
      <c r="D13" s="632" t="s">
        <v>13</v>
      </c>
      <c r="E13" s="628" t="s">
        <v>1360</v>
      </c>
      <c r="F13" s="628" t="s">
        <v>1713</v>
      </c>
      <c r="G13" s="629" t="s">
        <v>1737</v>
      </c>
      <c r="H13" s="629" t="s">
        <v>1738</v>
      </c>
      <c r="I13" s="630" t="s">
        <v>1741</v>
      </c>
      <c r="J13" s="630" t="s">
        <v>1742</v>
      </c>
      <c r="K13" s="1567"/>
    </row>
    <row r="14" spans="1:11" s="17" customFormat="1" ht="122.25" customHeight="1">
      <c r="A14" s="600">
        <v>11</v>
      </c>
      <c r="B14" s="597" t="s">
        <v>1105</v>
      </c>
      <c r="C14" s="598" t="s">
        <v>1310</v>
      </c>
      <c r="D14" s="632" t="s">
        <v>13</v>
      </c>
      <c r="E14" s="628" t="s">
        <v>1360</v>
      </c>
      <c r="F14" s="628" t="s">
        <v>1713</v>
      </c>
      <c r="G14" s="629" t="s">
        <v>1737</v>
      </c>
      <c r="H14" s="629" t="s">
        <v>1738</v>
      </c>
      <c r="I14" s="630" t="s">
        <v>1743</v>
      </c>
      <c r="J14" s="630" t="s">
        <v>1744</v>
      </c>
      <c r="K14" s="1567"/>
    </row>
    <row r="15" spans="1:11" s="17" customFormat="1" ht="72">
      <c r="A15" s="600">
        <v>12</v>
      </c>
      <c r="B15" s="597" t="s">
        <v>1745</v>
      </c>
      <c r="C15" s="598" t="s">
        <v>1311</v>
      </c>
      <c r="D15" s="632" t="s">
        <v>1301</v>
      </c>
      <c r="E15" s="628" t="s">
        <v>1360</v>
      </c>
      <c r="F15" s="628" t="s">
        <v>1713</v>
      </c>
      <c r="G15" s="629" t="s">
        <v>1719</v>
      </c>
      <c r="H15" s="629" t="s">
        <v>1727</v>
      </c>
      <c r="I15" s="630" t="s">
        <v>1746</v>
      </c>
      <c r="J15" s="630" t="s">
        <v>1747</v>
      </c>
      <c r="K15" s="1567"/>
    </row>
    <row r="16" spans="1:11" s="17" customFormat="1" ht="93" customHeight="1">
      <c r="A16" s="600">
        <v>13</v>
      </c>
      <c r="B16" s="597" t="s">
        <v>1119</v>
      </c>
      <c r="C16" s="598" t="s">
        <v>1312</v>
      </c>
      <c r="D16" s="632" t="s">
        <v>1313</v>
      </c>
      <c r="E16" s="628" t="s">
        <v>1360</v>
      </c>
      <c r="F16" s="628" t="s">
        <v>1713</v>
      </c>
      <c r="G16" s="629" t="s">
        <v>1748</v>
      </c>
      <c r="H16" s="629" t="s">
        <v>1749</v>
      </c>
      <c r="I16" s="630" t="s">
        <v>1750</v>
      </c>
      <c r="J16" s="630" t="s">
        <v>1751</v>
      </c>
      <c r="K16" s="1567"/>
    </row>
    <row r="17" spans="1:11" s="17" customFormat="1" ht="114" customHeight="1">
      <c r="A17" s="600">
        <v>14</v>
      </c>
      <c r="B17" s="597" t="s">
        <v>1124</v>
      </c>
      <c r="C17" s="598" t="s">
        <v>1316</v>
      </c>
      <c r="D17" s="632" t="s">
        <v>13</v>
      </c>
      <c r="E17" s="628" t="s">
        <v>1360</v>
      </c>
      <c r="F17" s="628" t="s">
        <v>1713</v>
      </c>
      <c r="G17" s="629" t="s">
        <v>1724</v>
      </c>
      <c r="H17" s="629" t="s">
        <v>1749</v>
      </c>
      <c r="I17" s="630" t="s">
        <v>1752</v>
      </c>
      <c r="J17" s="630" t="s">
        <v>1753</v>
      </c>
      <c r="K17" s="1567"/>
    </row>
    <row r="18" spans="1:11" s="17" customFormat="1" ht="87.75" customHeight="1">
      <c r="A18" s="600">
        <v>15</v>
      </c>
      <c r="B18" s="597" t="s">
        <v>1132</v>
      </c>
      <c r="C18" s="598" t="s">
        <v>1317</v>
      </c>
      <c r="D18" s="632" t="s">
        <v>1291</v>
      </c>
      <c r="E18" s="628" t="s">
        <v>1360</v>
      </c>
      <c r="F18" s="628" t="s">
        <v>1713</v>
      </c>
      <c r="G18" s="629" t="s">
        <v>1719</v>
      </c>
      <c r="H18" s="629" t="s">
        <v>1749</v>
      </c>
      <c r="I18" s="630" t="s">
        <v>1754</v>
      </c>
      <c r="J18" s="630" t="s">
        <v>1755</v>
      </c>
      <c r="K18" s="1567"/>
    </row>
    <row r="22" spans="1:11">
      <c r="I22" s="601"/>
    </row>
  </sheetData>
  <mergeCells count="2">
    <mergeCell ref="K4:K18"/>
    <mergeCell ref="A1:K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84900-44A4-422A-B232-209F28F9F8CE}">
  <dimension ref="A3:G6"/>
  <sheetViews>
    <sheetView workbookViewId="0">
      <selection activeCell="G5" sqref="G5"/>
    </sheetView>
  </sheetViews>
  <sheetFormatPr defaultRowHeight="15"/>
  <sheetData>
    <row r="3" spans="1:7">
      <c r="A3" t="s">
        <v>1756</v>
      </c>
      <c r="F3" t="s">
        <v>1757</v>
      </c>
    </row>
    <row r="4" spans="1:7">
      <c r="A4" t="s">
        <v>1758</v>
      </c>
      <c r="F4" t="s">
        <v>1759</v>
      </c>
      <c r="G4" t="s">
        <v>1760</v>
      </c>
    </row>
    <row r="5" spans="1:7">
      <c r="F5" t="s">
        <v>1761</v>
      </c>
    </row>
    <row r="6" spans="1:7">
      <c r="F6" t="s">
        <v>1761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594A2-FBAB-404C-8D5E-C728E53BD12E}">
  <dimension ref="A1:M23"/>
  <sheetViews>
    <sheetView workbookViewId="0">
      <selection activeCell="I9" sqref="I9"/>
    </sheetView>
  </sheetViews>
  <sheetFormatPr defaultRowHeight="15"/>
  <cols>
    <col min="2" max="2" width="28.85546875" customWidth="1"/>
    <col min="3" max="3" width="20.42578125" customWidth="1"/>
    <col min="4" max="4" width="33.85546875" customWidth="1"/>
    <col min="5" max="5" width="12.5703125" customWidth="1"/>
    <col min="6" max="6" width="27.85546875" customWidth="1"/>
    <col min="7" max="7" width="20.28515625" customWidth="1"/>
    <col min="8" max="8" width="20.140625" customWidth="1"/>
    <col min="13" max="13" width="15.140625" customWidth="1"/>
  </cols>
  <sheetData>
    <row r="1" spans="1:13">
      <c r="A1" t="s">
        <v>1762</v>
      </c>
    </row>
    <row r="3" spans="1:13" s="42" customFormat="1" ht="45.75">
      <c r="A3" s="46" t="s">
        <v>61</v>
      </c>
      <c r="B3" s="46" t="s">
        <v>1672</v>
      </c>
      <c r="C3" s="46" t="s">
        <v>1763</v>
      </c>
      <c r="D3" s="46" t="s">
        <v>1764</v>
      </c>
      <c r="E3" s="46" t="s">
        <v>1675</v>
      </c>
      <c r="F3" s="46" t="s">
        <v>1765</v>
      </c>
      <c r="G3" s="46" t="s">
        <v>1766</v>
      </c>
      <c r="H3" s="46" t="s">
        <v>1767</v>
      </c>
      <c r="M3" s="43" t="s">
        <v>1768</v>
      </c>
    </row>
    <row r="4" spans="1:13">
      <c r="A4" s="44"/>
      <c r="B4" s="44" t="s">
        <v>1769</v>
      </c>
      <c r="C4" s="44" t="s">
        <v>1770</v>
      </c>
      <c r="D4" s="44" t="s">
        <v>391</v>
      </c>
      <c r="E4" s="44"/>
      <c r="F4" s="44" t="s">
        <v>168</v>
      </c>
      <c r="G4" s="44"/>
      <c r="H4" s="44"/>
      <c r="M4" s="45" t="s">
        <v>1771</v>
      </c>
    </row>
    <row r="5" spans="1:13">
      <c r="A5" s="44"/>
      <c r="B5" s="44"/>
      <c r="C5" s="44"/>
      <c r="D5" s="44"/>
      <c r="E5" s="44"/>
      <c r="F5" s="44" t="s">
        <v>143</v>
      </c>
      <c r="G5" s="44"/>
      <c r="H5" s="44"/>
      <c r="M5" s="45" t="s">
        <v>1772</v>
      </c>
    </row>
    <row r="6" spans="1:13">
      <c r="A6" s="44"/>
      <c r="B6" s="44"/>
      <c r="C6" s="44"/>
      <c r="D6" s="44"/>
      <c r="E6" s="44"/>
      <c r="F6" s="44"/>
      <c r="G6" s="44"/>
      <c r="H6" s="44"/>
      <c r="M6" s="45"/>
    </row>
    <row r="7" spans="1:13">
      <c r="A7" s="44"/>
      <c r="B7" s="44"/>
      <c r="C7" s="44"/>
      <c r="D7" s="44"/>
      <c r="E7" s="44"/>
      <c r="F7" s="44"/>
      <c r="G7" s="44"/>
      <c r="H7" s="44"/>
    </row>
    <row r="8" spans="1:13">
      <c r="A8" s="44"/>
      <c r="B8" s="44"/>
      <c r="C8" s="44"/>
      <c r="D8" s="44"/>
      <c r="E8" s="44"/>
      <c r="F8" s="44"/>
      <c r="G8" s="44"/>
      <c r="H8" s="44"/>
    </row>
    <row r="9" spans="1:13">
      <c r="A9" s="44"/>
      <c r="B9" s="44"/>
      <c r="C9" s="44"/>
      <c r="D9" s="44"/>
      <c r="E9" s="44"/>
      <c r="F9" s="44"/>
      <c r="G9" s="44"/>
      <c r="H9" s="44"/>
    </row>
    <row r="10" spans="1:13">
      <c r="A10" s="44"/>
      <c r="B10" s="44"/>
      <c r="C10" s="44"/>
      <c r="D10" s="44"/>
      <c r="E10" s="44"/>
      <c r="F10" s="44"/>
      <c r="G10" s="44"/>
      <c r="H10" s="44"/>
    </row>
    <row r="11" spans="1:13">
      <c r="A11" s="44"/>
      <c r="B11" s="44"/>
      <c r="C11" s="44"/>
      <c r="D11" s="44"/>
      <c r="E11" s="44"/>
      <c r="F11" s="44"/>
      <c r="G11" s="44"/>
      <c r="H11" s="44"/>
    </row>
    <row r="12" spans="1:13" ht="30.75">
      <c r="A12" s="44"/>
      <c r="B12" s="22" t="s">
        <v>1773</v>
      </c>
      <c r="C12" s="44" t="s">
        <v>1774</v>
      </c>
      <c r="D12" s="44" t="s">
        <v>1775</v>
      </c>
      <c r="E12" s="44"/>
      <c r="F12" s="44" t="s">
        <v>143</v>
      </c>
      <c r="G12" s="44"/>
      <c r="H12" s="44"/>
    </row>
    <row r="13" spans="1:13">
      <c r="A13" s="44"/>
      <c r="B13" s="44"/>
      <c r="C13" s="44"/>
      <c r="D13" s="44"/>
      <c r="E13" s="44"/>
      <c r="F13" s="44"/>
      <c r="G13" s="44"/>
      <c r="H13" s="44"/>
    </row>
    <row r="14" spans="1:13">
      <c r="A14" s="44"/>
      <c r="B14" s="44"/>
      <c r="C14" s="44"/>
      <c r="D14" s="44"/>
      <c r="E14" s="44"/>
      <c r="F14" s="44"/>
      <c r="G14" s="44"/>
      <c r="H14" s="44"/>
    </row>
    <row r="15" spans="1:13">
      <c r="A15" s="44"/>
      <c r="B15" s="44"/>
      <c r="C15" s="44"/>
      <c r="D15" s="44"/>
      <c r="E15" s="44"/>
      <c r="F15" s="44"/>
      <c r="G15" s="44"/>
      <c r="H15" s="44"/>
    </row>
    <row r="16" spans="1:13" ht="45.75">
      <c r="A16" s="44"/>
      <c r="B16" s="22" t="s">
        <v>1776</v>
      </c>
      <c r="C16" s="44" t="s">
        <v>1777</v>
      </c>
      <c r="D16" s="44" t="s">
        <v>1778</v>
      </c>
      <c r="E16" s="44"/>
      <c r="F16" s="44" t="s">
        <v>136</v>
      </c>
      <c r="G16" s="44"/>
      <c r="H16" s="44"/>
    </row>
    <row r="17" spans="1:8">
      <c r="A17" s="44"/>
      <c r="B17" s="44"/>
      <c r="C17" s="44"/>
      <c r="D17" s="44"/>
      <c r="E17" s="44"/>
      <c r="F17" s="44"/>
      <c r="G17" s="44"/>
      <c r="H17" s="44"/>
    </row>
    <row r="18" spans="1:8">
      <c r="A18" s="44"/>
      <c r="B18" s="44"/>
      <c r="C18" s="44"/>
      <c r="D18" s="44"/>
      <c r="E18" s="44"/>
      <c r="F18" s="44"/>
      <c r="G18" s="44"/>
      <c r="H18" s="44"/>
    </row>
    <row r="19" spans="1:8">
      <c r="A19" s="44"/>
      <c r="B19" s="44"/>
      <c r="C19" s="44"/>
      <c r="D19" s="44"/>
      <c r="E19" s="44"/>
      <c r="F19" s="44"/>
      <c r="G19" s="44"/>
      <c r="H19" s="44"/>
    </row>
    <row r="20" spans="1:8">
      <c r="A20" s="44"/>
      <c r="B20" s="44"/>
      <c r="C20" s="44"/>
      <c r="D20" s="44"/>
      <c r="E20" s="44"/>
      <c r="F20" s="44"/>
      <c r="G20" s="44"/>
      <c r="H20" s="44"/>
    </row>
    <row r="21" spans="1:8">
      <c r="A21" s="44"/>
      <c r="B21" s="44"/>
      <c r="C21" s="44"/>
      <c r="D21" s="44"/>
      <c r="E21" s="44"/>
      <c r="F21" s="44"/>
      <c r="G21" s="44"/>
      <c r="H21" s="44"/>
    </row>
    <row r="22" spans="1:8">
      <c r="A22" s="44"/>
      <c r="B22" s="44"/>
      <c r="C22" s="44"/>
      <c r="D22" s="44"/>
      <c r="E22" s="44"/>
      <c r="F22" s="44"/>
      <c r="G22" s="44"/>
      <c r="H22" s="44"/>
    </row>
    <row r="23" spans="1:8">
      <c r="A23" s="44"/>
      <c r="B23" s="44"/>
      <c r="C23" s="44"/>
      <c r="D23" s="44"/>
      <c r="E23" s="44"/>
      <c r="F23" s="44"/>
      <c r="G23" s="44"/>
      <c r="H23" s="44"/>
    </row>
  </sheetData>
  <dataValidations count="1">
    <dataValidation type="list" showInputMessage="1" showErrorMessage="1" sqref="G4:G42" xr:uid="{9B3C01BC-9205-4EED-81EF-EA6428C704CD}">
      <formula1>$M$3:$M$5</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62BFE-FF94-41EB-9EBB-B890D6C11224}">
  <sheetPr>
    <pageSetUpPr fitToPage="1"/>
  </sheetPr>
  <dimension ref="A1:Z1009"/>
  <sheetViews>
    <sheetView workbookViewId="0">
      <pane ySplit="4" topLeftCell="A5" activePane="bottomLeft" state="frozen"/>
      <selection pane="bottomLeft" activeCell="D66" sqref="D66"/>
    </sheetView>
  </sheetViews>
  <sheetFormatPr defaultColWidth="12.85546875" defaultRowHeight="15" customHeight="1"/>
  <cols>
    <col min="1" max="1" width="18.140625" style="16" customWidth="1"/>
    <col min="2" max="2" width="4.42578125" style="16" customWidth="1"/>
    <col min="3" max="3" width="42" style="16" customWidth="1"/>
    <col min="4" max="4" width="26.42578125" style="16" customWidth="1"/>
    <col min="5" max="5" width="26.28515625" style="16" customWidth="1"/>
    <col min="6" max="6" width="21.85546875" style="16" customWidth="1"/>
    <col min="7" max="7" width="23.28515625" style="16" customWidth="1"/>
    <col min="8" max="8" width="26.85546875" style="16" customWidth="1"/>
    <col min="9" max="9" width="27.85546875" style="16" customWidth="1"/>
    <col min="10" max="10" width="26.28515625" style="16" customWidth="1"/>
    <col min="11" max="26" width="9.42578125" style="16" customWidth="1"/>
    <col min="27" max="16384" width="12.85546875" style="16"/>
  </cols>
  <sheetData>
    <row r="1" spans="1:26" ht="25.5" customHeight="1">
      <c r="A1" s="1588"/>
      <c r="B1" s="1589"/>
      <c r="C1" s="1589"/>
      <c r="D1" s="1589"/>
      <c r="E1" s="1589"/>
      <c r="F1" s="1589"/>
      <c r="G1" s="1589"/>
      <c r="H1" s="1589"/>
      <c r="I1" s="1589"/>
      <c r="J1" s="1589"/>
      <c r="K1" s="64"/>
      <c r="L1" s="64"/>
      <c r="M1" s="64"/>
      <c r="N1" s="64"/>
      <c r="O1" s="64"/>
      <c r="P1" s="64"/>
      <c r="Q1" s="64"/>
      <c r="R1" s="64"/>
      <c r="S1" s="64"/>
      <c r="T1" s="64"/>
      <c r="U1" s="64"/>
      <c r="V1" s="64"/>
      <c r="W1" s="64"/>
      <c r="X1" s="64"/>
      <c r="Y1" s="64"/>
      <c r="Z1" s="64"/>
    </row>
    <row r="2" spans="1:26" ht="18">
      <c r="A2" s="51" t="s">
        <v>1779</v>
      </c>
      <c r="B2" s="49"/>
      <c r="C2" s="48"/>
      <c r="D2" s="48"/>
      <c r="E2" s="50"/>
      <c r="F2" s="48"/>
      <c r="G2" s="48"/>
      <c r="H2" s="48"/>
      <c r="I2" s="48"/>
      <c r="J2" s="48"/>
      <c r="K2" s="64"/>
      <c r="L2" s="64"/>
      <c r="M2" s="64"/>
      <c r="N2" s="64"/>
      <c r="O2" s="64"/>
      <c r="P2" s="64"/>
      <c r="Q2" s="64"/>
      <c r="R2" s="64"/>
      <c r="S2" s="64"/>
      <c r="T2" s="64"/>
      <c r="U2" s="64"/>
      <c r="V2" s="64"/>
      <c r="W2" s="64"/>
      <c r="X2" s="64"/>
      <c r="Y2" s="64"/>
      <c r="Z2" s="64"/>
    </row>
    <row r="3" spans="1:26" ht="18">
      <c r="A3" s="51"/>
      <c r="B3" s="49"/>
      <c r="C3" s="48"/>
      <c r="D3" s="48"/>
      <c r="E3" s="50"/>
      <c r="F3" s="48"/>
      <c r="G3" s="48"/>
      <c r="H3" s="48"/>
      <c r="I3" s="48"/>
      <c r="J3" s="48"/>
      <c r="K3" s="64"/>
      <c r="L3" s="64"/>
      <c r="M3" s="64"/>
      <c r="N3" s="64"/>
      <c r="O3" s="64"/>
      <c r="P3" s="64"/>
      <c r="Q3" s="64"/>
      <c r="R3" s="64"/>
      <c r="S3" s="64"/>
      <c r="T3" s="64"/>
      <c r="U3" s="64"/>
      <c r="V3" s="64"/>
      <c r="W3" s="64"/>
      <c r="X3" s="64"/>
      <c r="Y3" s="64"/>
      <c r="Z3" s="64"/>
    </row>
    <row r="4" spans="1:26" ht="43.5" customHeight="1">
      <c r="A4" s="75" t="s">
        <v>1780</v>
      </c>
      <c r="B4" s="1590" t="s">
        <v>62</v>
      </c>
      <c r="C4" s="1591"/>
      <c r="D4" s="75" t="s">
        <v>1781</v>
      </c>
      <c r="E4" s="75" t="s">
        <v>63</v>
      </c>
      <c r="F4" s="75" t="s">
        <v>1782</v>
      </c>
      <c r="G4" s="75" t="s">
        <v>1783</v>
      </c>
      <c r="H4" s="75" t="s">
        <v>1784</v>
      </c>
      <c r="I4" s="75" t="s">
        <v>1785</v>
      </c>
      <c r="J4" s="75" t="s">
        <v>1786</v>
      </c>
      <c r="K4" s="64"/>
      <c r="L4" s="64"/>
      <c r="M4" s="64"/>
      <c r="N4" s="64"/>
      <c r="O4" s="64"/>
      <c r="P4" s="64"/>
      <c r="Q4" s="64"/>
      <c r="R4" s="64"/>
      <c r="S4" s="64"/>
      <c r="T4" s="64"/>
      <c r="U4" s="64"/>
      <c r="V4" s="64"/>
      <c r="W4" s="64"/>
      <c r="X4" s="64"/>
      <c r="Y4" s="64"/>
      <c r="Z4" s="64"/>
    </row>
    <row r="5" spans="1:26" ht="37.5" customHeight="1">
      <c r="A5" s="1592" t="s">
        <v>1787</v>
      </c>
      <c r="B5" s="76">
        <v>1</v>
      </c>
      <c r="C5" s="77" t="s">
        <v>1214</v>
      </c>
      <c r="D5" s="78" t="s">
        <v>1215</v>
      </c>
      <c r="E5" s="76" t="s">
        <v>105</v>
      </c>
      <c r="F5" s="76" t="s">
        <v>77</v>
      </c>
      <c r="G5" s="76" t="s">
        <v>77</v>
      </c>
      <c r="H5" s="76" t="s">
        <v>1788</v>
      </c>
      <c r="I5" s="76" t="s">
        <v>1789</v>
      </c>
      <c r="J5" s="76" t="s">
        <v>77</v>
      </c>
      <c r="K5" s="64"/>
      <c r="L5" s="64"/>
      <c r="M5" s="64"/>
      <c r="N5" s="64"/>
      <c r="O5" s="64"/>
      <c r="P5" s="64"/>
      <c r="Q5" s="64"/>
      <c r="R5" s="64"/>
      <c r="S5" s="64"/>
      <c r="T5" s="64"/>
      <c r="U5" s="64"/>
      <c r="V5" s="64"/>
      <c r="W5" s="64"/>
      <c r="X5" s="64"/>
      <c r="Y5" s="64"/>
      <c r="Z5" s="64"/>
    </row>
    <row r="6" spans="1:26" ht="54">
      <c r="A6" s="1593"/>
      <c r="B6" s="76">
        <v>2</v>
      </c>
      <c r="C6" s="77" t="s">
        <v>168</v>
      </c>
      <c r="D6" s="76" t="s">
        <v>169</v>
      </c>
      <c r="E6" s="76" t="s">
        <v>1790</v>
      </c>
      <c r="F6" s="76" t="s">
        <v>77</v>
      </c>
      <c r="G6" s="76" t="s">
        <v>77</v>
      </c>
      <c r="H6" s="76" t="s">
        <v>1791</v>
      </c>
      <c r="I6" s="76" t="s">
        <v>1791</v>
      </c>
      <c r="J6" s="76" t="s">
        <v>77</v>
      </c>
      <c r="K6" s="64"/>
      <c r="L6" s="64"/>
      <c r="M6" s="64"/>
      <c r="N6" s="64"/>
      <c r="O6" s="64"/>
      <c r="P6" s="64"/>
      <c r="Q6" s="64"/>
      <c r="R6" s="64"/>
      <c r="S6" s="64"/>
      <c r="T6" s="64"/>
      <c r="U6" s="64"/>
      <c r="V6" s="64"/>
      <c r="W6" s="64"/>
      <c r="X6" s="64"/>
      <c r="Y6" s="64"/>
      <c r="Z6" s="64"/>
    </row>
    <row r="7" spans="1:26" ht="37.5" customHeight="1">
      <c r="A7" s="1593"/>
      <c r="B7" s="76">
        <v>3</v>
      </c>
      <c r="C7" s="77" t="s">
        <v>115</v>
      </c>
      <c r="D7" s="76" t="s">
        <v>116</v>
      </c>
      <c r="E7" s="76" t="s">
        <v>117</v>
      </c>
      <c r="F7" s="76" t="s">
        <v>77</v>
      </c>
      <c r="G7" s="76" t="s">
        <v>77</v>
      </c>
      <c r="H7" s="76" t="s">
        <v>1792</v>
      </c>
      <c r="I7" s="76" t="s">
        <v>77</v>
      </c>
      <c r="J7" s="76" t="s">
        <v>77</v>
      </c>
      <c r="K7" s="64"/>
      <c r="L7" s="64"/>
      <c r="M7" s="64"/>
      <c r="N7" s="64"/>
      <c r="O7" s="64"/>
      <c r="P7" s="64"/>
      <c r="Q7" s="64"/>
      <c r="R7" s="64"/>
      <c r="S7" s="64"/>
      <c r="T7" s="64"/>
      <c r="U7" s="64"/>
      <c r="V7" s="64"/>
      <c r="W7" s="64"/>
      <c r="X7" s="64"/>
      <c r="Y7" s="64"/>
      <c r="Z7" s="64"/>
    </row>
    <row r="8" spans="1:26" ht="37.5" customHeight="1">
      <c r="A8" s="1593"/>
      <c r="B8" s="76">
        <v>4</v>
      </c>
      <c r="C8" s="77" t="s">
        <v>123</v>
      </c>
      <c r="D8" s="76" t="s">
        <v>124</v>
      </c>
      <c r="E8" s="76" t="s">
        <v>1793</v>
      </c>
      <c r="F8" s="76" t="s">
        <v>77</v>
      </c>
      <c r="G8" s="76" t="s">
        <v>77</v>
      </c>
      <c r="H8" s="76" t="s">
        <v>1789</v>
      </c>
      <c r="I8" s="76" t="s">
        <v>77</v>
      </c>
      <c r="J8" s="76" t="s">
        <v>77</v>
      </c>
      <c r="K8" s="64"/>
      <c r="L8" s="64"/>
      <c r="M8" s="64"/>
      <c r="N8" s="64"/>
      <c r="O8" s="64"/>
      <c r="P8" s="64"/>
      <c r="Q8" s="64"/>
      <c r="R8" s="64"/>
      <c r="S8" s="64"/>
      <c r="T8" s="64"/>
      <c r="U8" s="64"/>
      <c r="V8" s="64"/>
      <c r="W8" s="64"/>
      <c r="X8" s="64"/>
      <c r="Y8" s="64"/>
      <c r="Z8" s="64"/>
    </row>
    <row r="9" spans="1:26" ht="37.5" customHeight="1">
      <c r="A9" s="1593"/>
      <c r="B9" s="76">
        <v>5</v>
      </c>
      <c r="C9" s="77" t="s">
        <v>128</v>
      </c>
      <c r="D9" s="76" t="s">
        <v>129</v>
      </c>
      <c r="E9" s="76" t="s">
        <v>1236</v>
      </c>
      <c r="F9" s="76" t="s">
        <v>77</v>
      </c>
      <c r="G9" s="76" t="s">
        <v>77</v>
      </c>
      <c r="H9" s="76" t="s">
        <v>1794</v>
      </c>
      <c r="I9" s="76" t="s">
        <v>77</v>
      </c>
      <c r="J9" s="76" t="s">
        <v>77</v>
      </c>
      <c r="K9" s="64"/>
      <c r="L9" s="64"/>
      <c r="M9" s="64"/>
      <c r="N9" s="64"/>
      <c r="O9" s="64"/>
      <c r="P9" s="64"/>
      <c r="Q9" s="64"/>
      <c r="R9" s="64"/>
      <c r="S9" s="64"/>
      <c r="T9" s="64"/>
      <c r="U9" s="64"/>
      <c r="V9" s="64"/>
      <c r="W9" s="64"/>
      <c r="X9" s="64"/>
      <c r="Y9" s="64"/>
      <c r="Z9" s="64"/>
    </row>
    <row r="10" spans="1:26" ht="54">
      <c r="A10" s="1593"/>
      <c r="B10" s="76">
        <v>6</v>
      </c>
      <c r="C10" s="77" t="s">
        <v>136</v>
      </c>
      <c r="D10" s="76" t="s">
        <v>137</v>
      </c>
      <c r="E10" s="76" t="s">
        <v>1241</v>
      </c>
      <c r="F10" s="76" t="s">
        <v>77</v>
      </c>
      <c r="G10" s="76" t="s">
        <v>77</v>
      </c>
      <c r="H10" s="76" t="s">
        <v>1795</v>
      </c>
      <c r="I10" s="76" t="s">
        <v>1789</v>
      </c>
      <c r="J10" s="76" t="s">
        <v>77</v>
      </c>
      <c r="K10" s="64"/>
      <c r="L10" s="64"/>
      <c r="M10" s="64"/>
      <c r="N10" s="64"/>
      <c r="O10" s="64"/>
      <c r="P10" s="64"/>
      <c r="Q10" s="64"/>
      <c r="R10" s="64"/>
      <c r="S10" s="64"/>
      <c r="T10" s="64"/>
      <c r="U10" s="64"/>
      <c r="V10" s="64"/>
      <c r="W10" s="64"/>
      <c r="X10" s="64"/>
      <c r="Y10" s="64"/>
      <c r="Z10" s="64"/>
    </row>
    <row r="11" spans="1:26" ht="54">
      <c r="A11" s="1593"/>
      <c r="B11" s="76">
        <v>7</v>
      </c>
      <c r="C11" s="77" t="s">
        <v>143</v>
      </c>
      <c r="D11" s="76" t="s">
        <v>144</v>
      </c>
      <c r="E11" s="76" t="s">
        <v>1241</v>
      </c>
      <c r="F11" s="76" t="s">
        <v>77</v>
      </c>
      <c r="G11" s="76" t="s">
        <v>77</v>
      </c>
      <c r="H11" s="76" t="s">
        <v>1789</v>
      </c>
      <c r="I11" s="76" t="s">
        <v>77</v>
      </c>
      <c r="J11" s="76" t="s">
        <v>77</v>
      </c>
      <c r="K11" s="64"/>
      <c r="L11" s="64"/>
      <c r="M11" s="64"/>
      <c r="N11" s="64"/>
      <c r="O11" s="64"/>
      <c r="P11" s="64"/>
      <c r="Q11" s="64"/>
      <c r="R11" s="64"/>
      <c r="S11" s="64"/>
      <c r="T11" s="64"/>
      <c r="U11" s="64"/>
      <c r="V11" s="64"/>
      <c r="W11" s="64"/>
      <c r="X11" s="64"/>
      <c r="Y11" s="64"/>
      <c r="Z11" s="64"/>
    </row>
    <row r="12" spans="1:26" ht="54">
      <c r="A12" s="1593"/>
      <c r="B12" s="76">
        <v>8</v>
      </c>
      <c r="C12" s="77" t="s">
        <v>149</v>
      </c>
      <c r="D12" s="76" t="s">
        <v>150</v>
      </c>
      <c r="E12" s="76" t="s">
        <v>130</v>
      </c>
      <c r="F12" s="76" t="s">
        <v>1796</v>
      </c>
      <c r="G12" s="76" t="s">
        <v>77</v>
      </c>
      <c r="H12" s="76" t="s">
        <v>77</v>
      </c>
      <c r="I12" s="76" t="s">
        <v>77</v>
      </c>
      <c r="J12" s="76" t="s">
        <v>77</v>
      </c>
      <c r="K12" s="64"/>
      <c r="L12" s="64"/>
      <c r="M12" s="64"/>
      <c r="N12" s="64"/>
      <c r="O12" s="64"/>
      <c r="P12" s="64"/>
      <c r="Q12" s="64"/>
      <c r="R12" s="64"/>
      <c r="S12" s="64"/>
      <c r="T12" s="64"/>
      <c r="U12" s="64"/>
      <c r="V12" s="64"/>
      <c r="W12" s="64"/>
      <c r="X12" s="64"/>
      <c r="Y12" s="64"/>
      <c r="Z12" s="64"/>
    </row>
    <row r="13" spans="1:26" ht="54">
      <c r="A13" s="1593"/>
      <c r="B13" s="76">
        <v>9</v>
      </c>
      <c r="C13" s="77" t="s">
        <v>154</v>
      </c>
      <c r="D13" s="76" t="s">
        <v>155</v>
      </c>
      <c r="E13" s="76" t="s">
        <v>1241</v>
      </c>
      <c r="F13" s="76" t="s">
        <v>77</v>
      </c>
      <c r="G13" s="76" t="s">
        <v>77</v>
      </c>
      <c r="H13" s="76" t="s">
        <v>1797</v>
      </c>
      <c r="I13" s="76" t="s">
        <v>77</v>
      </c>
      <c r="J13" s="76" t="s">
        <v>77</v>
      </c>
      <c r="K13" s="64"/>
      <c r="L13" s="64"/>
      <c r="M13" s="64"/>
      <c r="N13" s="64"/>
      <c r="O13" s="64"/>
      <c r="P13" s="64"/>
      <c r="Q13" s="64"/>
      <c r="R13" s="64"/>
      <c r="S13" s="64"/>
      <c r="T13" s="64"/>
      <c r="U13" s="64"/>
      <c r="V13" s="64"/>
      <c r="W13" s="64"/>
      <c r="X13" s="64"/>
      <c r="Y13" s="64"/>
      <c r="Z13" s="64"/>
    </row>
    <row r="14" spans="1:26" ht="54">
      <c r="A14" s="1593"/>
      <c r="B14" s="76">
        <v>10</v>
      </c>
      <c r="C14" s="77" t="s">
        <v>10</v>
      </c>
      <c r="D14" s="76" t="s">
        <v>256</v>
      </c>
      <c r="E14" s="76" t="s">
        <v>13</v>
      </c>
      <c r="F14" s="76" t="s">
        <v>77</v>
      </c>
      <c r="G14" s="76" t="s">
        <v>1798</v>
      </c>
      <c r="H14" s="76" t="s">
        <v>1799</v>
      </c>
      <c r="I14" s="76" t="s">
        <v>77</v>
      </c>
      <c r="J14" s="76" t="s">
        <v>77</v>
      </c>
      <c r="K14" s="64"/>
      <c r="L14" s="64"/>
      <c r="M14" s="64"/>
      <c r="N14" s="64"/>
      <c r="O14" s="64"/>
      <c r="P14" s="64"/>
      <c r="Q14" s="64"/>
      <c r="R14" s="64"/>
      <c r="S14" s="64"/>
      <c r="T14" s="64"/>
      <c r="U14" s="64"/>
      <c r="V14" s="64"/>
      <c r="W14" s="64"/>
      <c r="X14" s="64"/>
      <c r="Y14" s="64"/>
      <c r="Z14" s="64"/>
    </row>
    <row r="15" spans="1:26" ht="54">
      <c r="A15" s="1593"/>
      <c r="B15" s="76">
        <v>11</v>
      </c>
      <c r="C15" s="77" t="s">
        <v>15</v>
      </c>
      <c r="D15" s="76" t="s">
        <v>158</v>
      </c>
      <c r="E15" s="76" t="s">
        <v>13</v>
      </c>
      <c r="F15" s="76" t="s">
        <v>77</v>
      </c>
      <c r="G15" s="76" t="s">
        <v>77</v>
      </c>
      <c r="H15" s="76" t="s">
        <v>1800</v>
      </c>
      <c r="I15" s="76" t="s">
        <v>77</v>
      </c>
      <c r="J15" s="76" t="s">
        <v>77</v>
      </c>
      <c r="K15" s="64"/>
      <c r="L15" s="64"/>
      <c r="M15" s="64"/>
      <c r="N15" s="64"/>
      <c r="O15" s="64"/>
      <c r="P15" s="64"/>
      <c r="Q15" s="64"/>
      <c r="R15" s="64"/>
      <c r="S15" s="64"/>
      <c r="T15" s="64"/>
      <c r="U15" s="64"/>
      <c r="V15" s="64"/>
      <c r="W15" s="64"/>
      <c r="X15" s="64"/>
      <c r="Y15" s="64"/>
      <c r="Z15" s="64"/>
    </row>
    <row r="16" spans="1:26" ht="54">
      <c r="A16" s="1593"/>
      <c r="B16" s="76">
        <v>12</v>
      </c>
      <c r="C16" s="77" t="s">
        <v>160</v>
      </c>
      <c r="D16" s="76" t="s">
        <v>161</v>
      </c>
      <c r="E16" s="76" t="s">
        <v>1801</v>
      </c>
      <c r="F16" s="76" t="s">
        <v>77</v>
      </c>
      <c r="G16" s="76" t="s">
        <v>77</v>
      </c>
      <c r="H16" s="76" t="s">
        <v>1802</v>
      </c>
      <c r="I16" s="76" t="s">
        <v>77</v>
      </c>
      <c r="J16" s="76" t="s">
        <v>77</v>
      </c>
      <c r="K16" s="64"/>
      <c r="L16" s="64"/>
      <c r="M16" s="64"/>
      <c r="N16" s="64"/>
      <c r="O16" s="64"/>
      <c r="P16" s="64"/>
      <c r="Q16" s="64"/>
      <c r="R16" s="64"/>
      <c r="S16" s="64"/>
      <c r="T16" s="64"/>
      <c r="U16" s="64"/>
      <c r="V16" s="64"/>
      <c r="W16" s="64"/>
      <c r="X16" s="64"/>
      <c r="Y16" s="64"/>
      <c r="Z16" s="64"/>
    </row>
    <row r="17" spans="1:26" ht="54">
      <c r="A17" s="1593"/>
      <c r="B17" s="76">
        <v>13</v>
      </c>
      <c r="C17" s="77" t="s">
        <v>19</v>
      </c>
      <c r="D17" s="76" t="s">
        <v>165</v>
      </c>
      <c r="E17" s="76" t="s">
        <v>1241</v>
      </c>
      <c r="F17" s="76" t="s">
        <v>77</v>
      </c>
      <c r="G17" s="76" t="s">
        <v>77</v>
      </c>
      <c r="H17" s="76" t="s">
        <v>1791</v>
      </c>
      <c r="I17" s="76" t="s">
        <v>1791</v>
      </c>
      <c r="J17" s="76" t="s">
        <v>77</v>
      </c>
      <c r="K17" s="64"/>
      <c r="L17" s="64"/>
      <c r="M17" s="64"/>
      <c r="N17" s="64"/>
      <c r="O17" s="64"/>
      <c r="P17" s="64"/>
      <c r="Q17" s="64"/>
      <c r="R17" s="64"/>
      <c r="S17" s="64"/>
      <c r="T17" s="64"/>
      <c r="U17" s="64"/>
      <c r="V17" s="64"/>
      <c r="W17" s="64"/>
      <c r="X17" s="64"/>
      <c r="Y17" s="64"/>
      <c r="Z17" s="64"/>
    </row>
    <row r="18" spans="1:26" ht="54">
      <c r="A18" s="1593"/>
      <c r="B18" s="76">
        <v>14</v>
      </c>
      <c r="C18" s="77" t="s">
        <v>24</v>
      </c>
      <c r="D18" s="76" t="s">
        <v>178</v>
      </c>
      <c r="E18" s="76" t="s">
        <v>13</v>
      </c>
      <c r="F18" s="76" t="s">
        <v>77</v>
      </c>
      <c r="G18" s="76" t="s">
        <v>77</v>
      </c>
      <c r="H18" s="76" t="s">
        <v>1803</v>
      </c>
      <c r="I18" s="76" t="s">
        <v>77</v>
      </c>
      <c r="J18" s="76" t="s">
        <v>77</v>
      </c>
      <c r="K18" s="64"/>
      <c r="L18" s="64"/>
      <c r="M18" s="64"/>
      <c r="N18" s="64"/>
      <c r="O18" s="64"/>
      <c r="P18" s="64"/>
      <c r="Q18" s="64"/>
      <c r="R18" s="64"/>
      <c r="S18" s="64"/>
      <c r="T18" s="64"/>
      <c r="U18" s="64"/>
      <c r="V18" s="64"/>
      <c r="W18" s="64"/>
      <c r="X18" s="64"/>
      <c r="Y18" s="64"/>
      <c r="Z18" s="64"/>
    </row>
    <row r="19" spans="1:26" ht="54">
      <c r="A19" s="1593"/>
      <c r="B19" s="76">
        <v>15</v>
      </c>
      <c r="C19" s="77" t="s">
        <v>27</v>
      </c>
      <c r="D19" s="76" t="s">
        <v>184</v>
      </c>
      <c r="E19" s="76" t="s">
        <v>13</v>
      </c>
      <c r="F19" s="76" t="s">
        <v>77</v>
      </c>
      <c r="G19" s="76" t="s">
        <v>77</v>
      </c>
      <c r="H19" s="76" t="s">
        <v>1795</v>
      </c>
      <c r="I19" s="76" t="s">
        <v>77</v>
      </c>
      <c r="J19" s="76" t="s">
        <v>77</v>
      </c>
      <c r="K19" s="64"/>
      <c r="L19" s="64"/>
      <c r="M19" s="64"/>
      <c r="N19" s="64"/>
      <c r="O19" s="64"/>
      <c r="P19" s="64"/>
      <c r="Q19" s="64"/>
      <c r="R19" s="64"/>
      <c r="S19" s="64"/>
      <c r="T19" s="64"/>
      <c r="U19" s="64"/>
      <c r="V19" s="64"/>
      <c r="W19" s="64"/>
      <c r="X19" s="64"/>
      <c r="Y19" s="64"/>
      <c r="Z19" s="64"/>
    </row>
    <row r="20" spans="1:26" ht="54">
      <c r="A20" s="1593"/>
      <c r="B20" s="76">
        <v>16</v>
      </c>
      <c r="C20" s="77" t="s">
        <v>187</v>
      </c>
      <c r="D20" s="76" t="s">
        <v>188</v>
      </c>
      <c r="E20" s="76" t="s">
        <v>13</v>
      </c>
      <c r="F20" s="76" t="s">
        <v>77</v>
      </c>
      <c r="G20" s="76" t="s">
        <v>77</v>
      </c>
      <c r="H20" s="76" t="s">
        <v>1804</v>
      </c>
      <c r="I20" s="76" t="s">
        <v>77</v>
      </c>
      <c r="J20" s="76" t="s">
        <v>77</v>
      </c>
      <c r="K20" s="64"/>
      <c r="L20" s="64"/>
      <c r="M20" s="64"/>
      <c r="N20" s="64"/>
      <c r="O20" s="64"/>
      <c r="P20" s="64"/>
      <c r="Q20" s="64"/>
      <c r="R20" s="64"/>
      <c r="S20" s="64"/>
      <c r="T20" s="64"/>
      <c r="U20" s="64"/>
      <c r="V20" s="64"/>
      <c r="W20" s="64"/>
      <c r="X20" s="64"/>
      <c r="Y20" s="64"/>
      <c r="Z20" s="64"/>
    </row>
    <row r="21" spans="1:26" ht="54">
      <c r="A21" s="1593"/>
      <c r="B21" s="76">
        <v>17</v>
      </c>
      <c r="C21" s="77" t="s">
        <v>29</v>
      </c>
      <c r="D21" s="76" t="s">
        <v>196</v>
      </c>
      <c r="E21" s="76" t="s">
        <v>1241</v>
      </c>
      <c r="F21" s="76" t="s">
        <v>77</v>
      </c>
      <c r="G21" s="76" t="s">
        <v>77</v>
      </c>
      <c r="H21" s="76" t="s">
        <v>1804</v>
      </c>
      <c r="I21" s="76" t="s">
        <v>77</v>
      </c>
      <c r="J21" s="76" t="s">
        <v>77</v>
      </c>
      <c r="K21" s="64"/>
      <c r="L21" s="64"/>
      <c r="M21" s="64"/>
      <c r="N21" s="64"/>
      <c r="O21" s="64"/>
      <c r="P21" s="64"/>
      <c r="Q21" s="64"/>
      <c r="R21" s="64"/>
      <c r="S21" s="64"/>
      <c r="T21" s="64"/>
      <c r="U21" s="64"/>
      <c r="V21" s="64"/>
      <c r="W21" s="64"/>
      <c r="X21" s="64"/>
      <c r="Y21" s="64"/>
      <c r="Z21" s="64"/>
    </row>
    <row r="22" spans="1:26" ht="54">
      <c r="A22" s="1593"/>
      <c r="B22" s="76">
        <v>18</v>
      </c>
      <c r="C22" s="77" t="s">
        <v>31</v>
      </c>
      <c r="D22" s="76" t="s">
        <v>201</v>
      </c>
      <c r="E22" s="76" t="s">
        <v>13</v>
      </c>
      <c r="F22" s="76" t="s">
        <v>77</v>
      </c>
      <c r="G22" s="76" t="s">
        <v>77</v>
      </c>
      <c r="H22" s="76" t="s">
        <v>1805</v>
      </c>
      <c r="I22" s="76" t="s">
        <v>1805</v>
      </c>
      <c r="J22" s="76" t="s">
        <v>77</v>
      </c>
      <c r="K22" s="64"/>
      <c r="L22" s="64"/>
      <c r="M22" s="64"/>
      <c r="N22" s="64"/>
      <c r="O22" s="64"/>
      <c r="P22" s="64"/>
      <c r="Q22" s="64"/>
      <c r="R22" s="64"/>
      <c r="S22" s="64"/>
      <c r="T22" s="64"/>
      <c r="U22" s="64"/>
      <c r="V22" s="64"/>
      <c r="W22" s="64"/>
      <c r="X22" s="64"/>
      <c r="Y22" s="64"/>
      <c r="Z22" s="64"/>
    </row>
    <row r="23" spans="1:26" ht="54">
      <c r="A23" s="1593"/>
      <c r="B23" s="76">
        <v>19</v>
      </c>
      <c r="C23" s="77" t="s">
        <v>33</v>
      </c>
      <c r="D23" s="76" t="s">
        <v>209</v>
      </c>
      <c r="E23" s="76" t="s">
        <v>13</v>
      </c>
      <c r="F23" s="76" t="s">
        <v>77</v>
      </c>
      <c r="G23" s="76" t="s">
        <v>77</v>
      </c>
      <c r="H23" s="76" t="s">
        <v>1804</v>
      </c>
      <c r="I23" s="76" t="s">
        <v>77</v>
      </c>
      <c r="J23" s="76" t="s">
        <v>77</v>
      </c>
      <c r="K23" s="64"/>
      <c r="L23" s="64"/>
      <c r="M23" s="64"/>
      <c r="N23" s="64"/>
      <c r="O23" s="64"/>
      <c r="P23" s="64"/>
      <c r="Q23" s="64"/>
      <c r="R23" s="64"/>
      <c r="S23" s="64"/>
      <c r="T23" s="64"/>
      <c r="U23" s="64"/>
      <c r="V23" s="64"/>
      <c r="W23" s="64"/>
      <c r="X23" s="64"/>
      <c r="Y23" s="64"/>
      <c r="Z23" s="64"/>
    </row>
    <row r="24" spans="1:26" ht="54">
      <c r="A24" s="1593"/>
      <c r="B24" s="76">
        <v>20</v>
      </c>
      <c r="C24" s="77" t="s">
        <v>35</v>
      </c>
      <c r="D24" s="76" t="s">
        <v>216</v>
      </c>
      <c r="E24" s="76" t="s">
        <v>13</v>
      </c>
      <c r="F24" s="76" t="s">
        <v>77</v>
      </c>
      <c r="G24" s="76" t="s">
        <v>77</v>
      </c>
      <c r="H24" s="76" t="s">
        <v>1806</v>
      </c>
      <c r="I24" s="76" t="s">
        <v>77</v>
      </c>
      <c r="J24" s="76" t="s">
        <v>77</v>
      </c>
      <c r="K24" s="64"/>
      <c r="L24" s="64"/>
      <c r="M24" s="64"/>
      <c r="N24" s="64"/>
      <c r="O24" s="64"/>
      <c r="P24" s="64"/>
      <c r="Q24" s="64"/>
      <c r="R24" s="64"/>
      <c r="S24" s="64"/>
      <c r="T24" s="64"/>
      <c r="U24" s="64"/>
      <c r="V24" s="64"/>
      <c r="W24" s="64"/>
      <c r="X24" s="64"/>
      <c r="Y24" s="64"/>
      <c r="Z24" s="64"/>
    </row>
    <row r="25" spans="1:26" ht="54">
      <c r="A25" s="1593"/>
      <c r="B25" s="76">
        <v>21</v>
      </c>
      <c r="C25" s="77" t="s">
        <v>38</v>
      </c>
      <c r="D25" s="76" t="s">
        <v>218</v>
      </c>
      <c r="E25" s="76" t="s">
        <v>13</v>
      </c>
      <c r="F25" s="76" t="s">
        <v>77</v>
      </c>
      <c r="G25" s="76" t="s">
        <v>77</v>
      </c>
      <c r="H25" s="76" t="s">
        <v>1795</v>
      </c>
      <c r="I25" s="76" t="s">
        <v>77</v>
      </c>
      <c r="J25" s="76" t="s">
        <v>77</v>
      </c>
      <c r="K25" s="64"/>
      <c r="L25" s="64"/>
      <c r="M25" s="64"/>
      <c r="N25" s="64"/>
      <c r="O25" s="64"/>
      <c r="P25" s="64"/>
      <c r="Q25" s="64"/>
      <c r="R25" s="64"/>
      <c r="S25" s="64"/>
      <c r="T25" s="64"/>
      <c r="U25" s="64"/>
      <c r="V25" s="64"/>
      <c r="W25" s="64"/>
      <c r="X25" s="64"/>
      <c r="Y25" s="64"/>
      <c r="Z25" s="64"/>
    </row>
    <row r="26" spans="1:26" ht="54">
      <c r="A26" s="1593"/>
      <c r="B26" s="76">
        <v>22</v>
      </c>
      <c r="C26" s="77" t="s">
        <v>222</v>
      </c>
      <c r="D26" s="76" t="s">
        <v>223</v>
      </c>
      <c r="E26" s="76" t="s">
        <v>1241</v>
      </c>
      <c r="F26" s="76" t="s">
        <v>77</v>
      </c>
      <c r="G26" s="76" t="s">
        <v>77</v>
      </c>
      <c r="H26" s="76" t="s">
        <v>1807</v>
      </c>
      <c r="I26" s="76" t="s">
        <v>1808</v>
      </c>
      <c r="J26" s="76" t="s">
        <v>77</v>
      </c>
      <c r="K26" s="64"/>
      <c r="L26" s="64"/>
      <c r="M26" s="64"/>
      <c r="N26" s="64"/>
      <c r="O26" s="64"/>
      <c r="P26" s="64"/>
      <c r="Q26" s="64"/>
      <c r="R26" s="64"/>
      <c r="S26" s="64"/>
      <c r="T26" s="64"/>
      <c r="U26" s="64"/>
      <c r="V26" s="64"/>
      <c r="W26" s="64"/>
      <c r="X26" s="64"/>
      <c r="Y26" s="64"/>
      <c r="Z26" s="64"/>
    </row>
    <row r="27" spans="1:26" ht="54">
      <c r="A27" s="1593"/>
      <c r="B27" s="76">
        <v>23</v>
      </c>
      <c r="C27" s="77" t="s">
        <v>226</v>
      </c>
      <c r="D27" s="76" t="s">
        <v>227</v>
      </c>
      <c r="E27" s="76" t="s">
        <v>13</v>
      </c>
      <c r="F27" s="76" t="s">
        <v>77</v>
      </c>
      <c r="G27" s="76" t="s">
        <v>77</v>
      </c>
      <c r="H27" s="76" t="s">
        <v>1789</v>
      </c>
      <c r="I27" s="76" t="s">
        <v>77</v>
      </c>
      <c r="J27" s="76" t="s">
        <v>77</v>
      </c>
      <c r="K27" s="64"/>
      <c r="L27" s="64"/>
      <c r="M27" s="64"/>
      <c r="N27" s="64"/>
      <c r="O27" s="64"/>
      <c r="P27" s="64"/>
      <c r="Q27" s="64"/>
      <c r="R27" s="64"/>
      <c r="S27" s="64"/>
      <c r="T27" s="64"/>
      <c r="U27" s="64"/>
      <c r="V27" s="64"/>
      <c r="W27" s="64"/>
      <c r="X27" s="64"/>
      <c r="Y27" s="64"/>
      <c r="Z27" s="64"/>
    </row>
    <row r="28" spans="1:26" ht="54">
      <c r="A28" s="1593"/>
      <c r="B28" s="76">
        <v>24</v>
      </c>
      <c r="C28" s="77" t="s">
        <v>40</v>
      </c>
      <c r="D28" s="76" t="s">
        <v>230</v>
      </c>
      <c r="E28" s="76" t="s">
        <v>13</v>
      </c>
      <c r="F28" s="76" t="s">
        <v>77</v>
      </c>
      <c r="G28" s="76" t="s">
        <v>77</v>
      </c>
      <c r="H28" s="76" t="s">
        <v>1804</v>
      </c>
      <c r="I28" s="76" t="s">
        <v>1804</v>
      </c>
      <c r="J28" s="76" t="s">
        <v>77</v>
      </c>
      <c r="K28" s="64"/>
      <c r="L28" s="64"/>
      <c r="M28" s="64"/>
      <c r="N28" s="64"/>
      <c r="O28" s="64"/>
      <c r="P28" s="64"/>
      <c r="Q28" s="64"/>
      <c r="R28" s="64"/>
      <c r="S28" s="64"/>
      <c r="T28" s="64"/>
      <c r="U28" s="64"/>
      <c r="V28" s="64"/>
      <c r="W28" s="64"/>
      <c r="X28" s="64"/>
      <c r="Y28" s="64"/>
      <c r="Z28" s="64"/>
    </row>
    <row r="29" spans="1:26" ht="54">
      <c r="A29" s="1593"/>
      <c r="B29" s="76">
        <v>25</v>
      </c>
      <c r="C29" s="77" t="s">
        <v>42</v>
      </c>
      <c r="D29" s="76" t="s">
        <v>232</v>
      </c>
      <c r="E29" s="76" t="s">
        <v>13</v>
      </c>
      <c r="F29" s="76" t="s">
        <v>77</v>
      </c>
      <c r="G29" s="76" t="s">
        <v>77</v>
      </c>
      <c r="H29" s="76" t="s">
        <v>1809</v>
      </c>
      <c r="I29" s="76" t="s">
        <v>1809</v>
      </c>
      <c r="J29" s="76" t="s">
        <v>77</v>
      </c>
      <c r="K29" s="64"/>
      <c r="L29" s="64"/>
      <c r="M29" s="64"/>
      <c r="N29" s="64"/>
      <c r="O29" s="64"/>
      <c r="P29" s="64"/>
      <c r="Q29" s="64"/>
      <c r="R29" s="64"/>
      <c r="S29" s="64"/>
      <c r="T29" s="64"/>
      <c r="U29" s="64"/>
      <c r="V29" s="64"/>
      <c r="W29" s="64"/>
      <c r="X29" s="64"/>
      <c r="Y29" s="64"/>
      <c r="Z29" s="64"/>
    </row>
    <row r="30" spans="1:26" ht="54">
      <c r="A30" s="1593"/>
      <c r="B30" s="76">
        <v>26</v>
      </c>
      <c r="C30" s="77" t="s">
        <v>44</v>
      </c>
      <c r="D30" s="76" t="s">
        <v>235</v>
      </c>
      <c r="E30" s="76" t="s">
        <v>13</v>
      </c>
      <c r="F30" s="76" t="s">
        <v>77</v>
      </c>
      <c r="G30" s="76" t="s">
        <v>77</v>
      </c>
      <c r="H30" s="76" t="s">
        <v>1810</v>
      </c>
      <c r="I30" s="76" t="s">
        <v>1795</v>
      </c>
      <c r="J30" s="76" t="s">
        <v>77</v>
      </c>
      <c r="K30" s="64"/>
      <c r="L30" s="64"/>
      <c r="M30" s="64"/>
      <c r="N30" s="64"/>
      <c r="O30" s="64"/>
      <c r="P30" s="64"/>
      <c r="Q30" s="64"/>
      <c r="R30" s="64"/>
      <c r="S30" s="64"/>
      <c r="T30" s="64"/>
      <c r="U30" s="64"/>
      <c r="V30" s="64"/>
      <c r="W30" s="64"/>
      <c r="X30" s="64"/>
      <c r="Y30" s="64"/>
      <c r="Z30" s="64"/>
    </row>
    <row r="31" spans="1:26" ht="54">
      <c r="A31" s="1593"/>
      <c r="B31" s="76">
        <v>27</v>
      </c>
      <c r="C31" s="77" t="s">
        <v>48</v>
      </c>
      <c r="D31" s="76" t="s">
        <v>244</v>
      </c>
      <c r="E31" s="76" t="s">
        <v>13</v>
      </c>
      <c r="F31" s="76" t="s">
        <v>77</v>
      </c>
      <c r="G31" s="76" t="s">
        <v>77</v>
      </c>
      <c r="H31" s="76" t="s">
        <v>1807</v>
      </c>
      <c r="I31" s="76" t="s">
        <v>1811</v>
      </c>
      <c r="J31" s="76" t="s">
        <v>77</v>
      </c>
      <c r="K31" s="64"/>
      <c r="L31" s="64"/>
      <c r="M31" s="64"/>
      <c r="N31" s="64"/>
      <c r="O31" s="64"/>
      <c r="P31" s="64"/>
      <c r="Q31" s="64"/>
      <c r="R31" s="64"/>
      <c r="S31" s="64"/>
      <c r="T31" s="64"/>
      <c r="U31" s="64"/>
      <c r="V31" s="64"/>
      <c r="W31" s="64"/>
      <c r="X31" s="64"/>
      <c r="Y31" s="64"/>
      <c r="Z31" s="64"/>
    </row>
    <row r="32" spans="1:26" ht="54">
      <c r="A32" s="1593"/>
      <c r="B32" s="76">
        <v>28</v>
      </c>
      <c r="C32" s="77" t="s">
        <v>46</v>
      </c>
      <c r="D32" s="78" t="s">
        <v>1812</v>
      </c>
      <c r="E32" s="76" t="s">
        <v>13</v>
      </c>
      <c r="F32" s="76" t="s">
        <v>77</v>
      </c>
      <c r="G32" s="76" t="s">
        <v>77</v>
      </c>
      <c r="H32" s="76" t="s">
        <v>1789</v>
      </c>
      <c r="I32" s="76" t="s">
        <v>77</v>
      </c>
      <c r="J32" s="76" t="s">
        <v>77</v>
      </c>
      <c r="K32" s="64"/>
      <c r="L32" s="64"/>
      <c r="M32" s="64"/>
      <c r="N32" s="64"/>
      <c r="O32" s="64"/>
      <c r="P32" s="64"/>
      <c r="Q32" s="64"/>
      <c r="R32" s="64"/>
      <c r="S32" s="64"/>
      <c r="T32" s="64"/>
      <c r="U32" s="64"/>
      <c r="V32" s="64"/>
      <c r="W32" s="64"/>
      <c r="X32" s="64"/>
      <c r="Y32" s="64"/>
      <c r="Z32" s="64"/>
    </row>
    <row r="33" spans="1:26" ht="54">
      <c r="A33" s="1593"/>
      <c r="B33" s="76">
        <v>29</v>
      </c>
      <c r="C33" s="77" t="s">
        <v>50</v>
      </c>
      <c r="D33" s="76" t="s">
        <v>249</v>
      </c>
      <c r="E33" s="76" t="s">
        <v>13</v>
      </c>
      <c r="F33" s="76" t="s">
        <v>77</v>
      </c>
      <c r="G33" s="76" t="s">
        <v>77</v>
      </c>
      <c r="H33" s="76" t="s">
        <v>1789</v>
      </c>
      <c r="I33" s="76" t="s">
        <v>77</v>
      </c>
      <c r="J33" s="76" t="s">
        <v>77</v>
      </c>
      <c r="K33" s="64"/>
      <c r="L33" s="64"/>
      <c r="M33" s="64"/>
      <c r="N33" s="64"/>
      <c r="O33" s="64"/>
      <c r="P33" s="64"/>
      <c r="Q33" s="64"/>
      <c r="R33" s="64"/>
      <c r="S33" s="64"/>
      <c r="T33" s="64"/>
      <c r="U33" s="64"/>
      <c r="V33" s="64"/>
      <c r="W33" s="64"/>
      <c r="X33" s="64"/>
      <c r="Y33" s="64"/>
      <c r="Z33" s="64"/>
    </row>
    <row r="34" spans="1:26" ht="54">
      <c r="A34" s="1593"/>
      <c r="B34" s="76">
        <v>30</v>
      </c>
      <c r="C34" s="77" t="s">
        <v>52</v>
      </c>
      <c r="D34" s="78" t="s">
        <v>1813</v>
      </c>
      <c r="E34" s="76" t="s">
        <v>22</v>
      </c>
      <c r="F34" s="76"/>
      <c r="G34" s="76"/>
      <c r="H34" s="76" t="s">
        <v>1804</v>
      </c>
      <c r="I34" s="76" t="s">
        <v>1789</v>
      </c>
      <c r="J34" s="76" t="s">
        <v>77</v>
      </c>
      <c r="K34" s="64"/>
      <c r="L34" s="64"/>
      <c r="M34" s="64"/>
      <c r="N34" s="64"/>
      <c r="O34" s="64"/>
      <c r="P34" s="64"/>
      <c r="Q34" s="64"/>
      <c r="R34" s="64"/>
      <c r="S34" s="64"/>
      <c r="T34" s="64"/>
      <c r="U34" s="64"/>
      <c r="V34" s="64"/>
      <c r="W34" s="64"/>
      <c r="X34" s="64"/>
      <c r="Y34" s="64"/>
      <c r="Z34" s="64"/>
    </row>
    <row r="35" spans="1:26" ht="54">
      <c r="A35" s="1593"/>
      <c r="B35" s="76">
        <v>31</v>
      </c>
      <c r="C35" s="77" t="s">
        <v>54</v>
      </c>
      <c r="D35" s="78" t="s">
        <v>1814</v>
      </c>
      <c r="E35" s="76" t="s">
        <v>13</v>
      </c>
      <c r="F35" s="76" t="s">
        <v>77</v>
      </c>
      <c r="G35" s="76" t="s">
        <v>77</v>
      </c>
      <c r="H35" s="76" t="s">
        <v>1806</v>
      </c>
      <c r="I35" s="76" t="s">
        <v>77</v>
      </c>
      <c r="J35" s="76" t="s">
        <v>77</v>
      </c>
      <c r="K35" s="64"/>
      <c r="L35" s="64"/>
      <c r="M35" s="64"/>
      <c r="N35" s="64"/>
      <c r="O35" s="64"/>
      <c r="P35" s="64"/>
      <c r="Q35" s="64"/>
      <c r="R35" s="64"/>
      <c r="S35" s="64"/>
      <c r="T35" s="64"/>
      <c r="U35" s="64"/>
      <c r="V35" s="64"/>
      <c r="W35" s="64"/>
      <c r="X35" s="64"/>
      <c r="Y35" s="64"/>
      <c r="Z35" s="64"/>
    </row>
    <row r="36" spans="1:26" ht="54">
      <c r="A36" s="1593"/>
      <c r="B36" s="76">
        <v>32</v>
      </c>
      <c r="C36" s="77" t="s">
        <v>259</v>
      </c>
      <c r="D36" s="76" t="s">
        <v>260</v>
      </c>
      <c r="E36" s="76" t="s">
        <v>13</v>
      </c>
      <c r="F36" s="76" t="s">
        <v>77</v>
      </c>
      <c r="G36" s="76" t="s">
        <v>77</v>
      </c>
      <c r="H36" s="76" t="s">
        <v>1815</v>
      </c>
      <c r="I36" s="76" t="s">
        <v>77</v>
      </c>
      <c r="J36" s="76" t="s">
        <v>77</v>
      </c>
      <c r="K36" s="64"/>
      <c r="L36" s="64"/>
      <c r="M36" s="64"/>
      <c r="N36" s="64"/>
      <c r="O36" s="64"/>
      <c r="P36" s="64"/>
      <c r="Q36" s="64"/>
      <c r="R36" s="64"/>
      <c r="S36" s="64"/>
      <c r="T36" s="64"/>
      <c r="U36" s="64"/>
      <c r="V36" s="64"/>
      <c r="W36" s="64"/>
      <c r="X36" s="64"/>
      <c r="Y36" s="64"/>
      <c r="Z36" s="64"/>
    </row>
    <row r="37" spans="1:26" ht="54">
      <c r="A37" s="1593"/>
      <c r="B37" s="76">
        <v>33</v>
      </c>
      <c r="C37" s="77" t="s">
        <v>268</v>
      </c>
      <c r="D37" s="76" t="s">
        <v>269</v>
      </c>
      <c r="E37" s="76" t="s">
        <v>13</v>
      </c>
      <c r="F37" s="76" t="s">
        <v>77</v>
      </c>
      <c r="G37" s="76" t="s">
        <v>77</v>
      </c>
      <c r="H37" s="76" t="s">
        <v>1816</v>
      </c>
      <c r="I37" s="76" t="s">
        <v>77</v>
      </c>
      <c r="J37" s="76" t="s">
        <v>77</v>
      </c>
      <c r="K37" s="64"/>
      <c r="L37" s="64"/>
      <c r="M37" s="64"/>
      <c r="N37" s="64"/>
      <c r="O37" s="64"/>
      <c r="P37" s="64"/>
      <c r="Q37" s="64"/>
      <c r="R37" s="64"/>
      <c r="S37" s="64"/>
      <c r="T37" s="64"/>
      <c r="U37" s="64"/>
      <c r="V37" s="64"/>
      <c r="W37" s="64"/>
      <c r="X37" s="64"/>
      <c r="Y37" s="64"/>
      <c r="Z37" s="64"/>
    </row>
    <row r="38" spans="1:26" ht="54">
      <c r="A38" s="1593"/>
      <c r="B38" s="76">
        <v>34</v>
      </c>
      <c r="C38" s="77" t="s">
        <v>279</v>
      </c>
      <c r="D38" s="76" t="s">
        <v>280</v>
      </c>
      <c r="E38" s="76" t="s">
        <v>13</v>
      </c>
      <c r="F38" s="76" t="s">
        <v>77</v>
      </c>
      <c r="G38" s="76" t="s">
        <v>77</v>
      </c>
      <c r="H38" s="76" t="s">
        <v>1817</v>
      </c>
      <c r="I38" s="76" t="s">
        <v>77</v>
      </c>
      <c r="J38" s="76" t="s">
        <v>77</v>
      </c>
      <c r="K38" s="64"/>
      <c r="L38" s="64"/>
      <c r="M38" s="64"/>
      <c r="N38" s="64"/>
      <c r="O38" s="64"/>
      <c r="P38" s="64"/>
      <c r="Q38" s="64"/>
      <c r="R38" s="64"/>
      <c r="S38" s="64"/>
      <c r="T38" s="64"/>
      <c r="U38" s="64"/>
      <c r="V38" s="64"/>
      <c r="W38" s="64"/>
      <c r="X38" s="64"/>
      <c r="Y38" s="64"/>
      <c r="Z38" s="64"/>
    </row>
    <row r="39" spans="1:26" ht="54">
      <c r="A39" s="1593"/>
      <c r="B39" s="76">
        <v>35</v>
      </c>
      <c r="C39" s="77" t="s">
        <v>286</v>
      </c>
      <c r="D39" s="76" t="s">
        <v>287</v>
      </c>
      <c r="E39" s="76" t="s">
        <v>288</v>
      </c>
      <c r="F39" s="76" t="s">
        <v>77</v>
      </c>
      <c r="G39" s="76" t="s">
        <v>77</v>
      </c>
      <c r="H39" s="76" t="s">
        <v>1810</v>
      </c>
      <c r="I39" s="76" t="s">
        <v>77</v>
      </c>
      <c r="J39" s="76" t="s">
        <v>77</v>
      </c>
      <c r="K39" s="64"/>
      <c r="L39" s="64"/>
      <c r="M39" s="64"/>
      <c r="N39" s="64"/>
      <c r="O39" s="64"/>
      <c r="P39" s="64"/>
      <c r="Q39" s="64"/>
      <c r="R39" s="64"/>
      <c r="S39" s="64"/>
      <c r="T39" s="64"/>
      <c r="U39" s="64"/>
      <c r="V39" s="64"/>
      <c r="W39" s="64"/>
      <c r="X39" s="64"/>
      <c r="Y39" s="64"/>
      <c r="Z39" s="64"/>
    </row>
    <row r="40" spans="1:26" ht="36">
      <c r="A40" s="1593"/>
      <c r="B40" s="76">
        <v>36</v>
      </c>
      <c r="C40" s="77" t="s">
        <v>299</v>
      </c>
      <c r="D40" s="76" t="s">
        <v>300</v>
      </c>
      <c r="E40" s="76" t="s">
        <v>301</v>
      </c>
      <c r="F40" s="76" t="s">
        <v>77</v>
      </c>
      <c r="G40" s="76" t="s">
        <v>77</v>
      </c>
      <c r="H40" s="76" t="s">
        <v>1818</v>
      </c>
      <c r="I40" s="76" t="s">
        <v>77</v>
      </c>
      <c r="J40" s="76" t="s">
        <v>77</v>
      </c>
      <c r="K40" s="64"/>
      <c r="L40" s="64"/>
      <c r="M40" s="64"/>
      <c r="N40" s="64"/>
      <c r="O40" s="64"/>
      <c r="P40" s="64"/>
      <c r="Q40" s="64"/>
      <c r="R40" s="64"/>
      <c r="S40" s="64"/>
      <c r="T40" s="64"/>
      <c r="U40" s="64"/>
      <c r="V40" s="64"/>
      <c r="W40" s="64"/>
      <c r="X40" s="64"/>
      <c r="Y40" s="64"/>
      <c r="Z40" s="64"/>
    </row>
    <row r="41" spans="1:26" ht="71.25">
      <c r="A41" s="1593"/>
      <c r="B41" s="76">
        <v>37</v>
      </c>
      <c r="C41" s="77" t="s">
        <v>328</v>
      </c>
      <c r="D41" s="76" t="s">
        <v>329</v>
      </c>
      <c r="E41" s="76" t="s">
        <v>13</v>
      </c>
      <c r="F41" s="76" t="s">
        <v>77</v>
      </c>
      <c r="G41" s="76" t="s">
        <v>77</v>
      </c>
      <c r="H41" s="76" t="s">
        <v>1819</v>
      </c>
      <c r="I41" s="76" t="s">
        <v>77</v>
      </c>
      <c r="J41" s="76" t="s">
        <v>77</v>
      </c>
      <c r="K41" s="64"/>
      <c r="L41" s="64"/>
      <c r="M41" s="64"/>
      <c r="N41" s="64"/>
      <c r="O41" s="64"/>
      <c r="P41" s="64"/>
      <c r="Q41" s="64"/>
      <c r="R41" s="64"/>
      <c r="S41" s="64"/>
      <c r="T41" s="64"/>
      <c r="U41" s="64"/>
      <c r="V41" s="64"/>
      <c r="W41" s="64"/>
      <c r="X41" s="64"/>
      <c r="Y41" s="64"/>
      <c r="Z41" s="64"/>
    </row>
    <row r="42" spans="1:26" ht="54">
      <c r="A42" s="1593"/>
      <c r="B42" s="76">
        <v>38</v>
      </c>
      <c r="C42" s="77" t="s">
        <v>982</v>
      </c>
      <c r="D42" s="76" t="s">
        <v>1820</v>
      </c>
      <c r="E42" s="76" t="s">
        <v>13</v>
      </c>
      <c r="F42" s="76" t="s">
        <v>77</v>
      </c>
      <c r="G42" s="76" t="s">
        <v>77</v>
      </c>
      <c r="H42" s="76" t="s">
        <v>1821</v>
      </c>
      <c r="I42" s="76" t="s">
        <v>77</v>
      </c>
      <c r="J42" s="76" t="s">
        <v>77</v>
      </c>
      <c r="K42" s="64"/>
      <c r="L42" s="64"/>
      <c r="M42" s="64"/>
      <c r="N42" s="64"/>
      <c r="O42" s="64"/>
      <c r="P42" s="64"/>
      <c r="Q42" s="64"/>
      <c r="R42" s="64"/>
      <c r="S42" s="64"/>
      <c r="T42" s="64"/>
      <c r="U42" s="64"/>
      <c r="V42" s="64"/>
      <c r="W42" s="64"/>
      <c r="X42" s="64"/>
      <c r="Y42" s="64"/>
      <c r="Z42" s="64"/>
    </row>
    <row r="43" spans="1:26" ht="54">
      <c r="A43" s="1593"/>
      <c r="B43" s="76">
        <v>39</v>
      </c>
      <c r="C43" s="77" t="s">
        <v>1002</v>
      </c>
      <c r="D43" s="76" t="s">
        <v>1822</v>
      </c>
      <c r="E43" s="76" t="s">
        <v>1291</v>
      </c>
      <c r="F43" s="76" t="s">
        <v>77</v>
      </c>
      <c r="G43" s="76" t="s">
        <v>77</v>
      </c>
      <c r="H43" s="76" t="s">
        <v>1823</v>
      </c>
      <c r="I43" s="76" t="s">
        <v>77</v>
      </c>
      <c r="J43" s="76" t="s">
        <v>77</v>
      </c>
      <c r="K43" s="64"/>
      <c r="L43" s="64"/>
      <c r="M43" s="64"/>
      <c r="N43" s="64"/>
      <c r="O43" s="64"/>
      <c r="P43" s="64"/>
      <c r="Q43" s="64"/>
      <c r="R43" s="64"/>
      <c r="S43" s="64"/>
      <c r="T43" s="64"/>
      <c r="U43" s="64"/>
      <c r="V43" s="64"/>
      <c r="W43" s="64"/>
      <c r="X43" s="64"/>
      <c r="Y43" s="64"/>
      <c r="Z43" s="64"/>
    </row>
    <row r="44" spans="1:26" ht="36">
      <c r="A44" s="1593"/>
      <c r="B44" s="76">
        <v>40</v>
      </c>
      <c r="C44" s="77" t="s">
        <v>1016</v>
      </c>
      <c r="D44" s="76" t="s">
        <v>1824</v>
      </c>
      <c r="E44" s="76" t="s">
        <v>1295</v>
      </c>
      <c r="F44" s="76" t="s">
        <v>77</v>
      </c>
      <c r="G44" s="76" t="s">
        <v>77</v>
      </c>
      <c r="H44" s="76" t="s">
        <v>1807</v>
      </c>
      <c r="I44" s="76" t="s">
        <v>77</v>
      </c>
      <c r="J44" s="76" t="s">
        <v>77</v>
      </c>
      <c r="K44" s="64"/>
      <c r="L44" s="64"/>
      <c r="M44" s="64"/>
      <c r="N44" s="64"/>
      <c r="O44" s="64"/>
      <c r="P44" s="64"/>
      <c r="Q44" s="64"/>
      <c r="R44" s="64"/>
      <c r="S44" s="64"/>
      <c r="T44" s="64"/>
      <c r="U44" s="64"/>
      <c r="V44" s="64"/>
      <c r="W44" s="64"/>
      <c r="X44" s="64"/>
      <c r="Y44" s="64"/>
      <c r="Z44" s="64"/>
    </row>
    <row r="45" spans="1:26" ht="54">
      <c r="A45" s="1593"/>
      <c r="B45" s="76">
        <v>41</v>
      </c>
      <c r="C45" s="77" t="s">
        <v>1023</v>
      </c>
      <c r="D45" s="76" t="s">
        <v>1825</v>
      </c>
      <c r="E45" s="76" t="s">
        <v>13</v>
      </c>
      <c r="F45" s="76" t="s">
        <v>77</v>
      </c>
      <c r="G45" s="76" t="s">
        <v>1789</v>
      </c>
      <c r="H45" s="76" t="s">
        <v>1789</v>
      </c>
      <c r="I45" s="76" t="s">
        <v>77</v>
      </c>
      <c r="J45" s="76" t="s">
        <v>77</v>
      </c>
      <c r="K45" s="64"/>
      <c r="L45" s="64"/>
      <c r="M45" s="64"/>
      <c r="N45" s="64"/>
      <c r="O45" s="64"/>
      <c r="P45" s="64"/>
      <c r="Q45" s="64"/>
      <c r="R45" s="64"/>
      <c r="S45" s="64"/>
      <c r="T45" s="64"/>
      <c r="U45" s="64"/>
      <c r="V45" s="64"/>
      <c r="W45" s="64"/>
      <c r="X45" s="64"/>
      <c r="Y45" s="64"/>
      <c r="Z45" s="64"/>
    </row>
    <row r="46" spans="1:26" ht="36">
      <c r="A46" s="1593"/>
      <c r="B46" s="76">
        <v>42</v>
      </c>
      <c r="C46" s="77" t="s">
        <v>1036</v>
      </c>
      <c r="D46" s="76" t="s">
        <v>1826</v>
      </c>
      <c r="E46" s="76" t="s">
        <v>1301</v>
      </c>
      <c r="F46" s="76" t="s">
        <v>77</v>
      </c>
      <c r="G46" s="76" t="s">
        <v>1821</v>
      </c>
      <c r="H46" s="76" t="s">
        <v>77</v>
      </c>
      <c r="I46" s="76" t="s">
        <v>77</v>
      </c>
      <c r="J46" s="76" t="s">
        <v>77</v>
      </c>
      <c r="K46" s="64"/>
      <c r="L46" s="64"/>
      <c r="M46" s="64"/>
      <c r="N46" s="64"/>
      <c r="O46" s="64"/>
      <c r="P46" s="64"/>
      <c r="Q46" s="64"/>
      <c r="R46" s="64"/>
      <c r="S46" s="64"/>
      <c r="T46" s="64"/>
      <c r="U46" s="64"/>
      <c r="V46" s="64"/>
      <c r="W46" s="64"/>
      <c r="X46" s="64"/>
      <c r="Y46" s="64"/>
      <c r="Z46" s="64"/>
    </row>
    <row r="47" spans="1:26" ht="36">
      <c r="A47" s="1593"/>
      <c r="B47" s="76">
        <v>43</v>
      </c>
      <c r="C47" s="77" t="s">
        <v>1043</v>
      </c>
      <c r="D47" s="76" t="s">
        <v>1827</v>
      </c>
      <c r="E47" s="76" t="s">
        <v>1295</v>
      </c>
      <c r="F47" s="76" t="s">
        <v>77</v>
      </c>
      <c r="G47" s="76" t="s">
        <v>77</v>
      </c>
      <c r="H47" s="76" t="s">
        <v>1807</v>
      </c>
      <c r="I47" s="76" t="s">
        <v>77</v>
      </c>
      <c r="J47" s="76" t="s">
        <v>77</v>
      </c>
      <c r="K47" s="64"/>
      <c r="L47" s="64"/>
      <c r="M47" s="64"/>
      <c r="N47" s="64"/>
      <c r="O47" s="64"/>
      <c r="P47" s="64"/>
      <c r="Q47" s="64"/>
      <c r="R47" s="64"/>
      <c r="S47" s="64"/>
      <c r="T47" s="64"/>
      <c r="U47" s="64"/>
      <c r="V47" s="64"/>
      <c r="W47" s="64"/>
      <c r="X47" s="64"/>
      <c r="Y47" s="64"/>
      <c r="Z47" s="64"/>
    </row>
    <row r="48" spans="1:26" ht="54">
      <c r="A48" s="1593"/>
      <c r="B48" s="76">
        <v>44</v>
      </c>
      <c r="C48" s="77" t="s">
        <v>1050</v>
      </c>
      <c r="D48" s="76" t="s">
        <v>1828</v>
      </c>
      <c r="E48" s="76" t="s">
        <v>13</v>
      </c>
      <c r="F48" s="76" t="s">
        <v>77</v>
      </c>
      <c r="G48" s="76" t="s">
        <v>77</v>
      </c>
      <c r="H48" s="76" t="s">
        <v>1789</v>
      </c>
      <c r="I48" s="76" t="s">
        <v>77</v>
      </c>
      <c r="J48" s="76" t="s">
        <v>77</v>
      </c>
      <c r="K48" s="64"/>
      <c r="L48" s="64"/>
      <c r="M48" s="64"/>
      <c r="N48" s="64"/>
      <c r="O48" s="64"/>
      <c r="P48" s="64"/>
      <c r="Q48" s="64"/>
      <c r="R48" s="64"/>
      <c r="S48" s="64"/>
      <c r="T48" s="64"/>
      <c r="U48" s="64"/>
      <c r="V48" s="64"/>
      <c r="W48" s="64"/>
      <c r="X48" s="64"/>
      <c r="Y48" s="64"/>
      <c r="Z48" s="64"/>
    </row>
    <row r="49" spans="1:26" ht="54">
      <c r="A49" s="1593"/>
      <c r="B49" s="76">
        <v>45</v>
      </c>
      <c r="C49" s="77" t="s">
        <v>1059</v>
      </c>
      <c r="D49" s="76" t="s">
        <v>1829</v>
      </c>
      <c r="E49" s="76" t="s">
        <v>13</v>
      </c>
      <c r="F49" s="76" t="s">
        <v>77</v>
      </c>
      <c r="G49" s="76" t="s">
        <v>77</v>
      </c>
      <c r="H49" s="76" t="s">
        <v>1807</v>
      </c>
      <c r="I49" s="76" t="s">
        <v>77</v>
      </c>
      <c r="J49" s="76" t="s">
        <v>77</v>
      </c>
      <c r="K49" s="64"/>
      <c r="L49" s="64"/>
      <c r="M49" s="64"/>
      <c r="N49" s="64"/>
      <c r="O49" s="64"/>
      <c r="P49" s="64"/>
      <c r="Q49" s="64"/>
      <c r="R49" s="64"/>
      <c r="S49" s="64"/>
      <c r="T49" s="64"/>
      <c r="U49" s="64"/>
      <c r="V49" s="64"/>
      <c r="W49" s="64"/>
      <c r="X49" s="64"/>
      <c r="Y49" s="64"/>
      <c r="Z49" s="64"/>
    </row>
    <row r="50" spans="1:26" ht="54">
      <c r="A50" s="1593"/>
      <c r="B50" s="76">
        <v>46</v>
      </c>
      <c r="C50" s="77" t="s">
        <v>1085</v>
      </c>
      <c r="D50" s="76" t="s">
        <v>1830</v>
      </c>
      <c r="E50" s="76" t="s">
        <v>13</v>
      </c>
      <c r="F50" s="76" t="s">
        <v>77</v>
      </c>
      <c r="G50" s="76" t="s">
        <v>77</v>
      </c>
      <c r="H50" s="76" t="s">
        <v>1807</v>
      </c>
      <c r="I50" s="76" t="s">
        <v>77</v>
      </c>
      <c r="J50" s="76" t="s">
        <v>77</v>
      </c>
      <c r="K50" s="64"/>
      <c r="L50" s="64"/>
      <c r="M50" s="64"/>
      <c r="N50" s="64"/>
      <c r="O50" s="64"/>
      <c r="P50" s="64"/>
      <c r="Q50" s="64"/>
      <c r="R50" s="64"/>
      <c r="S50" s="64"/>
      <c r="T50" s="64"/>
      <c r="U50" s="64"/>
      <c r="V50" s="64"/>
      <c r="W50" s="64"/>
      <c r="X50" s="64"/>
      <c r="Y50" s="64"/>
      <c r="Z50" s="64"/>
    </row>
    <row r="51" spans="1:26" ht="54">
      <c r="A51" s="1593"/>
      <c r="B51" s="76">
        <v>47</v>
      </c>
      <c r="C51" s="77" t="s">
        <v>1094</v>
      </c>
      <c r="D51" s="76" t="s">
        <v>1831</v>
      </c>
      <c r="E51" s="76" t="s">
        <v>13</v>
      </c>
      <c r="F51" s="76" t="s">
        <v>77</v>
      </c>
      <c r="G51" s="76" t="s">
        <v>77</v>
      </c>
      <c r="H51" s="76" t="s">
        <v>1807</v>
      </c>
      <c r="I51" s="76" t="s">
        <v>77</v>
      </c>
      <c r="J51" s="76" t="s">
        <v>77</v>
      </c>
      <c r="K51" s="64"/>
      <c r="L51" s="64"/>
      <c r="M51" s="64"/>
      <c r="N51" s="64"/>
      <c r="O51" s="64"/>
      <c r="P51" s="64"/>
      <c r="Q51" s="64"/>
      <c r="R51" s="64"/>
      <c r="S51" s="64"/>
      <c r="T51" s="64"/>
      <c r="U51" s="64"/>
      <c r="V51" s="64"/>
      <c r="W51" s="64"/>
      <c r="X51" s="64"/>
      <c r="Y51" s="64"/>
      <c r="Z51" s="64"/>
    </row>
    <row r="52" spans="1:26" ht="54">
      <c r="A52" s="1593"/>
      <c r="B52" s="76">
        <v>48</v>
      </c>
      <c r="C52" s="77" t="s">
        <v>1105</v>
      </c>
      <c r="D52" s="76" t="s">
        <v>1832</v>
      </c>
      <c r="E52" s="76" t="s">
        <v>13</v>
      </c>
      <c r="F52" s="76" t="s">
        <v>77</v>
      </c>
      <c r="G52" s="76" t="s">
        <v>77</v>
      </c>
      <c r="H52" s="76" t="s">
        <v>1833</v>
      </c>
      <c r="I52" s="76" t="s">
        <v>77</v>
      </c>
      <c r="J52" s="76" t="s">
        <v>77</v>
      </c>
      <c r="K52" s="64"/>
      <c r="L52" s="64"/>
      <c r="M52" s="64"/>
      <c r="N52" s="64"/>
      <c r="O52" s="64"/>
      <c r="P52" s="64"/>
      <c r="Q52" s="64"/>
      <c r="R52" s="64"/>
      <c r="S52" s="64"/>
      <c r="T52" s="64"/>
      <c r="U52" s="64"/>
      <c r="V52" s="64"/>
      <c r="W52" s="64"/>
      <c r="X52" s="64"/>
      <c r="Y52" s="64"/>
      <c r="Z52" s="64"/>
    </row>
    <row r="53" spans="1:26" ht="36">
      <c r="A53" s="1593"/>
      <c r="B53" s="76">
        <v>49</v>
      </c>
      <c r="C53" s="77" t="s">
        <v>1116</v>
      </c>
      <c r="D53" s="76" t="s">
        <v>1834</v>
      </c>
      <c r="E53" s="76" t="s">
        <v>1301</v>
      </c>
      <c r="F53" s="76" t="s">
        <v>77</v>
      </c>
      <c r="G53" s="76" t="s">
        <v>1835</v>
      </c>
      <c r="H53" s="76" t="s">
        <v>77</v>
      </c>
      <c r="I53" s="76" t="s">
        <v>77</v>
      </c>
      <c r="J53" s="76" t="s">
        <v>77</v>
      </c>
      <c r="K53" s="64"/>
      <c r="L53" s="64"/>
      <c r="M53" s="64"/>
      <c r="N53" s="64"/>
      <c r="O53" s="64"/>
      <c r="P53" s="64"/>
      <c r="Q53" s="64"/>
      <c r="R53" s="64"/>
      <c r="S53" s="64"/>
      <c r="T53" s="64"/>
      <c r="U53" s="64"/>
      <c r="V53" s="64"/>
      <c r="W53" s="64"/>
      <c r="X53" s="64"/>
      <c r="Y53" s="64"/>
      <c r="Z53" s="64"/>
    </row>
    <row r="54" spans="1:26" ht="54">
      <c r="A54" s="1593"/>
      <c r="B54" s="76">
        <v>50</v>
      </c>
      <c r="C54" s="77" t="s">
        <v>1119</v>
      </c>
      <c r="D54" s="76" t="s">
        <v>1836</v>
      </c>
      <c r="E54" s="76" t="s">
        <v>1313</v>
      </c>
      <c r="F54" s="76" t="s">
        <v>77</v>
      </c>
      <c r="G54" s="76" t="s">
        <v>77</v>
      </c>
      <c r="H54" s="76" t="s">
        <v>1835</v>
      </c>
      <c r="I54" s="76" t="s">
        <v>77</v>
      </c>
      <c r="J54" s="76" t="s">
        <v>77</v>
      </c>
      <c r="K54" s="64"/>
      <c r="L54" s="64"/>
      <c r="M54" s="64"/>
      <c r="N54" s="64"/>
      <c r="O54" s="64"/>
      <c r="P54" s="64"/>
      <c r="Q54" s="64"/>
      <c r="R54" s="64"/>
      <c r="S54" s="64"/>
      <c r="T54" s="64"/>
      <c r="U54" s="64"/>
      <c r="V54" s="64"/>
      <c r="W54" s="64"/>
      <c r="X54" s="64"/>
      <c r="Y54" s="64"/>
      <c r="Z54" s="64"/>
    </row>
    <row r="55" spans="1:26" ht="54">
      <c r="A55" s="1593"/>
      <c r="B55" s="76">
        <v>51</v>
      </c>
      <c r="C55" s="77" t="s">
        <v>1124</v>
      </c>
      <c r="D55" s="76" t="s">
        <v>1837</v>
      </c>
      <c r="E55" s="76" t="s">
        <v>13</v>
      </c>
      <c r="F55" s="76" t="s">
        <v>77</v>
      </c>
      <c r="G55" s="76" t="s">
        <v>77</v>
      </c>
      <c r="H55" s="76" t="s">
        <v>1789</v>
      </c>
      <c r="I55" s="76" t="s">
        <v>77</v>
      </c>
      <c r="J55" s="76" t="s">
        <v>77</v>
      </c>
      <c r="K55" s="64"/>
      <c r="L55" s="64"/>
      <c r="M55" s="64"/>
      <c r="N55" s="64"/>
      <c r="O55" s="64"/>
      <c r="P55" s="64"/>
      <c r="Q55" s="64"/>
      <c r="R55" s="64"/>
      <c r="S55" s="64"/>
      <c r="T55" s="64"/>
      <c r="U55" s="64"/>
      <c r="V55" s="64"/>
      <c r="W55" s="64"/>
      <c r="X55" s="64"/>
      <c r="Y55" s="64"/>
      <c r="Z55" s="64"/>
    </row>
    <row r="56" spans="1:26" ht="54">
      <c r="A56" s="1593"/>
      <c r="B56" s="76">
        <v>52</v>
      </c>
      <c r="C56" s="77" t="s">
        <v>1132</v>
      </c>
      <c r="D56" s="76" t="s">
        <v>1838</v>
      </c>
      <c r="E56" s="76" t="s">
        <v>1291</v>
      </c>
      <c r="F56" s="76" t="s">
        <v>77</v>
      </c>
      <c r="G56" s="76" t="s">
        <v>77</v>
      </c>
      <c r="H56" s="76" t="s">
        <v>1839</v>
      </c>
      <c r="I56" s="76" t="s">
        <v>77</v>
      </c>
      <c r="J56" s="76" t="s">
        <v>77</v>
      </c>
      <c r="K56" s="79"/>
      <c r="L56" s="65"/>
      <c r="M56" s="65"/>
      <c r="N56" s="64"/>
      <c r="O56" s="64"/>
      <c r="P56" s="64"/>
      <c r="Q56" s="64"/>
      <c r="R56" s="64"/>
      <c r="S56" s="64"/>
      <c r="T56" s="64"/>
      <c r="U56" s="64"/>
      <c r="V56" s="64"/>
      <c r="W56" s="64"/>
      <c r="X56" s="64"/>
      <c r="Y56" s="64"/>
      <c r="Z56" s="64"/>
    </row>
    <row r="57" spans="1:26" ht="36">
      <c r="A57" s="1593"/>
      <c r="B57" s="76">
        <v>53</v>
      </c>
      <c r="C57" s="77" t="s">
        <v>337</v>
      </c>
      <c r="D57" s="76" t="s">
        <v>338</v>
      </c>
      <c r="E57" s="76" t="s">
        <v>130</v>
      </c>
      <c r="F57" s="76" t="s">
        <v>77</v>
      </c>
      <c r="G57" s="76" t="s">
        <v>77</v>
      </c>
      <c r="H57" s="76" t="s">
        <v>1840</v>
      </c>
      <c r="I57" s="76" t="s">
        <v>77</v>
      </c>
      <c r="J57" s="76" t="s">
        <v>77</v>
      </c>
      <c r="K57" s="64"/>
      <c r="L57" s="64"/>
      <c r="M57" s="64"/>
      <c r="N57" s="64"/>
      <c r="O57" s="64"/>
      <c r="P57" s="64"/>
      <c r="Q57" s="64"/>
      <c r="R57" s="64"/>
      <c r="S57" s="64"/>
      <c r="T57" s="64"/>
      <c r="U57" s="64"/>
      <c r="V57" s="64"/>
      <c r="W57" s="64"/>
      <c r="X57" s="64"/>
      <c r="Y57" s="64"/>
      <c r="Z57" s="64"/>
    </row>
    <row r="58" spans="1:26" ht="36">
      <c r="A58" s="1593"/>
      <c r="B58" s="76">
        <v>54</v>
      </c>
      <c r="C58" s="77" t="s">
        <v>339</v>
      </c>
      <c r="D58" s="76" t="s">
        <v>340</v>
      </c>
      <c r="E58" s="76" t="s">
        <v>341</v>
      </c>
      <c r="F58" s="76" t="s">
        <v>77</v>
      </c>
      <c r="G58" s="76" t="s">
        <v>77</v>
      </c>
      <c r="H58" s="76" t="s">
        <v>77</v>
      </c>
      <c r="I58" s="76" t="s">
        <v>77</v>
      </c>
      <c r="J58" s="76" t="s">
        <v>77</v>
      </c>
      <c r="K58" s="64"/>
      <c r="L58" s="64"/>
      <c r="M58" s="64"/>
      <c r="N58" s="64"/>
      <c r="O58" s="64"/>
      <c r="P58" s="64"/>
      <c r="Q58" s="64"/>
      <c r="R58" s="64"/>
      <c r="S58" s="64"/>
      <c r="T58" s="64"/>
      <c r="U58" s="64"/>
      <c r="V58" s="64"/>
      <c r="W58" s="64"/>
      <c r="X58" s="64"/>
      <c r="Y58" s="64"/>
      <c r="Z58" s="64"/>
    </row>
    <row r="59" spans="1:26" ht="36">
      <c r="A59" s="1593"/>
      <c r="B59" s="76">
        <v>55</v>
      </c>
      <c r="C59" s="77" t="s">
        <v>342</v>
      </c>
      <c r="D59" s="76" t="s">
        <v>343</v>
      </c>
      <c r="E59" s="76" t="s">
        <v>341</v>
      </c>
      <c r="F59" s="76" t="s">
        <v>77</v>
      </c>
      <c r="G59" s="76" t="s">
        <v>77</v>
      </c>
      <c r="H59" s="76" t="s">
        <v>77</v>
      </c>
      <c r="I59" s="76" t="s">
        <v>77</v>
      </c>
      <c r="J59" s="76" t="s">
        <v>77</v>
      </c>
      <c r="K59" s="64"/>
      <c r="L59" s="64"/>
      <c r="M59" s="64"/>
      <c r="N59" s="64"/>
      <c r="O59" s="64"/>
      <c r="P59" s="64"/>
      <c r="Q59" s="64"/>
      <c r="R59" s="64"/>
      <c r="S59" s="64"/>
      <c r="T59" s="64"/>
      <c r="U59" s="64"/>
      <c r="V59" s="64"/>
      <c r="W59" s="64"/>
      <c r="X59" s="64"/>
      <c r="Y59" s="64"/>
      <c r="Z59" s="64"/>
    </row>
    <row r="60" spans="1:26" ht="36">
      <c r="A60" s="1593"/>
      <c r="B60" s="76">
        <v>56</v>
      </c>
      <c r="C60" s="77" t="s">
        <v>344</v>
      </c>
      <c r="D60" s="76" t="s">
        <v>345</v>
      </c>
      <c r="E60" s="76" t="s">
        <v>346</v>
      </c>
      <c r="F60" s="76" t="s">
        <v>77</v>
      </c>
      <c r="G60" s="76" t="s">
        <v>77</v>
      </c>
      <c r="H60" s="76" t="s">
        <v>77</v>
      </c>
      <c r="I60" s="76" t="s">
        <v>77</v>
      </c>
      <c r="J60" s="76" t="s">
        <v>77</v>
      </c>
      <c r="K60" s="64"/>
      <c r="L60" s="64"/>
      <c r="M60" s="64"/>
      <c r="N60" s="64"/>
      <c r="O60" s="64"/>
      <c r="P60" s="64"/>
      <c r="Q60" s="64"/>
      <c r="R60" s="64"/>
      <c r="S60" s="64"/>
      <c r="T60" s="64"/>
      <c r="U60" s="64"/>
      <c r="V60" s="64"/>
      <c r="W60" s="64"/>
      <c r="X60" s="64"/>
      <c r="Y60" s="64"/>
      <c r="Z60" s="64"/>
    </row>
    <row r="61" spans="1:26" ht="36">
      <c r="A61" s="1593"/>
      <c r="B61" s="76">
        <v>57</v>
      </c>
      <c r="C61" s="77" t="s">
        <v>347</v>
      </c>
      <c r="D61" s="76" t="s">
        <v>348</v>
      </c>
      <c r="E61" s="76" t="s">
        <v>349</v>
      </c>
      <c r="F61" s="76" t="s">
        <v>77</v>
      </c>
      <c r="G61" s="76" t="s">
        <v>77</v>
      </c>
      <c r="H61" s="76" t="s">
        <v>1841</v>
      </c>
      <c r="I61" s="76" t="s">
        <v>77</v>
      </c>
      <c r="J61" s="76" t="s">
        <v>77</v>
      </c>
      <c r="K61" s="64"/>
      <c r="L61" s="64"/>
      <c r="M61" s="64"/>
      <c r="N61" s="64"/>
      <c r="O61" s="64"/>
      <c r="P61" s="64"/>
      <c r="Q61" s="64"/>
      <c r="R61" s="64"/>
      <c r="S61" s="64"/>
      <c r="T61" s="64"/>
      <c r="U61" s="64"/>
      <c r="V61" s="64"/>
      <c r="W61" s="64"/>
      <c r="X61" s="64"/>
      <c r="Y61" s="64"/>
      <c r="Z61" s="64"/>
    </row>
    <row r="62" spans="1:26" ht="36">
      <c r="A62" s="1593"/>
      <c r="B62" s="76">
        <v>58</v>
      </c>
      <c r="C62" s="77" t="s">
        <v>350</v>
      </c>
      <c r="D62" s="76" t="s">
        <v>351</v>
      </c>
      <c r="E62" s="76" t="s">
        <v>349</v>
      </c>
      <c r="F62" s="76" t="s">
        <v>77</v>
      </c>
      <c r="G62" s="76" t="s">
        <v>77</v>
      </c>
      <c r="H62" s="76" t="s">
        <v>1841</v>
      </c>
      <c r="I62" s="76" t="s">
        <v>77</v>
      </c>
      <c r="J62" s="76" t="s">
        <v>77</v>
      </c>
      <c r="K62" s="64"/>
      <c r="L62" s="64"/>
      <c r="M62" s="64"/>
      <c r="N62" s="64"/>
      <c r="O62" s="64"/>
      <c r="P62" s="64"/>
      <c r="Q62" s="64"/>
      <c r="R62" s="64"/>
      <c r="S62" s="64"/>
      <c r="T62" s="64"/>
      <c r="U62" s="64"/>
      <c r="V62" s="64"/>
      <c r="W62" s="64"/>
      <c r="X62" s="64"/>
      <c r="Y62" s="64"/>
      <c r="Z62" s="64"/>
    </row>
    <row r="63" spans="1:26" ht="18">
      <c r="A63" s="1593"/>
      <c r="B63" s="76">
        <v>59</v>
      </c>
      <c r="C63" s="77" t="s">
        <v>352</v>
      </c>
      <c r="D63" s="76" t="s">
        <v>353</v>
      </c>
      <c r="E63" s="76" t="s">
        <v>346</v>
      </c>
      <c r="F63" s="76" t="s">
        <v>77</v>
      </c>
      <c r="G63" s="76" t="s">
        <v>77</v>
      </c>
      <c r="H63" s="76" t="s">
        <v>77</v>
      </c>
      <c r="I63" s="76" t="s">
        <v>77</v>
      </c>
      <c r="J63" s="76" t="s">
        <v>77</v>
      </c>
      <c r="K63" s="64"/>
      <c r="L63" s="64"/>
      <c r="M63" s="64"/>
      <c r="N63" s="64"/>
      <c r="O63" s="64"/>
      <c r="P63" s="64"/>
      <c r="Q63" s="64"/>
      <c r="R63" s="64"/>
      <c r="S63" s="64"/>
      <c r="T63" s="64"/>
      <c r="U63" s="64"/>
      <c r="V63" s="64"/>
      <c r="W63" s="64"/>
      <c r="X63" s="64"/>
      <c r="Y63" s="64"/>
      <c r="Z63" s="64"/>
    </row>
    <row r="64" spans="1:26" ht="18">
      <c r="A64" s="1593"/>
      <c r="B64" s="76">
        <v>60</v>
      </c>
      <c r="C64" s="77" t="s">
        <v>354</v>
      </c>
      <c r="D64" s="76" t="s">
        <v>353</v>
      </c>
      <c r="E64" s="76" t="s">
        <v>346</v>
      </c>
      <c r="F64" s="76" t="s">
        <v>77</v>
      </c>
      <c r="G64" s="76" t="s">
        <v>77</v>
      </c>
      <c r="H64" s="76" t="s">
        <v>77</v>
      </c>
      <c r="I64" s="76" t="s">
        <v>77</v>
      </c>
      <c r="J64" s="76" t="s">
        <v>77</v>
      </c>
      <c r="K64" s="64"/>
      <c r="L64" s="64"/>
      <c r="M64" s="64"/>
      <c r="N64" s="64"/>
      <c r="O64" s="64"/>
      <c r="P64" s="64"/>
      <c r="Q64" s="64"/>
      <c r="R64" s="64"/>
      <c r="S64" s="64"/>
      <c r="T64" s="64"/>
      <c r="U64" s="64"/>
      <c r="V64" s="64"/>
      <c r="W64" s="64"/>
      <c r="X64" s="64"/>
      <c r="Y64" s="64"/>
      <c r="Z64" s="64"/>
    </row>
    <row r="65" spans="1:26" ht="24" customHeight="1">
      <c r="A65" s="1593"/>
      <c r="B65" s="76">
        <v>61</v>
      </c>
      <c r="C65" s="77" t="s">
        <v>1842</v>
      </c>
      <c r="D65" s="76" t="s">
        <v>353</v>
      </c>
      <c r="E65" s="76" t="s">
        <v>349</v>
      </c>
      <c r="F65" s="76" t="s">
        <v>77</v>
      </c>
      <c r="G65" s="76" t="s">
        <v>77</v>
      </c>
      <c r="H65" s="76" t="s">
        <v>77</v>
      </c>
      <c r="I65" s="76" t="s">
        <v>77</v>
      </c>
      <c r="J65" s="76" t="s">
        <v>77</v>
      </c>
      <c r="K65" s="64"/>
      <c r="L65" s="64"/>
      <c r="M65" s="64"/>
      <c r="N65" s="64"/>
      <c r="O65" s="64"/>
      <c r="P65" s="64"/>
      <c r="Q65" s="64"/>
      <c r="R65" s="64"/>
      <c r="S65" s="64"/>
      <c r="T65" s="64"/>
      <c r="U65" s="64"/>
      <c r="V65" s="64"/>
      <c r="W65" s="64"/>
      <c r="X65" s="64"/>
      <c r="Y65" s="64"/>
      <c r="Z65" s="64"/>
    </row>
    <row r="66" spans="1:26" ht="75.75" customHeight="1">
      <c r="A66" s="80"/>
      <c r="B66" s="81">
        <v>62</v>
      </c>
      <c r="C66" s="82" t="s">
        <v>1843</v>
      </c>
      <c r="D66" s="81" t="s">
        <v>1844</v>
      </c>
      <c r="E66" s="76" t="s">
        <v>13</v>
      </c>
      <c r="F66" s="83" t="s">
        <v>77</v>
      </c>
      <c r="G66" s="83" t="s">
        <v>77</v>
      </c>
      <c r="H66" s="76" t="s">
        <v>1845</v>
      </c>
      <c r="I66" s="83" t="s">
        <v>77</v>
      </c>
      <c r="J66" s="83" t="s">
        <v>77</v>
      </c>
      <c r="K66" s="70"/>
      <c r="L66" s="70"/>
      <c r="M66" s="70"/>
      <c r="N66" s="70"/>
      <c r="O66" s="70"/>
      <c r="P66" s="70"/>
      <c r="Q66" s="70"/>
      <c r="R66" s="70"/>
      <c r="S66" s="70"/>
      <c r="T66" s="70"/>
      <c r="U66" s="70"/>
      <c r="V66" s="70"/>
      <c r="W66" s="70"/>
      <c r="X66" s="70"/>
      <c r="Y66" s="70"/>
      <c r="Z66" s="70"/>
    </row>
    <row r="67" spans="1:26" ht="15.75" customHeight="1">
      <c r="A67" s="49"/>
      <c r="B67" s="49"/>
      <c r="C67" s="48"/>
      <c r="D67" s="48"/>
      <c r="E67" s="50"/>
      <c r="F67" s="48"/>
      <c r="G67" s="48"/>
      <c r="H67" s="48"/>
      <c r="I67" s="48"/>
      <c r="J67" s="48"/>
      <c r="K67" s="70"/>
      <c r="L67" s="70"/>
      <c r="M67" s="70"/>
      <c r="N67" s="70"/>
      <c r="O67" s="70"/>
      <c r="P67" s="70"/>
      <c r="Q67" s="70"/>
      <c r="R67" s="70"/>
      <c r="S67" s="70"/>
      <c r="T67" s="70"/>
      <c r="U67" s="70"/>
      <c r="V67" s="70"/>
      <c r="W67" s="70"/>
      <c r="X67" s="70"/>
      <c r="Y67" s="70"/>
      <c r="Z67" s="70"/>
    </row>
    <row r="68" spans="1:26" ht="15.75" customHeight="1">
      <c r="A68" s="71"/>
      <c r="B68" s="71"/>
      <c r="C68" s="70"/>
      <c r="D68" s="70"/>
      <c r="E68" s="73"/>
      <c r="F68" s="70"/>
      <c r="G68" s="70"/>
      <c r="H68" s="70"/>
      <c r="I68" s="70"/>
      <c r="J68" s="70"/>
      <c r="K68" s="70"/>
      <c r="L68" s="70"/>
      <c r="M68" s="70"/>
      <c r="N68" s="70"/>
      <c r="O68" s="70"/>
      <c r="P68" s="70"/>
      <c r="Q68" s="70"/>
      <c r="R68" s="70"/>
      <c r="S68" s="70"/>
      <c r="T68" s="70"/>
      <c r="U68" s="70"/>
      <c r="V68" s="70"/>
      <c r="W68" s="70"/>
      <c r="X68" s="70"/>
      <c r="Y68" s="70"/>
      <c r="Z68" s="70"/>
    </row>
    <row r="69" spans="1:26" ht="15.75" customHeight="1">
      <c r="A69" s="71"/>
      <c r="B69" s="71"/>
      <c r="C69" s="70"/>
      <c r="D69" s="70"/>
      <c r="E69" s="73"/>
      <c r="F69" s="70"/>
      <c r="G69" s="70"/>
      <c r="H69" s="70"/>
      <c r="I69" s="70"/>
      <c r="J69" s="70"/>
      <c r="K69" s="70"/>
      <c r="L69" s="70"/>
      <c r="M69" s="70"/>
      <c r="N69" s="70"/>
      <c r="O69" s="70"/>
      <c r="P69" s="70"/>
      <c r="Q69" s="70"/>
      <c r="R69" s="70"/>
      <c r="S69" s="70"/>
      <c r="T69" s="70"/>
      <c r="U69" s="70"/>
      <c r="V69" s="70"/>
      <c r="W69" s="70"/>
      <c r="X69" s="70"/>
      <c r="Y69" s="70"/>
      <c r="Z69" s="70"/>
    </row>
    <row r="70" spans="1:26" ht="15.75" customHeight="1">
      <c r="A70" s="71"/>
      <c r="B70" s="71"/>
      <c r="C70" s="70"/>
      <c r="D70" s="70"/>
      <c r="E70" s="73"/>
      <c r="F70" s="70"/>
      <c r="G70" s="70"/>
      <c r="H70" s="70"/>
      <c r="I70" s="70"/>
      <c r="J70" s="70"/>
      <c r="K70" s="70"/>
      <c r="L70" s="70"/>
      <c r="M70" s="70"/>
      <c r="N70" s="70"/>
      <c r="O70" s="70"/>
      <c r="P70" s="70"/>
      <c r="Q70" s="70"/>
      <c r="R70" s="70"/>
      <c r="S70" s="70"/>
      <c r="T70" s="70"/>
      <c r="U70" s="70"/>
      <c r="V70" s="70"/>
      <c r="W70" s="70"/>
      <c r="X70" s="70"/>
      <c r="Y70" s="70"/>
      <c r="Z70" s="70"/>
    </row>
    <row r="71" spans="1:26" ht="15.75" customHeight="1">
      <c r="A71" s="71"/>
      <c r="B71" s="71"/>
      <c r="C71" s="70"/>
      <c r="D71" s="70"/>
      <c r="E71" s="73"/>
      <c r="F71" s="70"/>
      <c r="G71" s="70"/>
      <c r="H71" s="70"/>
      <c r="I71" s="70"/>
      <c r="J71" s="70"/>
      <c r="K71" s="70"/>
      <c r="L71" s="70"/>
      <c r="M71" s="70"/>
      <c r="N71" s="70"/>
      <c r="O71" s="70"/>
      <c r="P71" s="70"/>
      <c r="Q71" s="70"/>
      <c r="R71" s="70"/>
      <c r="S71" s="70"/>
      <c r="T71" s="70"/>
      <c r="U71" s="70"/>
      <c r="V71" s="70"/>
      <c r="W71" s="70"/>
      <c r="X71" s="70"/>
      <c r="Y71" s="70"/>
      <c r="Z71" s="70"/>
    </row>
    <row r="72" spans="1:26" ht="15.75" customHeight="1">
      <c r="A72" s="71"/>
      <c r="B72" s="71"/>
      <c r="C72" s="70"/>
      <c r="D72" s="70"/>
      <c r="E72" s="73"/>
      <c r="F72" s="70"/>
      <c r="G72" s="70"/>
      <c r="H72" s="70"/>
      <c r="I72" s="70"/>
      <c r="J72" s="70"/>
      <c r="K72" s="70"/>
      <c r="L72" s="70"/>
      <c r="M72" s="70"/>
      <c r="N72" s="70"/>
      <c r="O72" s="70"/>
      <c r="P72" s="70"/>
      <c r="Q72" s="70"/>
      <c r="R72" s="70"/>
      <c r="S72" s="70"/>
      <c r="T72" s="70"/>
      <c r="U72" s="70"/>
      <c r="V72" s="70"/>
      <c r="W72" s="70"/>
      <c r="X72" s="70"/>
      <c r="Y72" s="70"/>
      <c r="Z72" s="70"/>
    </row>
    <row r="73" spans="1:26" ht="15.75" customHeight="1">
      <c r="A73" s="71"/>
      <c r="B73" s="71"/>
      <c r="C73" s="70"/>
      <c r="D73" s="70"/>
      <c r="E73" s="73"/>
      <c r="F73" s="70"/>
      <c r="G73" s="70"/>
      <c r="H73" s="70"/>
      <c r="I73" s="70"/>
      <c r="J73" s="70"/>
      <c r="K73" s="70"/>
      <c r="L73" s="70"/>
      <c r="M73" s="70"/>
      <c r="N73" s="70"/>
      <c r="O73" s="70"/>
      <c r="P73" s="70"/>
      <c r="Q73" s="70"/>
      <c r="R73" s="70"/>
      <c r="S73" s="70"/>
      <c r="T73" s="70"/>
      <c r="U73" s="70"/>
      <c r="V73" s="70"/>
      <c r="W73" s="70"/>
      <c r="X73" s="70"/>
      <c r="Y73" s="70"/>
      <c r="Z73" s="70"/>
    </row>
    <row r="74" spans="1:26" ht="15.75" customHeight="1">
      <c r="A74" s="71"/>
      <c r="B74" s="71"/>
      <c r="C74" s="70"/>
      <c r="D74" s="70"/>
      <c r="E74" s="73"/>
      <c r="F74" s="70"/>
      <c r="G74" s="70"/>
      <c r="H74" s="70"/>
      <c r="I74" s="70"/>
      <c r="J74" s="70"/>
      <c r="K74" s="70"/>
      <c r="L74" s="70"/>
      <c r="M74" s="70"/>
      <c r="N74" s="70"/>
      <c r="O74" s="70"/>
      <c r="P74" s="70"/>
      <c r="Q74" s="70"/>
      <c r="R74" s="70"/>
      <c r="S74" s="70"/>
      <c r="T74" s="70"/>
      <c r="U74" s="70"/>
      <c r="V74" s="70"/>
      <c r="W74" s="70"/>
      <c r="X74" s="70"/>
      <c r="Y74" s="70"/>
      <c r="Z74" s="70"/>
    </row>
    <row r="75" spans="1:26" ht="15.75" customHeight="1">
      <c r="A75" s="71"/>
      <c r="B75" s="71"/>
      <c r="C75" s="70"/>
      <c r="D75" s="70"/>
      <c r="E75" s="73"/>
      <c r="F75" s="70"/>
      <c r="G75" s="70"/>
      <c r="H75" s="70"/>
      <c r="I75" s="70"/>
      <c r="J75" s="70"/>
      <c r="K75" s="70"/>
      <c r="L75" s="70"/>
      <c r="M75" s="70"/>
      <c r="N75" s="70"/>
      <c r="O75" s="70"/>
      <c r="P75" s="70"/>
      <c r="Q75" s="70"/>
      <c r="R75" s="70"/>
      <c r="S75" s="70"/>
      <c r="T75" s="70"/>
      <c r="U75" s="70"/>
      <c r="V75" s="70"/>
      <c r="W75" s="70"/>
      <c r="X75" s="70"/>
      <c r="Y75" s="70"/>
      <c r="Z75" s="70"/>
    </row>
    <row r="76" spans="1:26" ht="15.75" customHeight="1">
      <c r="A76" s="71"/>
      <c r="B76" s="71"/>
      <c r="C76" s="70"/>
      <c r="D76" s="70"/>
      <c r="E76" s="73"/>
      <c r="F76" s="70"/>
      <c r="G76" s="70"/>
      <c r="H76" s="70"/>
      <c r="I76" s="70"/>
      <c r="J76" s="70"/>
      <c r="K76" s="70"/>
      <c r="L76" s="70"/>
      <c r="M76" s="70"/>
      <c r="N76" s="70"/>
      <c r="O76" s="70"/>
      <c r="P76" s="70"/>
      <c r="Q76" s="70"/>
      <c r="R76" s="70"/>
      <c r="S76" s="70"/>
      <c r="T76" s="70"/>
      <c r="U76" s="70"/>
      <c r="V76" s="70"/>
      <c r="W76" s="70"/>
      <c r="X76" s="70"/>
      <c r="Y76" s="70"/>
      <c r="Z76" s="70"/>
    </row>
    <row r="77" spans="1:26" ht="15.75" customHeight="1">
      <c r="A77" s="71"/>
      <c r="B77" s="71"/>
      <c r="C77" s="70"/>
      <c r="D77" s="70"/>
      <c r="E77" s="73"/>
      <c r="F77" s="70"/>
      <c r="G77" s="70"/>
      <c r="H77" s="70"/>
      <c r="I77" s="70"/>
      <c r="J77" s="70"/>
      <c r="K77" s="70"/>
      <c r="L77" s="70"/>
      <c r="M77" s="70"/>
      <c r="N77" s="70"/>
      <c r="O77" s="70"/>
      <c r="P77" s="70"/>
      <c r="Q77" s="70"/>
      <c r="R77" s="70"/>
      <c r="S77" s="70"/>
      <c r="T77" s="70"/>
      <c r="U77" s="70"/>
      <c r="V77" s="70"/>
      <c r="W77" s="70"/>
      <c r="X77" s="70"/>
      <c r="Y77" s="70"/>
      <c r="Z77" s="70"/>
    </row>
    <row r="78" spans="1:26" ht="15.75" customHeight="1">
      <c r="A78" s="71"/>
      <c r="B78" s="71"/>
      <c r="C78" s="70"/>
      <c r="D78" s="70"/>
      <c r="E78" s="73"/>
      <c r="F78" s="70"/>
      <c r="G78" s="70"/>
      <c r="H78" s="70"/>
      <c r="I78" s="70"/>
      <c r="J78" s="70"/>
      <c r="K78" s="70"/>
      <c r="L78" s="70"/>
      <c r="M78" s="70"/>
      <c r="N78" s="70"/>
      <c r="O78" s="70"/>
      <c r="P78" s="70"/>
      <c r="Q78" s="70"/>
      <c r="R78" s="70"/>
      <c r="S78" s="70"/>
      <c r="T78" s="70"/>
      <c r="U78" s="70"/>
      <c r="V78" s="70"/>
      <c r="W78" s="70"/>
      <c r="X78" s="70"/>
      <c r="Y78" s="70"/>
      <c r="Z78" s="70"/>
    </row>
    <row r="79" spans="1:26" ht="15.75" customHeight="1">
      <c r="A79" s="71"/>
      <c r="B79" s="71"/>
      <c r="C79" s="70"/>
      <c r="D79" s="70"/>
      <c r="E79" s="73"/>
      <c r="F79" s="70"/>
      <c r="G79" s="70"/>
      <c r="H79" s="70"/>
      <c r="I79" s="70"/>
      <c r="J79" s="70"/>
      <c r="K79" s="70"/>
      <c r="L79" s="70"/>
      <c r="M79" s="70"/>
      <c r="N79" s="70"/>
      <c r="O79" s="70"/>
      <c r="P79" s="70"/>
      <c r="Q79" s="70"/>
      <c r="R79" s="70"/>
      <c r="S79" s="70"/>
      <c r="T79" s="70"/>
      <c r="U79" s="70"/>
      <c r="V79" s="70"/>
      <c r="W79" s="70"/>
      <c r="X79" s="70"/>
      <c r="Y79" s="70"/>
      <c r="Z79" s="70"/>
    </row>
    <row r="80" spans="1:26" ht="15.75" customHeight="1">
      <c r="A80" s="71"/>
      <c r="B80" s="71"/>
      <c r="C80" s="70"/>
      <c r="D80" s="70"/>
      <c r="E80" s="73"/>
      <c r="F80" s="70"/>
      <c r="G80" s="70"/>
      <c r="H80" s="70"/>
      <c r="I80" s="70"/>
      <c r="J80" s="70"/>
      <c r="K80" s="70"/>
      <c r="L80" s="70"/>
      <c r="M80" s="70"/>
      <c r="N80" s="70"/>
      <c r="O80" s="70"/>
      <c r="P80" s="70"/>
      <c r="Q80" s="70"/>
      <c r="R80" s="70"/>
      <c r="S80" s="70"/>
      <c r="T80" s="70"/>
      <c r="U80" s="70"/>
      <c r="V80" s="70"/>
      <c r="W80" s="70"/>
      <c r="X80" s="70"/>
      <c r="Y80" s="70"/>
      <c r="Z80" s="70"/>
    </row>
    <row r="81" spans="1:26" ht="15.75" customHeight="1">
      <c r="A81" s="71"/>
      <c r="B81" s="71"/>
      <c r="C81" s="70"/>
      <c r="D81" s="70"/>
      <c r="E81" s="73"/>
      <c r="F81" s="70"/>
      <c r="G81" s="70"/>
      <c r="H81" s="70"/>
      <c r="I81" s="70"/>
      <c r="J81" s="70"/>
      <c r="K81" s="70"/>
      <c r="L81" s="70"/>
      <c r="M81" s="70"/>
      <c r="N81" s="70"/>
      <c r="O81" s="70"/>
      <c r="P81" s="70"/>
      <c r="Q81" s="70"/>
      <c r="R81" s="70"/>
      <c r="S81" s="70"/>
      <c r="T81" s="70"/>
      <c r="U81" s="70"/>
      <c r="V81" s="70"/>
      <c r="W81" s="70"/>
      <c r="X81" s="70"/>
      <c r="Y81" s="70"/>
      <c r="Z81" s="70"/>
    </row>
    <row r="82" spans="1:26" ht="15.75" customHeight="1">
      <c r="A82" s="71"/>
      <c r="B82" s="71"/>
      <c r="C82" s="70"/>
      <c r="D82" s="70"/>
      <c r="E82" s="73"/>
      <c r="F82" s="70"/>
      <c r="G82" s="70"/>
      <c r="H82" s="70"/>
      <c r="I82" s="70"/>
      <c r="J82" s="70"/>
      <c r="K82" s="70"/>
      <c r="L82" s="70"/>
      <c r="M82" s="70"/>
      <c r="N82" s="70"/>
      <c r="O82" s="70"/>
      <c r="P82" s="70"/>
      <c r="Q82" s="70"/>
      <c r="R82" s="70"/>
      <c r="S82" s="70"/>
      <c r="T82" s="70"/>
      <c r="U82" s="70"/>
      <c r="V82" s="70"/>
      <c r="W82" s="70"/>
      <c r="X82" s="70"/>
      <c r="Y82" s="70"/>
      <c r="Z82" s="70"/>
    </row>
    <row r="83" spans="1:26" ht="15.75" customHeight="1">
      <c r="A83" s="71"/>
      <c r="B83" s="71"/>
      <c r="C83" s="70"/>
      <c r="D83" s="70"/>
      <c r="E83" s="73"/>
      <c r="F83" s="70"/>
      <c r="G83" s="70"/>
      <c r="H83" s="70"/>
      <c r="I83" s="70"/>
      <c r="J83" s="70"/>
      <c r="K83" s="70"/>
      <c r="L83" s="70"/>
      <c r="M83" s="70"/>
      <c r="N83" s="70"/>
      <c r="O83" s="70"/>
      <c r="P83" s="70"/>
      <c r="Q83" s="70"/>
      <c r="R83" s="70"/>
      <c r="S83" s="70"/>
      <c r="T83" s="70"/>
      <c r="U83" s="70"/>
      <c r="V83" s="70"/>
      <c r="W83" s="70"/>
      <c r="X83" s="70"/>
      <c r="Y83" s="70"/>
      <c r="Z83" s="70"/>
    </row>
    <row r="84" spans="1:26" ht="15.75" customHeight="1">
      <c r="A84" s="71"/>
      <c r="B84" s="71"/>
      <c r="C84" s="70"/>
      <c r="D84" s="70"/>
      <c r="E84" s="73"/>
      <c r="F84" s="70"/>
      <c r="G84" s="70"/>
      <c r="H84" s="70"/>
      <c r="I84" s="70"/>
      <c r="J84" s="70"/>
      <c r="K84" s="70"/>
      <c r="L84" s="70"/>
      <c r="M84" s="70"/>
      <c r="N84" s="70"/>
      <c r="O84" s="70"/>
      <c r="P84" s="70"/>
      <c r="Q84" s="70"/>
      <c r="R84" s="70"/>
      <c r="S84" s="70"/>
      <c r="T84" s="70"/>
      <c r="U84" s="70"/>
      <c r="V84" s="70"/>
      <c r="W84" s="70"/>
      <c r="X84" s="70"/>
      <c r="Y84" s="70"/>
      <c r="Z84" s="70"/>
    </row>
    <row r="85" spans="1:26" ht="15.75" customHeight="1">
      <c r="A85" s="71"/>
      <c r="B85" s="71"/>
      <c r="C85" s="70"/>
      <c r="D85" s="70"/>
      <c r="E85" s="73"/>
      <c r="F85" s="70"/>
      <c r="G85" s="70"/>
      <c r="H85" s="70"/>
      <c r="I85" s="70"/>
      <c r="J85" s="70"/>
      <c r="K85" s="70"/>
      <c r="L85" s="70"/>
      <c r="M85" s="70"/>
      <c r="N85" s="70"/>
      <c r="O85" s="70"/>
      <c r="P85" s="70"/>
      <c r="Q85" s="70"/>
      <c r="R85" s="70"/>
      <c r="S85" s="70"/>
      <c r="T85" s="70"/>
      <c r="U85" s="70"/>
      <c r="V85" s="70"/>
      <c r="W85" s="70"/>
      <c r="X85" s="70"/>
      <c r="Y85" s="70"/>
      <c r="Z85" s="70"/>
    </row>
    <row r="86" spans="1:26" ht="15.75" customHeight="1">
      <c r="A86" s="71"/>
      <c r="B86" s="71"/>
      <c r="C86" s="70"/>
      <c r="D86" s="70"/>
      <c r="E86" s="73"/>
      <c r="F86" s="70"/>
      <c r="G86" s="70"/>
      <c r="H86" s="70"/>
      <c r="I86" s="70"/>
      <c r="J86" s="70"/>
      <c r="K86" s="70"/>
      <c r="L86" s="70"/>
      <c r="M86" s="70"/>
      <c r="N86" s="70"/>
      <c r="O86" s="70"/>
      <c r="P86" s="70"/>
      <c r="Q86" s="70"/>
      <c r="R86" s="70"/>
      <c r="S86" s="70"/>
      <c r="T86" s="70"/>
      <c r="U86" s="70"/>
      <c r="V86" s="70"/>
      <c r="W86" s="70"/>
      <c r="X86" s="70"/>
      <c r="Y86" s="70"/>
      <c r="Z86" s="70"/>
    </row>
    <row r="87" spans="1:26" ht="15.75" customHeight="1">
      <c r="A87" s="71"/>
      <c r="B87" s="71"/>
      <c r="C87" s="70"/>
      <c r="D87" s="70"/>
      <c r="E87" s="73"/>
      <c r="F87" s="70"/>
      <c r="G87" s="70"/>
      <c r="H87" s="70"/>
      <c r="I87" s="70"/>
      <c r="J87" s="70"/>
      <c r="K87" s="70"/>
      <c r="L87" s="70"/>
      <c r="M87" s="70"/>
      <c r="N87" s="70"/>
      <c r="O87" s="70"/>
      <c r="P87" s="70"/>
      <c r="Q87" s="70"/>
      <c r="R87" s="70"/>
      <c r="S87" s="70"/>
      <c r="T87" s="70"/>
      <c r="U87" s="70"/>
      <c r="V87" s="70"/>
      <c r="W87" s="70"/>
      <c r="X87" s="70"/>
      <c r="Y87" s="70"/>
      <c r="Z87" s="70"/>
    </row>
    <row r="88" spans="1:26" ht="15.75" customHeight="1">
      <c r="A88" s="71"/>
      <c r="B88" s="71"/>
      <c r="C88" s="70"/>
      <c r="D88" s="70"/>
      <c r="E88" s="73"/>
      <c r="F88" s="70"/>
      <c r="G88" s="70"/>
      <c r="H88" s="70"/>
      <c r="I88" s="70"/>
      <c r="J88" s="70"/>
      <c r="K88" s="70"/>
      <c r="L88" s="70"/>
      <c r="M88" s="70"/>
      <c r="N88" s="70"/>
      <c r="O88" s="70"/>
      <c r="P88" s="70"/>
      <c r="Q88" s="70"/>
      <c r="R88" s="70"/>
      <c r="S88" s="70"/>
      <c r="T88" s="70"/>
      <c r="U88" s="70"/>
      <c r="V88" s="70"/>
      <c r="W88" s="70"/>
      <c r="X88" s="70"/>
      <c r="Y88" s="70"/>
      <c r="Z88" s="70"/>
    </row>
    <row r="89" spans="1:26" ht="15.75" customHeight="1">
      <c r="A89" s="71"/>
      <c r="B89" s="71"/>
      <c r="C89" s="70"/>
      <c r="D89" s="70"/>
      <c r="E89" s="73"/>
      <c r="F89" s="70"/>
      <c r="G89" s="70"/>
      <c r="H89" s="70"/>
      <c r="I89" s="70"/>
      <c r="J89" s="70"/>
      <c r="K89" s="70"/>
      <c r="L89" s="70"/>
      <c r="M89" s="70"/>
      <c r="N89" s="70"/>
      <c r="O89" s="70"/>
      <c r="P89" s="70"/>
      <c r="Q89" s="70"/>
      <c r="R89" s="70"/>
      <c r="S89" s="70"/>
      <c r="T89" s="70"/>
      <c r="U89" s="70"/>
      <c r="V89" s="70"/>
      <c r="W89" s="70"/>
      <c r="X89" s="70"/>
      <c r="Y89" s="70"/>
      <c r="Z89" s="70"/>
    </row>
    <row r="90" spans="1:26" ht="15.75" customHeight="1">
      <c r="A90" s="71"/>
      <c r="B90" s="71"/>
      <c r="C90" s="70"/>
      <c r="D90" s="70"/>
      <c r="E90" s="73"/>
      <c r="F90" s="70"/>
      <c r="G90" s="70"/>
      <c r="H90" s="70"/>
      <c r="I90" s="70"/>
      <c r="J90" s="70"/>
      <c r="K90" s="70"/>
      <c r="L90" s="70"/>
      <c r="M90" s="70"/>
      <c r="N90" s="70"/>
      <c r="O90" s="70"/>
      <c r="P90" s="70"/>
      <c r="Q90" s="70"/>
      <c r="R90" s="70"/>
      <c r="S90" s="70"/>
      <c r="T90" s="70"/>
      <c r="U90" s="70"/>
      <c r="V90" s="70"/>
      <c r="W90" s="70"/>
      <c r="X90" s="70"/>
      <c r="Y90" s="70"/>
      <c r="Z90" s="70"/>
    </row>
    <row r="91" spans="1:26" ht="15.75" customHeight="1">
      <c r="A91" s="71"/>
      <c r="B91" s="71"/>
      <c r="C91" s="70"/>
      <c r="D91" s="70"/>
      <c r="E91" s="73"/>
      <c r="F91" s="70"/>
      <c r="G91" s="70"/>
      <c r="H91" s="70"/>
      <c r="I91" s="70"/>
      <c r="J91" s="70"/>
      <c r="K91" s="70"/>
      <c r="L91" s="70"/>
      <c r="M91" s="70"/>
      <c r="N91" s="70"/>
      <c r="O91" s="70"/>
      <c r="P91" s="70"/>
      <c r="Q91" s="70"/>
      <c r="R91" s="70"/>
      <c r="S91" s="70"/>
      <c r="T91" s="70"/>
      <c r="U91" s="70"/>
      <c r="V91" s="70"/>
      <c r="W91" s="70"/>
      <c r="X91" s="70"/>
      <c r="Y91" s="70"/>
      <c r="Z91" s="70"/>
    </row>
    <row r="92" spans="1:26" ht="15.75" customHeight="1">
      <c r="A92" s="71"/>
      <c r="B92" s="71"/>
      <c r="C92" s="70"/>
      <c r="D92" s="70"/>
      <c r="E92" s="73"/>
      <c r="F92" s="70"/>
      <c r="G92" s="70"/>
      <c r="H92" s="70"/>
      <c r="I92" s="70"/>
      <c r="J92" s="70"/>
      <c r="K92" s="70"/>
      <c r="L92" s="70"/>
      <c r="M92" s="70"/>
      <c r="N92" s="70"/>
      <c r="O92" s="70"/>
      <c r="P92" s="70"/>
      <c r="Q92" s="70"/>
      <c r="R92" s="70"/>
      <c r="S92" s="70"/>
      <c r="T92" s="70"/>
      <c r="U92" s="70"/>
      <c r="V92" s="70"/>
      <c r="W92" s="70"/>
      <c r="X92" s="70"/>
      <c r="Y92" s="70"/>
      <c r="Z92" s="70"/>
    </row>
    <row r="93" spans="1:26" ht="15.75" customHeight="1">
      <c r="A93" s="71"/>
      <c r="B93" s="71"/>
      <c r="C93" s="70"/>
      <c r="D93" s="70"/>
      <c r="E93" s="73"/>
      <c r="F93" s="70"/>
      <c r="G93" s="70"/>
      <c r="H93" s="70"/>
      <c r="I93" s="70"/>
      <c r="J93" s="70"/>
      <c r="K93" s="70"/>
      <c r="L93" s="70"/>
      <c r="M93" s="70"/>
      <c r="N93" s="70"/>
      <c r="O93" s="70"/>
      <c r="P93" s="70"/>
      <c r="Q93" s="70"/>
      <c r="R93" s="70"/>
      <c r="S93" s="70"/>
      <c r="T93" s="70"/>
      <c r="U93" s="70"/>
      <c r="V93" s="70"/>
      <c r="W93" s="70"/>
      <c r="X93" s="70"/>
      <c r="Y93" s="70"/>
      <c r="Z93" s="70"/>
    </row>
    <row r="94" spans="1:26" ht="15.75" customHeight="1">
      <c r="A94" s="71"/>
      <c r="B94" s="71"/>
      <c r="C94" s="70"/>
      <c r="D94" s="70"/>
      <c r="E94" s="73"/>
      <c r="F94" s="70"/>
      <c r="G94" s="70"/>
      <c r="H94" s="70"/>
      <c r="I94" s="70"/>
      <c r="J94" s="70"/>
      <c r="K94" s="70"/>
      <c r="L94" s="70"/>
      <c r="M94" s="70"/>
      <c r="N94" s="70"/>
      <c r="O94" s="70"/>
      <c r="P94" s="70"/>
      <c r="Q94" s="70"/>
      <c r="R94" s="70"/>
      <c r="S94" s="70"/>
      <c r="T94" s="70"/>
      <c r="U94" s="70"/>
      <c r="V94" s="70"/>
      <c r="W94" s="70"/>
      <c r="X94" s="70"/>
      <c r="Y94" s="70"/>
      <c r="Z94" s="70"/>
    </row>
    <row r="95" spans="1:26" ht="15.75" customHeight="1">
      <c r="A95" s="71"/>
      <c r="B95" s="71"/>
      <c r="C95" s="70"/>
      <c r="D95" s="70"/>
      <c r="E95" s="73"/>
      <c r="F95" s="70"/>
      <c r="G95" s="70"/>
      <c r="H95" s="70"/>
      <c r="I95" s="70"/>
      <c r="J95" s="70"/>
      <c r="K95" s="70"/>
      <c r="L95" s="70"/>
      <c r="M95" s="70"/>
      <c r="N95" s="70"/>
      <c r="O95" s="70"/>
      <c r="P95" s="70"/>
      <c r="Q95" s="70"/>
      <c r="R95" s="70"/>
      <c r="S95" s="70"/>
      <c r="T95" s="70"/>
      <c r="U95" s="70"/>
      <c r="V95" s="70"/>
      <c r="W95" s="70"/>
      <c r="X95" s="70"/>
      <c r="Y95" s="70"/>
      <c r="Z95" s="70"/>
    </row>
    <row r="96" spans="1:26" ht="15.75" customHeight="1">
      <c r="A96" s="71"/>
      <c r="B96" s="71"/>
      <c r="C96" s="70"/>
      <c r="D96" s="70"/>
      <c r="E96" s="73"/>
      <c r="F96" s="70"/>
      <c r="G96" s="70"/>
      <c r="H96" s="70"/>
      <c r="I96" s="70"/>
      <c r="J96" s="70"/>
      <c r="K96" s="70"/>
      <c r="L96" s="70"/>
      <c r="M96" s="70"/>
      <c r="N96" s="70"/>
      <c r="O96" s="70"/>
      <c r="P96" s="70"/>
      <c r="Q96" s="70"/>
      <c r="R96" s="70"/>
      <c r="S96" s="70"/>
      <c r="T96" s="70"/>
      <c r="U96" s="70"/>
      <c r="V96" s="70"/>
      <c r="W96" s="70"/>
      <c r="X96" s="70"/>
      <c r="Y96" s="70"/>
      <c r="Z96" s="70"/>
    </row>
    <row r="97" spans="1:26" ht="15.75" customHeight="1">
      <c r="A97" s="71"/>
      <c r="B97" s="71"/>
      <c r="C97" s="70"/>
      <c r="D97" s="70"/>
      <c r="E97" s="73"/>
      <c r="F97" s="70"/>
      <c r="G97" s="70"/>
      <c r="H97" s="70"/>
      <c r="I97" s="70"/>
      <c r="J97" s="70"/>
      <c r="K97" s="70"/>
      <c r="L97" s="70"/>
      <c r="M97" s="70"/>
      <c r="N97" s="70"/>
      <c r="O97" s="70"/>
      <c r="P97" s="70"/>
      <c r="Q97" s="70"/>
      <c r="R97" s="70"/>
      <c r="S97" s="70"/>
      <c r="T97" s="70"/>
      <c r="U97" s="70"/>
      <c r="V97" s="70"/>
      <c r="W97" s="70"/>
      <c r="X97" s="70"/>
      <c r="Y97" s="70"/>
      <c r="Z97" s="70"/>
    </row>
    <row r="98" spans="1:26" ht="15.75" customHeight="1">
      <c r="A98" s="71"/>
      <c r="B98" s="71"/>
      <c r="C98" s="70"/>
      <c r="D98" s="70"/>
      <c r="E98" s="73"/>
      <c r="F98" s="70"/>
      <c r="G98" s="70"/>
      <c r="H98" s="70"/>
      <c r="I98" s="70"/>
      <c r="J98" s="70"/>
      <c r="K98" s="70"/>
      <c r="L98" s="70"/>
      <c r="M98" s="70"/>
      <c r="N98" s="70"/>
      <c r="O98" s="70"/>
      <c r="P98" s="70"/>
      <c r="Q98" s="70"/>
      <c r="R98" s="70"/>
      <c r="S98" s="70"/>
      <c r="T98" s="70"/>
      <c r="U98" s="70"/>
      <c r="V98" s="70"/>
      <c r="W98" s="70"/>
      <c r="X98" s="70"/>
      <c r="Y98" s="70"/>
      <c r="Z98" s="70"/>
    </row>
    <row r="99" spans="1:26" ht="15.75" customHeight="1">
      <c r="A99" s="71"/>
      <c r="B99" s="71"/>
      <c r="C99" s="70"/>
      <c r="D99" s="70"/>
      <c r="E99" s="73"/>
      <c r="F99" s="70"/>
      <c r="G99" s="70"/>
      <c r="H99" s="70"/>
      <c r="I99" s="70"/>
      <c r="J99" s="70"/>
      <c r="K99" s="70"/>
      <c r="L99" s="70"/>
      <c r="M99" s="70"/>
      <c r="N99" s="70"/>
      <c r="O99" s="70"/>
      <c r="P99" s="70"/>
      <c r="Q99" s="70"/>
      <c r="R99" s="70"/>
      <c r="S99" s="70"/>
      <c r="T99" s="70"/>
      <c r="U99" s="70"/>
      <c r="V99" s="70"/>
      <c r="W99" s="70"/>
      <c r="X99" s="70"/>
      <c r="Y99" s="70"/>
      <c r="Z99" s="70"/>
    </row>
    <row r="100" spans="1:26" ht="15.75" customHeight="1">
      <c r="A100" s="71"/>
      <c r="B100" s="71"/>
      <c r="C100" s="70"/>
      <c r="D100" s="70"/>
      <c r="E100" s="73"/>
      <c r="F100" s="70"/>
      <c r="G100" s="70"/>
      <c r="H100" s="70"/>
      <c r="I100" s="70"/>
      <c r="J100" s="70"/>
      <c r="K100" s="70"/>
      <c r="L100" s="70"/>
      <c r="M100" s="70"/>
      <c r="N100" s="70"/>
      <c r="O100" s="70"/>
      <c r="P100" s="70"/>
      <c r="Q100" s="70"/>
      <c r="R100" s="70"/>
      <c r="S100" s="70"/>
      <c r="T100" s="70"/>
      <c r="U100" s="70"/>
      <c r="V100" s="70"/>
      <c r="W100" s="70"/>
      <c r="X100" s="70"/>
      <c r="Y100" s="70"/>
      <c r="Z100" s="70"/>
    </row>
    <row r="101" spans="1:26" ht="15.75" customHeight="1">
      <c r="A101" s="71"/>
      <c r="B101" s="71"/>
      <c r="C101" s="70"/>
      <c r="D101" s="70"/>
      <c r="E101" s="73"/>
      <c r="F101" s="70"/>
      <c r="G101" s="70"/>
      <c r="H101" s="70"/>
      <c r="I101" s="70"/>
      <c r="J101" s="70"/>
      <c r="K101" s="70"/>
      <c r="L101" s="70"/>
      <c r="M101" s="70"/>
      <c r="N101" s="70"/>
      <c r="O101" s="70"/>
      <c r="P101" s="70"/>
      <c r="Q101" s="70"/>
      <c r="R101" s="70"/>
      <c r="S101" s="70"/>
      <c r="T101" s="70"/>
      <c r="U101" s="70"/>
      <c r="V101" s="70"/>
      <c r="W101" s="70"/>
      <c r="X101" s="70"/>
      <c r="Y101" s="70"/>
      <c r="Z101" s="70"/>
    </row>
    <row r="102" spans="1:26" ht="15.75" customHeight="1">
      <c r="A102" s="71"/>
      <c r="B102" s="71"/>
      <c r="C102" s="70"/>
      <c r="D102" s="70"/>
      <c r="E102" s="73"/>
      <c r="F102" s="70"/>
      <c r="G102" s="70"/>
      <c r="H102" s="70"/>
      <c r="I102" s="70"/>
      <c r="J102" s="70"/>
      <c r="K102" s="70"/>
      <c r="L102" s="70"/>
      <c r="M102" s="70"/>
      <c r="N102" s="70"/>
      <c r="O102" s="70"/>
      <c r="P102" s="70"/>
      <c r="Q102" s="70"/>
      <c r="R102" s="70"/>
      <c r="S102" s="70"/>
      <c r="T102" s="70"/>
      <c r="U102" s="70"/>
      <c r="V102" s="70"/>
      <c r="W102" s="70"/>
      <c r="X102" s="70"/>
      <c r="Y102" s="70"/>
      <c r="Z102" s="70"/>
    </row>
    <row r="103" spans="1:26" ht="15.75" customHeight="1">
      <c r="A103" s="71"/>
      <c r="B103" s="71"/>
      <c r="C103" s="70"/>
      <c r="D103" s="70"/>
      <c r="E103" s="73"/>
      <c r="F103" s="70"/>
      <c r="G103" s="70"/>
      <c r="H103" s="70"/>
      <c r="I103" s="70"/>
      <c r="J103" s="70"/>
      <c r="K103" s="70"/>
      <c r="L103" s="70"/>
      <c r="M103" s="70"/>
      <c r="N103" s="70"/>
      <c r="O103" s="70"/>
      <c r="P103" s="70"/>
      <c r="Q103" s="70"/>
      <c r="R103" s="70"/>
      <c r="S103" s="70"/>
      <c r="T103" s="70"/>
      <c r="U103" s="70"/>
      <c r="V103" s="70"/>
      <c r="W103" s="70"/>
      <c r="X103" s="70"/>
      <c r="Y103" s="70"/>
      <c r="Z103" s="70"/>
    </row>
    <row r="104" spans="1:26" ht="15.75" customHeight="1">
      <c r="A104" s="71"/>
      <c r="B104" s="71"/>
      <c r="C104" s="70"/>
      <c r="D104" s="70"/>
      <c r="E104" s="73"/>
      <c r="F104" s="70"/>
      <c r="G104" s="70"/>
      <c r="H104" s="70"/>
      <c r="I104" s="70"/>
      <c r="J104" s="70"/>
      <c r="K104" s="70"/>
      <c r="L104" s="70"/>
      <c r="M104" s="70"/>
      <c r="N104" s="70"/>
      <c r="O104" s="70"/>
      <c r="P104" s="70"/>
      <c r="Q104" s="70"/>
      <c r="R104" s="70"/>
      <c r="S104" s="70"/>
      <c r="T104" s="70"/>
      <c r="U104" s="70"/>
      <c r="V104" s="70"/>
      <c r="W104" s="70"/>
      <c r="X104" s="70"/>
      <c r="Y104" s="70"/>
      <c r="Z104" s="70"/>
    </row>
    <row r="105" spans="1:26" ht="15.75" customHeight="1">
      <c r="A105" s="71"/>
      <c r="B105" s="71"/>
      <c r="C105" s="70"/>
      <c r="D105" s="70"/>
      <c r="E105" s="73"/>
      <c r="F105" s="70"/>
      <c r="G105" s="70"/>
      <c r="H105" s="70"/>
      <c r="I105" s="70"/>
      <c r="J105" s="70"/>
      <c r="K105" s="70"/>
      <c r="L105" s="70"/>
      <c r="M105" s="70"/>
      <c r="N105" s="70"/>
      <c r="O105" s="70"/>
      <c r="P105" s="70"/>
      <c r="Q105" s="70"/>
      <c r="R105" s="70"/>
      <c r="S105" s="70"/>
      <c r="T105" s="70"/>
      <c r="U105" s="70"/>
      <c r="V105" s="70"/>
      <c r="W105" s="70"/>
      <c r="X105" s="70"/>
      <c r="Y105" s="70"/>
      <c r="Z105" s="70"/>
    </row>
    <row r="106" spans="1:26" ht="15.75" customHeight="1">
      <c r="A106" s="71"/>
      <c r="B106" s="71"/>
      <c r="C106" s="70"/>
      <c r="D106" s="70"/>
      <c r="E106" s="73"/>
      <c r="F106" s="70"/>
      <c r="G106" s="70"/>
      <c r="H106" s="70"/>
      <c r="I106" s="70"/>
      <c r="J106" s="70"/>
      <c r="K106" s="70"/>
      <c r="L106" s="70"/>
      <c r="M106" s="70"/>
      <c r="N106" s="70"/>
      <c r="O106" s="70"/>
      <c r="P106" s="70"/>
      <c r="Q106" s="70"/>
      <c r="R106" s="70"/>
      <c r="S106" s="70"/>
      <c r="T106" s="70"/>
      <c r="U106" s="70"/>
      <c r="V106" s="70"/>
      <c r="W106" s="70"/>
      <c r="X106" s="70"/>
      <c r="Y106" s="70"/>
      <c r="Z106" s="70"/>
    </row>
    <row r="107" spans="1:26" ht="15.75" customHeight="1">
      <c r="A107" s="71"/>
      <c r="B107" s="71"/>
      <c r="C107" s="70"/>
      <c r="D107" s="70"/>
      <c r="E107" s="73"/>
      <c r="F107" s="70"/>
      <c r="G107" s="70"/>
      <c r="H107" s="70"/>
      <c r="I107" s="70"/>
      <c r="J107" s="70"/>
      <c r="K107" s="70"/>
      <c r="L107" s="70"/>
      <c r="M107" s="70"/>
      <c r="N107" s="70"/>
      <c r="O107" s="70"/>
      <c r="P107" s="70"/>
      <c r="Q107" s="70"/>
      <c r="R107" s="70"/>
      <c r="S107" s="70"/>
      <c r="T107" s="70"/>
      <c r="U107" s="70"/>
      <c r="V107" s="70"/>
      <c r="W107" s="70"/>
      <c r="X107" s="70"/>
      <c r="Y107" s="70"/>
      <c r="Z107" s="70"/>
    </row>
    <row r="108" spans="1:26" ht="15.75" customHeight="1">
      <c r="A108" s="71"/>
      <c r="B108" s="71"/>
      <c r="C108" s="70"/>
      <c r="D108" s="70"/>
      <c r="E108" s="73"/>
      <c r="F108" s="70"/>
      <c r="G108" s="70"/>
      <c r="H108" s="70"/>
      <c r="I108" s="70"/>
      <c r="J108" s="70"/>
      <c r="K108" s="70"/>
      <c r="L108" s="70"/>
      <c r="M108" s="70"/>
      <c r="N108" s="70"/>
      <c r="O108" s="70"/>
      <c r="P108" s="70"/>
      <c r="Q108" s="70"/>
      <c r="R108" s="70"/>
      <c r="S108" s="70"/>
      <c r="T108" s="70"/>
      <c r="U108" s="70"/>
      <c r="V108" s="70"/>
      <c r="W108" s="70"/>
      <c r="X108" s="70"/>
      <c r="Y108" s="70"/>
      <c r="Z108" s="70"/>
    </row>
    <row r="109" spans="1:26" ht="15.75" customHeight="1">
      <c r="A109" s="71"/>
      <c r="B109" s="71"/>
      <c r="C109" s="70"/>
      <c r="D109" s="70"/>
      <c r="E109" s="73"/>
      <c r="F109" s="70"/>
      <c r="G109" s="70"/>
      <c r="H109" s="70"/>
      <c r="I109" s="70"/>
      <c r="J109" s="70"/>
      <c r="K109" s="70"/>
      <c r="L109" s="70"/>
      <c r="M109" s="70"/>
      <c r="N109" s="70"/>
      <c r="O109" s="70"/>
      <c r="P109" s="70"/>
      <c r="Q109" s="70"/>
      <c r="R109" s="70"/>
      <c r="S109" s="70"/>
      <c r="T109" s="70"/>
      <c r="U109" s="70"/>
      <c r="V109" s="70"/>
      <c r="W109" s="70"/>
      <c r="X109" s="70"/>
      <c r="Y109" s="70"/>
      <c r="Z109" s="70"/>
    </row>
    <row r="110" spans="1:26" ht="15.75" customHeight="1">
      <c r="A110" s="71"/>
      <c r="B110" s="71"/>
      <c r="C110" s="70"/>
      <c r="D110" s="70"/>
      <c r="E110" s="73"/>
      <c r="F110" s="70"/>
      <c r="G110" s="70"/>
      <c r="H110" s="70"/>
      <c r="I110" s="70"/>
      <c r="J110" s="70"/>
      <c r="K110" s="70"/>
      <c r="L110" s="70"/>
      <c r="M110" s="70"/>
      <c r="N110" s="70"/>
      <c r="O110" s="70"/>
      <c r="P110" s="70"/>
      <c r="Q110" s="70"/>
      <c r="R110" s="70"/>
      <c r="S110" s="70"/>
      <c r="T110" s="70"/>
      <c r="U110" s="70"/>
      <c r="V110" s="70"/>
      <c r="W110" s="70"/>
      <c r="X110" s="70"/>
      <c r="Y110" s="70"/>
      <c r="Z110" s="70"/>
    </row>
    <row r="111" spans="1:26" ht="15.75" customHeight="1">
      <c r="A111" s="71"/>
      <c r="B111" s="71"/>
      <c r="C111" s="70"/>
      <c r="D111" s="70"/>
      <c r="E111" s="73"/>
      <c r="F111" s="70"/>
      <c r="G111" s="70"/>
      <c r="H111" s="70"/>
      <c r="I111" s="70"/>
      <c r="J111" s="70"/>
      <c r="K111" s="70"/>
      <c r="L111" s="70"/>
      <c r="M111" s="70"/>
      <c r="N111" s="70"/>
      <c r="O111" s="70"/>
      <c r="P111" s="70"/>
      <c r="Q111" s="70"/>
      <c r="R111" s="70"/>
      <c r="S111" s="70"/>
      <c r="T111" s="70"/>
      <c r="U111" s="70"/>
      <c r="V111" s="70"/>
      <c r="W111" s="70"/>
      <c r="X111" s="70"/>
      <c r="Y111" s="70"/>
      <c r="Z111" s="70"/>
    </row>
    <row r="112" spans="1:26" ht="15.75" customHeight="1">
      <c r="A112" s="71"/>
      <c r="B112" s="71"/>
      <c r="C112" s="70"/>
      <c r="D112" s="70"/>
      <c r="E112" s="73"/>
      <c r="F112" s="70"/>
      <c r="G112" s="70"/>
      <c r="H112" s="70"/>
      <c r="I112" s="70"/>
      <c r="J112" s="70"/>
      <c r="K112" s="70"/>
      <c r="L112" s="70"/>
      <c r="M112" s="70"/>
      <c r="N112" s="70"/>
      <c r="O112" s="70"/>
      <c r="P112" s="70"/>
      <c r="Q112" s="70"/>
      <c r="R112" s="70"/>
      <c r="S112" s="70"/>
      <c r="T112" s="70"/>
      <c r="U112" s="70"/>
      <c r="V112" s="70"/>
      <c r="W112" s="70"/>
      <c r="X112" s="70"/>
      <c r="Y112" s="70"/>
      <c r="Z112" s="70"/>
    </row>
    <row r="113" spans="1:26" ht="15.75" customHeight="1">
      <c r="A113" s="71"/>
      <c r="B113" s="71"/>
      <c r="C113" s="70"/>
      <c r="D113" s="70"/>
      <c r="E113" s="73"/>
      <c r="F113" s="70"/>
      <c r="G113" s="70"/>
      <c r="H113" s="70"/>
      <c r="I113" s="70"/>
      <c r="J113" s="70"/>
      <c r="K113" s="70"/>
      <c r="L113" s="70"/>
      <c r="M113" s="70"/>
      <c r="N113" s="70"/>
      <c r="O113" s="70"/>
      <c r="P113" s="70"/>
      <c r="Q113" s="70"/>
      <c r="R113" s="70"/>
      <c r="S113" s="70"/>
      <c r="T113" s="70"/>
      <c r="U113" s="70"/>
      <c r="V113" s="70"/>
      <c r="W113" s="70"/>
      <c r="X113" s="70"/>
      <c r="Y113" s="70"/>
      <c r="Z113" s="70"/>
    </row>
    <row r="114" spans="1:26" ht="15.75" customHeight="1">
      <c r="A114" s="71"/>
      <c r="B114" s="71"/>
      <c r="C114" s="70"/>
      <c r="D114" s="70"/>
      <c r="E114" s="73"/>
      <c r="F114" s="70"/>
      <c r="G114" s="70"/>
      <c r="H114" s="70"/>
      <c r="I114" s="70"/>
      <c r="J114" s="70"/>
      <c r="K114" s="70"/>
      <c r="L114" s="70"/>
      <c r="M114" s="70"/>
      <c r="N114" s="70"/>
      <c r="O114" s="70"/>
      <c r="P114" s="70"/>
      <c r="Q114" s="70"/>
      <c r="R114" s="70"/>
      <c r="S114" s="70"/>
      <c r="T114" s="70"/>
      <c r="U114" s="70"/>
      <c r="V114" s="70"/>
      <c r="W114" s="70"/>
      <c r="X114" s="70"/>
      <c r="Y114" s="70"/>
      <c r="Z114" s="70"/>
    </row>
    <row r="115" spans="1:26" ht="15.75" customHeight="1">
      <c r="A115" s="71"/>
      <c r="B115" s="71"/>
      <c r="C115" s="70"/>
      <c r="D115" s="70"/>
      <c r="E115" s="73"/>
      <c r="F115" s="70"/>
      <c r="G115" s="70"/>
      <c r="H115" s="70"/>
      <c r="I115" s="70"/>
      <c r="J115" s="70"/>
      <c r="K115" s="70"/>
      <c r="L115" s="70"/>
      <c r="M115" s="70"/>
      <c r="N115" s="70"/>
      <c r="O115" s="70"/>
      <c r="P115" s="70"/>
      <c r="Q115" s="70"/>
      <c r="R115" s="70"/>
      <c r="S115" s="70"/>
      <c r="T115" s="70"/>
      <c r="U115" s="70"/>
      <c r="V115" s="70"/>
      <c r="W115" s="70"/>
      <c r="X115" s="70"/>
      <c r="Y115" s="70"/>
      <c r="Z115" s="70"/>
    </row>
    <row r="116" spans="1:26" ht="15.75" customHeight="1">
      <c r="A116" s="71"/>
      <c r="B116" s="71"/>
      <c r="C116" s="70"/>
      <c r="D116" s="70"/>
      <c r="E116" s="73"/>
      <c r="F116" s="70"/>
      <c r="G116" s="70"/>
      <c r="H116" s="70"/>
      <c r="I116" s="70"/>
      <c r="J116" s="70"/>
      <c r="K116" s="70"/>
      <c r="L116" s="70"/>
      <c r="M116" s="70"/>
      <c r="N116" s="70"/>
      <c r="O116" s="70"/>
      <c r="P116" s="70"/>
      <c r="Q116" s="70"/>
      <c r="R116" s="70"/>
      <c r="S116" s="70"/>
      <c r="T116" s="70"/>
      <c r="U116" s="70"/>
      <c r="V116" s="70"/>
      <c r="W116" s="70"/>
      <c r="X116" s="70"/>
      <c r="Y116" s="70"/>
      <c r="Z116" s="70"/>
    </row>
    <row r="117" spans="1:26" ht="15.75" customHeight="1">
      <c r="A117" s="71"/>
      <c r="B117" s="71"/>
      <c r="C117" s="70"/>
      <c r="D117" s="70"/>
      <c r="E117" s="73"/>
      <c r="F117" s="70"/>
      <c r="G117" s="70"/>
      <c r="H117" s="70"/>
      <c r="I117" s="70"/>
      <c r="J117" s="70"/>
      <c r="K117" s="70"/>
      <c r="L117" s="70"/>
      <c r="M117" s="70"/>
      <c r="N117" s="70"/>
      <c r="O117" s="70"/>
      <c r="P117" s="70"/>
      <c r="Q117" s="70"/>
      <c r="R117" s="70"/>
      <c r="S117" s="70"/>
      <c r="T117" s="70"/>
      <c r="U117" s="70"/>
      <c r="V117" s="70"/>
      <c r="W117" s="70"/>
      <c r="X117" s="70"/>
      <c r="Y117" s="70"/>
      <c r="Z117" s="70"/>
    </row>
    <row r="118" spans="1:26" ht="15.75" customHeight="1">
      <c r="A118" s="71"/>
      <c r="B118" s="71"/>
      <c r="C118" s="70"/>
      <c r="D118" s="70"/>
      <c r="E118" s="73"/>
      <c r="F118" s="70"/>
      <c r="G118" s="70"/>
      <c r="H118" s="70"/>
      <c r="I118" s="70"/>
      <c r="J118" s="70"/>
      <c r="K118" s="70"/>
      <c r="L118" s="70"/>
      <c r="M118" s="70"/>
      <c r="N118" s="70"/>
      <c r="O118" s="70"/>
      <c r="P118" s="70"/>
      <c r="Q118" s="70"/>
      <c r="R118" s="70"/>
      <c r="S118" s="70"/>
      <c r="T118" s="70"/>
      <c r="U118" s="70"/>
      <c r="V118" s="70"/>
      <c r="W118" s="70"/>
      <c r="X118" s="70"/>
      <c r="Y118" s="70"/>
      <c r="Z118" s="70"/>
    </row>
    <row r="119" spans="1:26" ht="15.75" customHeight="1">
      <c r="A119" s="71"/>
      <c r="B119" s="71"/>
      <c r="C119" s="70"/>
      <c r="D119" s="70"/>
      <c r="E119" s="73"/>
      <c r="F119" s="70"/>
      <c r="G119" s="70"/>
      <c r="H119" s="70"/>
      <c r="I119" s="70"/>
      <c r="J119" s="70"/>
      <c r="K119" s="70"/>
      <c r="L119" s="70"/>
      <c r="M119" s="70"/>
      <c r="N119" s="70"/>
      <c r="O119" s="70"/>
      <c r="P119" s="70"/>
      <c r="Q119" s="70"/>
      <c r="R119" s="70"/>
      <c r="S119" s="70"/>
      <c r="T119" s="70"/>
      <c r="U119" s="70"/>
      <c r="V119" s="70"/>
      <c r="W119" s="70"/>
      <c r="X119" s="70"/>
      <c r="Y119" s="70"/>
      <c r="Z119" s="70"/>
    </row>
    <row r="120" spans="1:26" ht="15.75" customHeight="1">
      <c r="A120" s="71"/>
      <c r="B120" s="71"/>
      <c r="C120" s="70"/>
      <c r="D120" s="70"/>
      <c r="E120" s="73"/>
      <c r="F120" s="70"/>
      <c r="G120" s="70"/>
      <c r="H120" s="70"/>
      <c r="I120" s="70"/>
      <c r="J120" s="70"/>
      <c r="K120" s="70"/>
      <c r="L120" s="70"/>
      <c r="M120" s="70"/>
      <c r="N120" s="70"/>
      <c r="O120" s="70"/>
      <c r="P120" s="70"/>
      <c r="Q120" s="70"/>
      <c r="R120" s="70"/>
      <c r="S120" s="70"/>
      <c r="T120" s="70"/>
      <c r="U120" s="70"/>
      <c r="V120" s="70"/>
      <c r="W120" s="70"/>
      <c r="X120" s="70"/>
      <c r="Y120" s="70"/>
      <c r="Z120" s="70"/>
    </row>
    <row r="121" spans="1:26" ht="15.75" customHeight="1">
      <c r="A121" s="71"/>
      <c r="B121" s="71"/>
      <c r="C121" s="70"/>
      <c r="D121" s="70"/>
      <c r="E121" s="73"/>
      <c r="F121" s="70"/>
      <c r="G121" s="70"/>
      <c r="H121" s="70"/>
      <c r="I121" s="70"/>
      <c r="J121" s="70"/>
      <c r="K121" s="70"/>
      <c r="L121" s="70"/>
      <c r="M121" s="70"/>
      <c r="N121" s="70"/>
      <c r="O121" s="70"/>
      <c r="P121" s="70"/>
      <c r="Q121" s="70"/>
      <c r="R121" s="70"/>
      <c r="S121" s="70"/>
      <c r="T121" s="70"/>
      <c r="U121" s="70"/>
      <c r="V121" s="70"/>
      <c r="W121" s="70"/>
      <c r="X121" s="70"/>
      <c r="Y121" s="70"/>
      <c r="Z121" s="70"/>
    </row>
    <row r="122" spans="1:26" ht="15.75" customHeight="1">
      <c r="A122" s="71"/>
      <c r="B122" s="71"/>
      <c r="C122" s="70"/>
      <c r="D122" s="70"/>
      <c r="E122" s="73"/>
      <c r="F122" s="70"/>
      <c r="G122" s="70"/>
      <c r="H122" s="70"/>
      <c r="I122" s="70"/>
      <c r="J122" s="70"/>
      <c r="K122" s="70"/>
      <c r="L122" s="70"/>
      <c r="M122" s="70"/>
      <c r="N122" s="70"/>
      <c r="O122" s="70"/>
      <c r="P122" s="70"/>
      <c r="Q122" s="70"/>
      <c r="R122" s="70"/>
      <c r="S122" s="70"/>
      <c r="T122" s="70"/>
      <c r="U122" s="70"/>
      <c r="V122" s="70"/>
      <c r="W122" s="70"/>
      <c r="X122" s="70"/>
      <c r="Y122" s="70"/>
      <c r="Z122" s="70"/>
    </row>
    <row r="123" spans="1:26" ht="15.75" customHeight="1">
      <c r="A123" s="71"/>
      <c r="B123" s="71"/>
      <c r="C123" s="70"/>
      <c r="D123" s="70"/>
      <c r="E123" s="73"/>
      <c r="F123" s="70"/>
      <c r="G123" s="70"/>
      <c r="H123" s="70"/>
      <c r="I123" s="70"/>
      <c r="J123" s="70"/>
      <c r="K123" s="70"/>
      <c r="L123" s="70"/>
      <c r="M123" s="70"/>
      <c r="N123" s="70"/>
      <c r="O123" s="70"/>
      <c r="P123" s="70"/>
      <c r="Q123" s="70"/>
      <c r="R123" s="70"/>
      <c r="S123" s="70"/>
      <c r="T123" s="70"/>
      <c r="U123" s="70"/>
      <c r="V123" s="70"/>
      <c r="W123" s="70"/>
      <c r="X123" s="70"/>
      <c r="Y123" s="70"/>
      <c r="Z123" s="70"/>
    </row>
    <row r="124" spans="1:26" ht="15.75" customHeight="1">
      <c r="A124" s="71"/>
      <c r="B124" s="71"/>
      <c r="C124" s="70"/>
      <c r="D124" s="70"/>
      <c r="E124" s="73"/>
      <c r="F124" s="70"/>
      <c r="G124" s="70"/>
      <c r="H124" s="70"/>
      <c r="I124" s="70"/>
      <c r="J124" s="70"/>
      <c r="K124" s="70"/>
      <c r="L124" s="70"/>
      <c r="M124" s="70"/>
      <c r="N124" s="70"/>
      <c r="O124" s="70"/>
      <c r="P124" s="70"/>
      <c r="Q124" s="70"/>
      <c r="R124" s="70"/>
      <c r="S124" s="70"/>
      <c r="T124" s="70"/>
      <c r="U124" s="70"/>
      <c r="V124" s="70"/>
      <c r="W124" s="70"/>
      <c r="X124" s="70"/>
      <c r="Y124" s="70"/>
      <c r="Z124" s="70"/>
    </row>
    <row r="125" spans="1:26" ht="15.75" customHeight="1">
      <c r="A125" s="71"/>
      <c r="B125" s="71"/>
      <c r="C125" s="70"/>
      <c r="D125" s="70"/>
      <c r="E125" s="73"/>
      <c r="F125" s="70"/>
      <c r="G125" s="70"/>
      <c r="H125" s="70"/>
      <c r="I125" s="70"/>
      <c r="J125" s="70"/>
      <c r="K125" s="70"/>
      <c r="L125" s="70"/>
      <c r="M125" s="70"/>
      <c r="N125" s="70"/>
      <c r="O125" s="70"/>
      <c r="P125" s="70"/>
      <c r="Q125" s="70"/>
      <c r="R125" s="70"/>
      <c r="S125" s="70"/>
      <c r="T125" s="70"/>
      <c r="U125" s="70"/>
      <c r="V125" s="70"/>
      <c r="W125" s="70"/>
      <c r="X125" s="70"/>
      <c r="Y125" s="70"/>
      <c r="Z125" s="70"/>
    </row>
    <row r="126" spans="1:26" ht="15.75" customHeight="1">
      <c r="A126" s="71"/>
      <c r="B126" s="71"/>
      <c r="C126" s="70"/>
      <c r="D126" s="70"/>
      <c r="E126" s="73"/>
      <c r="F126" s="70"/>
      <c r="G126" s="70"/>
      <c r="H126" s="70"/>
      <c r="I126" s="70"/>
      <c r="J126" s="70"/>
      <c r="K126" s="70"/>
      <c r="L126" s="70"/>
      <c r="M126" s="70"/>
      <c r="N126" s="70"/>
      <c r="O126" s="70"/>
      <c r="P126" s="70"/>
      <c r="Q126" s="70"/>
      <c r="R126" s="70"/>
      <c r="S126" s="70"/>
      <c r="T126" s="70"/>
      <c r="U126" s="70"/>
      <c r="V126" s="70"/>
      <c r="W126" s="70"/>
      <c r="X126" s="70"/>
      <c r="Y126" s="70"/>
      <c r="Z126" s="70"/>
    </row>
    <row r="127" spans="1:26" ht="15.75" customHeight="1">
      <c r="A127" s="71"/>
      <c r="B127" s="71"/>
      <c r="C127" s="70"/>
      <c r="D127" s="70"/>
      <c r="E127" s="73"/>
      <c r="F127" s="70"/>
      <c r="G127" s="70"/>
      <c r="H127" s="70"/>
      <c r="I127" s="70"/>
      <c r="J127" s="70"/>
      <c r="K127" s="70"/>
      <c r="L127" s="70"/>
      <c r="M127" s="70"/>
      <c r="N127" s="70"/>
      <c r="O127" s="70"/>
      <c r="P127" s="70"/>
      <c r="Q127" s="70"/>
      <c r="R127" s="70"/>
      <c r="S127" s="70"/>
      <c r="T127" s="70"/>
      <c r="U127" s="70"/>
      <c r="V127" s="70"/>
      <c r="W127" s="70"/>
      <c r="X127" s="70"/>
      <c r="Y127" s="70"/>
      <c r="Z127" s="70"/>
    </row>
    <row r="128" spans="1:26" ht="15.75" customHeight="1">
      <c r="A128" s="71"/>
      <c r="B128" s="71"/>
      <c r="C128" s="70"/>
      <c r="D128" s="70"/>
      <c r="E128" s="73"/>
      <c r="F128" s="70"/>
      <c r="G128" s="70"/>
      <c r="H128" s="70"/>
      <c r="I128" s="70"/>
      <c r="J128" s="70"/>
      <c r="K128" s="70"/>
      <c r="L128" s="70"/>
      <c r="M128" s="70"/>
      <c r="N128" s="70"/>
      <c r="O128" s="70"/>
      <c r="P128" s="70"/>
      <c r="Q128" s="70"/>
      <c r="R128" s="70"/>
      <c r="S128" s="70"/>
      <c r="T128" s="70"/>
      <c r="U128" s="70"/>
      <c r="V128" s="70"/>
      <c r="W128" s="70"/>
      <c r="X128" s="70"/>
      <c r="Y128" s="70"/>
      <c r="Z128" s="70"/>
    </row>
    <row r="129" spans="1:26" ht="15.75" customHeight="1">
      <c r="A129" s="71"/>
      <c r="B129" s="71"/>
      <c r="C129" s="70"/>
      <c r="D129" s="70"/>
      <c r="E129" s="73"/>
      <c r="F129" s="70"/>
      <c r="G129" s="70"/>
      <c r="H129" s="70"/>
      <c r="I129" s="70"/>
      <c r="J129" s="70"/>
      <c r="K129" s="70"/>
      <c r="L129" s="70"/>
      <c r="M129" s="70"/>
      <c r="N129" s="70"/>
      <c r="O129" s="70"/>
      <c r="P129" s="70"/>
      <c r="Q129" s="70"/>
      <c r="R129" s="70"/>
      <c r="S129" s="70"/>
      <c r="T129" s="70"/>
      <c r="U129" s="70"/>
      <c r="V129" s="70"/>
      <c r="W129" s="70"/>
      <c r="X129" s="70"/>
      <c r="Y129" s="70"/>
      <c r="Z129" s="70"/>
    </row>
    <row r="130" spans="1:26" ht="15.75" customHeight="1">
      <c r="A130" s="71"/>
      <c r="B130" s="71"/>
      <c r="C130" s="70"/>
      <c r="D130" s="70"/>
      <c r="E130" s="73"/>
      <c r="F130" s="70"/>
      <c r="G130" s="70"/>
      <c r="H130" s="70"/>
      <c r="I130" s="70"/>
      <c r="J130" s="70"/>
      <c r="K130" s="70"/>
      <c r="L130" s="70"/>
      <c r="M130" s="70"/>
      <c r="N130" s="70"/>
      <c r="O130" s="70"/>
      <c r="P130" s="70"/>
      <c r="Q130" s="70"/>
      <c r="R130" s="70"/>
      <c r="S130" s="70"/>
      <c r="T130" s="70"/>
      <c r="U130" s="70"/>
      <c r="V130" s="70"/>
      <c r="W130" s="70"/>
      <c r="X130" s="70"/>
      <c r="Y130" s="70"/>
      <c r="Z130" s="70"/>
    </row>
    <row r="131" spans="1:26" ht="15.75" customHeight="1">
      <c r="A131" s="71"/>
      <c r="B131" s="71"/>
      <c r="C131" s="70"/>
      <c r="D131" s="70"/>
      <c r="E131" s="73"/>
      <c r="F131" s="70"/>
      <c r="G131" s="70"/>
      <c r="H131" s="70"/>
      <c r="I131" s="70"/>
      <c r="J131" s="70"/>
      <c r="K131" s="70"/>
      <c r="L131" s="70"/>
      <c r="M131" s="70"/>
      <c r="N131" s="70"/>
      <c r="O131" s="70"/>
      <c r="P131" s="70"/>
      <c r="Q131" s="70"/>
      <c r="R131" s="70"/>
      <c r="S131" s="70"/>
      <c r="T131" s="70"/>
      <c r="U131" s="70"/>
      <c r="V131" s="70"/>
      <c r="W131" s="70"/>
      <c r="X131" s="70"/>
      <c r="Y131" s="70"/>
      <c r="Z131" s="70"/>
    </row>
    <row r="132" spans="1:26" ht="15.75" customHeight="1">
      <c r="A132" s="71"/>
      <c r="B132" s="71"/>
      <c r="C132" s="70"/>
      <c r="D132" s="70"/>
      <c r="E132" s="73"/>
      <c r="F132" s="70"/>
      <c r="G132" s="70"/>
      <c r="H132" s="70"/>
      <c r="I132" s="70"/>
      <c r="J132" s="70"/>
      <c r="K132" s="70"/>
      <c r="L132" s="70"/>
      <c r="M132" s="70"/>
      <c r="N132" s="70"/>
      <c r="O132" s="70"/>
      <c r="P132" s="70"/>
      <c r="Q132" s="70"/>
      <c r="R132" s="70"/>
      <c r="S132" s="70"/>
      <c r="T132" s="70"/>
      <c r="U132" s="70"/>
      <c r="V132" s="70"/>
      <c r="W132" s="70"/>
      <c r="X132" s="70"/>
      <c r="Y132" s="70"/>
      <c r="Z132" s="70"/>
    </row>
    <row r="133" spans="1:26" ht="15.75" customHeight="1">
      <c r="A133" s="71"/>
      <c r="B133" s="71"/>
      <c r="C133" s="70"/>
      <c r="D133" s="70"/>
      <c r="E133" s="73"/>
      <c r="F133" s="70"/>
      <c r="G133" s="70"/>
      <c r="H133" s="70"/>
      <c r="I133" s="70"/>
      <c r="J133" s="70"/>
      <c r="K133" s="70"/>
      <c r="L133" s="70"/>
      <c r="M133" s="70"/>
      <c r="N133" s="70"/>
      <c r="O133" s="70"/>
      <c r="P133" s="70"/>
      <c r="Q133" s="70"/>
      <c r="R133" s="70"/>
      <c r="S133" s="70"/>
      <c r="T133" s="70"/>
      <c r="U133" s="70"/>
      <c r="V133" s="70"/>
      <c r="W133" s="70"/>
      <c r="X133" s="70"/>
      <c r="Y133" s="70"/>
      <c r="Z133" s="70"/>
    </row>
    <row r="134" spans="1:26" ht="15.75" customHeight="1">
      <c r="A134" s="71"/>
      <c r="B134" s="71"/>
      <c r="C134" s="70"/>
      <c r="D134" s="70"/>
      <c r="E134" s="73"/>
      <c r="F134" s="70"/>
      <c r="G134" s="70"/>
      <c r="H134" s="70"/>
      <c r="I134" s="70"/>
      <c r="J134" s="70"/>
      <c r="K134" s="70"/>
      <c r="L134" s="70"/>
      <c r="M134" s="70"/>
      <c r="N134" s="70"/>
      <c r="O134" s="70"/>
      <c r="P134" s="70"/>
      <c r="Q134" s="70"/>
      <c r="R134" s="70"/>
      <c r="S134" s="70"/>
      <c r="T134" s="70"/>
      <c r="U134" s="70"/>
      <c r="V134" s="70"/>
      <c r="W134" s="70"/>
      <c r="X134" s="70"/>
      <c r="Y134" s="70"/>
      <c r="Z134" s="70"/>
    </row>
    <row r="135" spans="1:26" ht="15.75" customHeight="1">
      <c r="A135" s="71"/>
      <c r="B135" s="71"/>
      <c r="C135" s="70"/>
      <c r="D135" s="70"/>
      <c r="E135" s="73"/>
      <c r="F135" s="70"/>
      <c r="G135" s="70"/>
      <c r="H135" s="70"/>
      <c r="I135" s="70"/>
      <c r="J135" s="70"/>
      <c r="K135" s="70"/>
      <c r="L135" s="70"/>
      <c r="M135" s="70"/>
      <c r="N135" s="70"/>
      <c r="O135" s="70"/>
      <c r="P135" s="70"/>
      <c r="Q135" s="70"/>
      <c r="R135" s="70"/>
      <c r="S135" s="70"/>
      <c r="T135" s="70"/>
      <c r="U135" s="70"/>
      <c r="V135" s="70"/>
      <c r="W135" s="70"/>
      <c r="X135" s="70"/>
      <c r="Y135" s="70"/>
      <c r="Z135" s="70"/>
    </row>
    <row r="136" spans="1:26" ht="15.75" customHeight="1">
      <c r="A136" s="71"/>
      <c r="B136" s="71"/>
      <c r="C136" s="70"/>
      <c r="D136" s="70"/>
      <c r="E136" s="73"/>
      <c r="F136" s="70"/>
      <c r="G136" s="70"/>
      <c r="H136" s="70"/>
      <c r="I136" s="70"/>
      <c r="J136" s="70"/>
      <c r="K136" s="70"/>
      <c r="L136" s="70"/>
      <c r="M136" s="70"/>
      <c r="N136" s="70"/>
      <c r="O136" s="70"/>
      <c r="P136" s="70"/>
      <c r="Q136" s="70"/>
      <c r="R136" s="70"/>
      <c r="S136" s="70"/>
      <c r="T136" s="70"/>
      <c r="U136" s="70"/>
      <c r="V136" s="70"/>
      <c r="W136" s="70"/>
      <c r="X136" s="70"/>
      <c r="Y136" s="70"/>
      <c r="Z136" s="70"/>
    </row>
    <row r="137" spans="1:26" ht="15.75" customHeight="1">
      <c r="A137" s="71"/>
      <c r="B137" s="71"/>
      <c r="C137" s="70"/>
      <c r="D137" s="70"/>
      <c r="E137" s="73"/>
      <c r="F137" s="70"/>
      <c r="G137" s="70"/>
      <c r="H137" s="70"/>
      <c r="I137" s="70"/>
      <c r="J137" s="70"/>
      <c r="K137" s="70"/>
      <c r="L137" s="70"/>
      <c r="M137" s="70"/>
      <c r="N137" s="70"/>
      <c r="O137" s="70"/>
      <c r="P137" s="70"/>
      <c r="Q137" s="70"/>
      <c r="R137" s="70"/>
      <c r="S137" s="70"/>
      <c r="T137" s="70"/>
      <c r="U137" s="70"/>
      <c r="V137" s="70"/>
      <c r="W137" s="70"/>
      <c r="X137" s="70"/>
      <c r="Y137" s="70"/>
      <c r="Z137" s="70"/>
    </row>
    <row r="138" spans="1:26" ht="15.75" customHeight="1">
      <c r="A138" s="71"/>
      <c r="B138" s="71"/>
      <c r="C138" s="70"/>
      <c r="D138" s="70"/>
      <c r="E138" s="73"/>
      <c r="F138" s="70"/>
      <c r="G138" s="70"/>
      <c r="H138" s="70"/>
      <c r="I138" s="70"/>
      <c r="J138" s="70"/>
      <c r="K138" s="70"/>
      <c r="L138" s="70"/>
      <c r="M138" s="70"/>
      <c r="N138" s="70"/>
      <c r="O138" s="70"/>
      <c r="P138" s="70"/>
      <c r="Q138" s="70"/>
      <c r="R138" s="70"/>
      <c r="S138" s="70"/>
      <c r="T138" s="70"/>
      <c r="U138" s="70"/>
      <c r="V138" s="70"/>
      <c r="W138" s="70"/>
      <c r="X138" s="70"/>
      <c r="Y138" s="70"/>
      <c r="Z138" s="70"/>
    </row>
    <row r="139" spans="1:26" ht="15.75" customHeight="1">
      <c r="A139" s="71"/>
      <c r="B139" s="71"/>
      <c r="C139" s="70"/>
      <c r="D139" s="70"/>
      <c r="E139" s="73"/>
      <c r="F139" s="70"/>
      <c r="G139" s="70"/>
      <c r="H139" s="70"/>
      <c r="I139" s="70"/>
      <c r="J139" s="70"/>
      <c r="K139" s="70"/>
      <c r="L139" s="70"/>
      <c r="M139" s="70"/>
      <c r="N139" s="70"/>
      <c r="O139" s="70"/>
      <c r="P139" s="70"/>
      <c r="Q139" s="70"/>
      <c r="R139" s="70"/>
      <c r="S139" s="70"/>
      <c r="T139" s="70"/>
      <c r="U139" s="70"/>
      <c r="V139" s="70"/>
      <c r="W139" s="70"/>
      <c r="X139" s="70"/>
      <c r="Y139" s="70"/>
      <c r="Z139" s="70"/>
    </row>
    <row r="140" spans="1:26" ht="15.75" customHeight="1">
      <c r="A140" s="71"/>
      <c r="B140" s="71"/>
      <c r="C140" s="70"/>
      <c r="D140" s="70"/>
      <c r="E140" s="73"/>
      <c r="F140" s="70"/>
      <c r="G140" s="70"/>
      <c r="H140" s="70"/>
      <c r="I140" s="70"/>
      <c r="J140" s="70"/>
      <c r="K140" s="70"/>
      <c r="L140" s="70"/>
      <c r="M140" s="70"/>
      <c r="N140" s="70"/>
      <c r="O140" s="70"/>
      <c r="P140" s="70"/>
      <c r="Q140" s="70"/>
      <c r="R140" s="70"/>
      <c r="S140" s="70"/>
      <c r="T140" s="70"/>
      <c r="U140" s="70"/>
      <c r="V140" s="70"/>
      <c r="W140" s="70"/>
      <c r="X140" s="70"/>
      <c r="Y140" s="70"/>
      <c r="Z140" s="70"/>
    </row>
    <row r="141" spans="1:26" ht="15.75" customHeight="1">
      <c r="A141" s="71"/>
      <c r="B141" s="71"/>
      <c r="C141" s="70"/>
      <c r="D141" s="70"/>
      <c r="E141" s="73"/>
      <c r="F141" s="70"/>
      <c r="G141" s="70"/>
      <c r="H141" s="70"/>
      <c r="I141" s="70"/>
      <c r="J141" s="70"/>
      <c r="K141" s="70"/>
      <c r="L141" s="70"/>
      <c r="M141" s="70"/>
      <c r="N141" s="70"/>
      <c r="O141" s="70"/>
      <c r="P141" s="70"/>
      <c r="Q141" s="70"/>
      <c r="R141" s="70"/>
      <c r="S141" s="70"/>
      <c r="T141" s="70"/>
      <c r="U141" s="70"/>
      <c r="V141" s="70"/>
      <c r="W141" s="70"/>
      <c r="X141" s="70"/>
      <c r="Y141" s="70"/>
      <c r="Z141" s="70"/>
    </row>
    <row r="142" spans="1:26" ht="15.75" customHeight="1">
      <c r="A142" s="71"/>
      <c r="B142" s="71"/>
      <c r="C142" s="70"/>
      <c r="D142" s="70"/>
      <c r="E142" s="73"/>
      <c r="F142" s="70"/>
      <c r="G142" s="70"/>
      <c r="H142" s="70"/>
      <c r="I142" s="70"/>
      <c r="J142" s="70"/>
      <c r="K142" s="70"/>
      <c r="L142" s="70"/>
      <c r="M142" s="70"/>
      <c r="N142" s="70"/>
      <c r="O142" s="70"/>
      <c r="P142" s="70"/>
      <c r="Q142" s="70"/>
      <c r="R142" s="70"/>
      <c r="S142" s="70"/>
      <c r="T142" s="70"/>
      <c r="U142" s="70"/>
      <c r="V142" s="70"/>
      <c r="W142" s="70"/>
      <c r="X142" s="70"/>
      <c r="Y142" s="70"/>
      <c r="Z142" s="70"/>
    </row>
    <row r="143" spans="1:26" ht="15.75" customHeight="1">
      <c r="A143" s="71"/>
      <c r="B143" s="71"/>
      <c r="C143" s="70"/>
      <c r="D143" s="70"/>
      <c r="E143" s="73"/>
      <c r="F143" s="70"/>
      <c r="G143" s="70"/>
      <c r="H143" s="70"/>
      <c r="I143" s="70"/>
      <c r="J143" s="70"/>
      <c r="K143" s="70"/>
      <c r="L143" s="70"/>
      <c r="M143" s="70"/>
      <c r="N143" s="70"/>
      <c r="O143" s="70"/>
      <c r="P143" s="70"/>
      <c r="Q143" s="70"/>
      <c r="R143" s="70"/>
      <c r="S143" s="70"/>
      <c r="T143" s="70"/>
      <c r="U143" s="70"/>
      <c r="V143" s="70"/>
      <c r="W143" s="70"/>
      <c r="X143" s="70"/>
      <c r="Y143" s="70"/>
      <c r="Z143" s="70"/>
    </row>
    <row r="144" spans="1:26" ht="15.75" customHeight="1">
      <c r="A144" s="71"/>
      <c r="B144" s="71"/>
      <c r="C144" s="70"/>
      <c r="D144" s="70"/>
      <c r="E144" s="73"/>
      <c r="F144" s="70"/>
      <c r="G144" s="70"/>
      <c r="H144" s="70"/>
      <c r="I144" s="70"/>
      <c r="J144" s="70"/>
      <c r="K144" s="70"/>
      <c r="L144" s="70"/>
      <c r="M144" s="70"/>
      <c r="N144" s="70"/>
      <c r="O144" s="70"/>
      <c r="P144" s="70"/>
      <c r="Q144" s="70"/>
      <c r="R144" s="70"/>
      <c r="S144" s="70"/>
      <c r="T144" s="70"/>
      <c r="U144" s="70"/>
      <c r="V144" s="70"/>
      <c r="W144" s="70"/>
      <c r="X144" s="70"/>
      <c r="Y144" s="70"/>
      <c r="Z144" s="70"/>
    </row>
    <row r="145" spans="1:26" ht="15.75" customHeight="1">
      <c r="A145" s="71"/>
      <c r="B145" s="71"/>
      <c r="C145" s="70"/>
      <c r="D145" s="70"/>
      <c r="E145" s="73"/>
      <c r="F145" s="70"/>
      <c r="G145" s="70"/>
      <c r="H145" s="70"/>
      <c r="I145" s="70"/>
      <c r="J145" s="70"/>
      <c r="K145" s="70"/>
      <c r="L145" s="70"/>
      <c r="M145" s="70"/>
      <c r="N145" s="70"/>
      <c r="O145" s="70"/>
      <c r="P145" s="70"/>
      <c r="Q145" s="70"/>
      <c r="R145" s="70"/>
      <c r="S145" s="70"/>
      <c r="T145" s="70"/>
      <c r="U145" s="70"/>
      <c r="V145" s="70"/>
      <c r="W145" s="70"/>
      <c r="X145" s="70"/>
      <c r="Y145" s="70"/>
      <c r="Z145" s="70"/>
    </row>
    <row r="146" spans="1:26" ht="15.75" customHeight="1">
      <c r="A146" s="71"/>
      <c r="B146" s="71"/>
      <c r="C146" s="70"/>
      <c r="D146" s="70"/>
      <c r="E146" s="73"/>
      <c r="F146" s="70"/>
      <c r="G146" s="70"/>
      <c r="H146" s="70"/>
      <c r="I146" s="70"/>
      <c r="J146" s="70"/>
      <c r="K146" s="70"/>
      <c r="L146" s="70"/>
      <c r="M146" s="70"/>
      <c r="N146" s="70"/>
      <c r="O146" s="70"/>
      <c r="P146" s="70"/>
      <c r="Q146" s="70"/>
      <c r="R146" s="70"/>
      <c r="S146" s="70"/>
      <c r="T146" s="70"/>
      <c r="U146" s="70"/>
      <c r="V146" s="70"/>
      <c r="W146" s="70"/>
      <c r="X146" s="70"/>
      <c r="Y146" s="70"/>
      <c r="Z146" s="70"/>
    </row>
    <row r="147" spans="1:26" ht="15.75" customHeight="1">
      <c r="A147" s="71"/>
      <c r="B147" s="71"/>
      <c r="C147" s="70"/>
      <c r="D147" s="70"/>
      <c r="E147" s="73"/>
      <c r="F147" s="70"/>
      <c r="G147" s="70"/>
      <c r="H147" s="70"/>
      <c r="I147" s="70"/>
      <c r="J147" s="70"/>
      <c r="K147" s="70"/>
      <c r="L147" s="70"/>
      <c r="M147" s="70"/>
      <c r="N147" s="70"/>
      <c r="O147" s="70"/>
      <c r="P147" s="70"/>
      <c r="Q147" s="70"/>
      <c r="R147" s="70"/>
      <c r="S147" s="70"/>
      <c r="T147" s="70"/>
      <c r="U147" s="70"/>
      <c r="V147" s="70"/>
      <c r="W147" s="70"/>
      <c r="X147" s="70"/>
      <c r="Y147" s="70"/>
      <c r="Z147" s="70"/>
    </row>
    <row r="148" spans="1:26" ht="15.75" customHeight="1">
      <c r="A148" s="71"/>
      <c r="B148" s="71"/>
      <c r="C148" s="70"/>
      <c r="D148" s="70"/>
      <c r="E148" s="73"/>
      <c r="F148" s="70"/>
      <c r="G148" s="70"/>
      <c r="H148" s="70"/>
      <c r="I148" s="70"/>
      <c r="J148" s="70"/>
      <c r="K148" s="70"/>
      <c r="L148" s="70"/>
      <c r="M148" s="70"/>
      <c r="N148" s="70"/>
      <c r="O148" s="70"/>
      <c r="P148" s="70"/>
      <c r="Q148" s="70"/>
      <c r="R148" s="70"/>
      <c r="S148" s="70"/>
      <c r="T148" s="70"/>
      <c r="U148" s="70"/>
      <c r="V148" s="70"/>
      <c r="W148" s="70"/>
      <c r="X148" s="70"/>
      <c r="Y148" s="70"/>
      <c r="Z148" s="70"/>
    </row>
    <row r="149" spans="1:26" ht="15.75" customHeight="1">
      <c r="A149" s="71"/>
      <c r="B149" s="71"/>
      <c r="C149" s="70"/>
      <c r="D149" s="70"/>
      <c r="E149" s="73"/>
      <c r="F149" s="70"/>
      <c r="G149" s="70"/>
      <c r="H149" s="70"/>
      <c r="I149" s="70"/>
      <c r="J149" s="70"/>
      <c r="K149" s="70"/>
      <c r="L149" s="70"/>
      <c r="M149" s="70"/>
      <c r="N149" s="70"/>
      <c r="O149" s="70"/>
      <c r="P149" s="70"/>
      <c r="Q149" s="70"/>
      <c r="R149" s="70"/>
      <c r="S149" s="70"/>
      <c r="T149" s="70"/>
      <c r="U149" s="70"/>
      <c r="V149" s="70"/>
      <c r="W149" s="70"/>
      <c r="X149" s="70"/>
      <c r="Y149" s="70"/>
      <c r="Z149" s="70"/>
    </row>
    <row r="150" spans="1:26" ht="15.75" customHeight="1">
      <c r="A150" s="71"/>
      <c r="B150" s="71"/>
      <c r="C150" s="70"/>
      <c r="D150" s="70"/>
      <c r="E150" s="73"/>
      <c r="F150" s="70"/>
      <c r="G150" s="70"/>
      <c r="H150" s="70"/>
      <c r="I150" s="70"/>
      <c r="J150" s="70"/>
      <c r="K150" s="70"/>
      <c r="L150" s="70"/>
      <c r="M150" s="70"/>
      <c r="N150" s="70"/>
      <c r="O150" s="70"/>
      <c r="P150" s="70"/>
      <c r="Q150" s="70"/>
      <c r="R150" s="70"/>
      <c r="S150" s="70"/>
      <c r="T150" s="70"/>
      <c r="U150" s="70"/>
      <c r="V150" s="70"/>
      <c r="W150" s="70"/>
      <c r="X150" s="70"/>
      <c r="Y150" s="70"/>
      <c r="Z150" s="70"/>
    </row>
    <row r="151" spans="1:26" ht="15.75" customHeight="1">
      <c r="A151" s="71"/>
      <c r="B151" s="71"/>
      <c r="C151" s="70"/>
      <c r="D151" s="70"/>
      <c r="E151" s="73"/>
      <c r="F151" s="70"/>
      <c r="G151" s="70"/>
      <c r="H151" s="70"/>
      <c r="I151" s="70"/>
      <c r="J151" s="70"/>
      <c r="K151" s="70"/>
      <c r="L151" s="70"/>
      <c r="M151" s="70"/>
      <c r="N151" s="70"/>
      <c r="O151" s="70"/>
      <c r="P151" s="70"/>
      <c r="Q151" s="70"/>
      <c r="R151" s="70"/>
      <c r="S151" s="70"/>
      <c r="T151" s="70"/>
      <c r="U151" s="70"/>
      <c r="V151" s="70"/>
      <c r="W151" s="70"/>
      <c r="X151" s="70"/>
      <c r="Y151" s="70"/>
      <c r="Z151" s="70"/>
    </row>
    <row r="152" spans="1:26" ht="15.75" customHeight="1">
      <c r="A152" s="71"/>
      <c r="B152" s="71"/>
      <c r="C152" s="70"/>
      <c r="D152" s="70"/>
      <c r="E152" s="73"/>
      <c r="F152" s="70"/>
      <c r="G152" s="70"/>
      <c r="H152" s="70"/>
      <c r="I152" s="70"/>
      <c r="J152" s="70"/>
      <c r="K152" s="70"/>
      <c r="L152" s="70"/>
      <c r="M152" s="70"/>
      <c r="N152" s="70"/>
      <c r="O152" s="70"/>
      <c r="P152" s="70"/>
      <c r="Q152" s="70"/>
      <c r="R152" s="70"/>
      <c r="S152" s="70"/>
      <c r="T152" s="70"/>
      <c r="U152" s="70"/>
      <c r="V152" s="70"/>
      <c r="W152" s="70"/>
      <c r="X152" s="70"/>
      <c r="Y152" s="70"/>
      <c r="Z152" s="70"/>
    </row>
    <row r="153" spans="1:26" ht="15.75" customHeight="1">
      <c r="A153" s="71"/>
      <c r="B153" s="71"/>
      <c r="C153" s="70"/>
      <c r="D153" s="70"/>
      <c r="E153" s="73"/>
      <c r="F153" s="70"/>
      <c r="G153" s="70"/>
      <c r="H153" s="70"/>
      <c r="I153" s="70"/>
      <c r="J153" s="70"/>
      <c r="K153" s="70"/>
      <c r="L153" s="70"/>
      <c r="M153" s="70"/>
      <c r="N153" s="70"/>
      <c r="O153" s="70"/>
      <c r="P153" s="70"/>
      <c r="Q153" s="70"/>
      <c r="R153" s="70"/>
      <c r="S153" s="70"/>
      <c r="T153" s="70"/>
      <c r="U153" s="70"/>
      <c r="V153" s="70"/>
      <c r="W153" s="70"/>
      <c r="X153" s="70"/>
      <c r="Y153" s="70"/>
      <c r="Z153" s="70"/>
    </row>
    <row r="154" spans="1:26" ht="15.75" customHeight="1">
      <c r="A154" s="71"/>
      <c r="B154" s="71"/>
      <c r="C154" s="70"/>
      <c r="D154" s="70"/>
      <c r="E154" s="73"/>
      <c r="F154" s="70"/>
      <c r="G154" s="70"/>
      <c r="H154" s="70"/>
      <c r="I154" s="70"/>
      <c r="J154" s="70"/>
      <c r="K154" s="70"/>
      <c r="L154" s="70"/>
      <c r="M154" s="70"/>
      <c r="N154" s="70"/>
      <c r="O154" s="70"/>
      <c r="P154" s="70"/>
      <c r="Q154" s="70"/>
      <c r="R154" s="70"/>
      <c r="S154" s="70"/>
      <c r="T154" s="70"/>
      <c r="U154" s="70"/>
      <c r="V154" s="70"/>
      <c r="W154" s="70"/>
      <c r="X154" s="70"/>
      <c r="Y154" s="70"/>
      <c r="Z154" s="70"/>
    </row>
    <row r="155" spans="1:26" ht="15.75" customHeight="1">
      <c r="A155" s="71"/>
      <c r="B155" s="71"/>
      <c r="C155" s="70"/>
      <c r="D155" s="70"/>
      <c r="E155" s="73"/>
      <c r="F155" s="70"/>
      <c r="G155" s="70"/>
      <c r="H155" s="70"/>
      <c r="I155" s="70"/>
      <c r="J155" s="70"/>
      <c r="K155" s="70"/>
      <c r="L155" s="70"/>
      <c r="M155" s="70"/>
      <c r="N155" s="70"/>
      <c r="O155" s="70"/>
      <c r="P155" s="70"/>
      <c r="Q155" s="70"/>
      <c r="R155" s="70"/>
      <c r="S155" s="70"/>
      <c r="T155" s="70"/>
      <c r="U155" s="70"/>
      <c r="V155" s="70"/>
      <c r="W155" s="70"/>
      <c r="X155" s="70"/>
      <c r="Y155" s="70"/>
      <c r="Z155" s="70"/>
    </row>
    <row r="156" spans="1:26" ht="15.75" customHeight="1">
      <c r="A156" s="71"/>
      <c r="B156" s="71"/>
      <c r="C156" s="70"/>
      <c r="D156" s="70"/>
      <c r="E156" s="73"/>
      <c r="F156" s="70"/>
      <c r="G156" s="70"/>
      <c r="H156" s="70"/>
      <c r="I156" s="70"/>
      <c r="J156" s="70"/>
      <c r="K156" s="70"/>
      <c r="L156" s="70"/>
      <c r="M156" s="70"/>
      <c r="N156" s="70"/>
      <c r="O156" s="70"/>
      <c r="P156" s="70"/>
      <c r="Q156" s="70"/>
      <c r="R156" s="70"/>
      <c r="S156" s="70"/>
      <c r="T156" s="70"/>
      <c r="U156" s="70"/>
      <c r="V156" s="70"/>
      <c r="W156" s="70"/>
      <c r="X156" s="70"/>
      <c r="Y156" s="70"/>
      <c r="Z156" s="70"/>
    </row>
    <row r="157" spans="1:26" ht="15.75" customHeight="1">
      <c r="A157" s="71"/>
      <c r="B157" s="71"/>
      <c r="C157" s="70"/>
      <c r="D157" s="70"/>
      <c r="E157" s="73"/>
      <c r="F157" s="70"/>
      <c r="G157" s="70"/>
      <c r="H157" s="70"/>
      <c r="I157" s="70"/>
      <c r="J157" s="70"/>
      <c r="K157" s="70"/>
      <c r="L157" s="70"/>
      <c r="M157" s="70"/>
      <c r="N157" s="70"/>
      <c r="O157" s="70"/>
      <c r="P157" s="70"/>
      <c r="Q157" s="70"/>
      <c r="R157" s="70"/>
      <c r="S157" s="70"/>
      <c r="T157" s="70"/>
      <c r="U157" s="70"/>
      <c r="V157" s="70"/>
      <c r="W157" s="70"/>
      <c r="X157" s="70"/>
      <c r="Y157" s="70"/>
      <c r="Z157" s="70"/>
    </row>
    <row r="158" spans="1:26" ht="15.75" customHeight="1">
      <c r="A158" s="71"/>
      <c r="B158" s="71"/>
      <c r="C158" s="70"/>
      <c r="D158" s="70"/>
      <c r="E158" s="73"/>
      <c r="F158" s="70"/>
      <c r="G158" s="70"/>
      <c r="H158" s="70"/>
      <c r="I158" s="70"/>
      <c r="J158" s="70"/>
      <c r="K158" s="70"/>
      <c r="L158" s="70"/>
      <c r="M158" s="70"/>
      <c r="N158" s="70"/>
      <c r="O158" s="70"/>
      <c r="P158" s="70"/>
      <c r="Q158" s="70"/>
      <c r="R158" s="70"/>
      <c r="S158" s="70"/>
      <c r="T158" s="70"/>
      <c r="U158" s="70"/>
      <c r="V158" s="70"/>
      <c r="W158" s="70"/>
      <c r="X158" s="70"/>
      <c r="Y158" s="70"/>
      <c r="Z158" s="70"/>
    </row>
    <row r="159" spans="1:26" ht="15.75" customHeight="1">
      <c r="A159" s="71"/>
      <c r="B159" s="71"/>
      <c r="C159" s="70"/>
      <c r="D159" s="70"/>
      <c r="E159" s="73"/>
      <c r="F159" s="70"/>
      <c r="G159" s="70"/>
      <c r="H159" s="70"/>
      <c r="I159" s="70"/>
      <c r="J159" s="70"/>
      <c r="K159" s="70"/>
      <c r="L159" s="70"/>
      <c r="M159" s="70"/>
      <c r="N159" s="70"/>
      <c r="O159" s="70"/>
      <c r="P159" s="70"/>
      <c r="Q159" s="70"/>
      <c r="R159" s="70"/>
      <c r="S159" s="70"/>
      <c r="T159" s="70"/>
      <c r="U159" s="70"/>
      <c r="V159" s="70"/>
      <c r="W159" s="70"/>
      <c r="X159" s="70"/>
      <c r="Y159" s="70"/>
      <c r="Z159" s="70"/>
    </row>
    <row r="160" spans="1:26" ht="15.75" customHeight="1">
      <c r="A160" s="71"/>
      <c r="B160" s="71"/>
      <c r="C160" s="70"/>
      <c r="D160" s="70"/>
      <c r="E160" s="73"/>
      <c r="F160" s="70"/>
      <c r="G160" s="70"/>
      <c r="H160" s="70"/>
      <c r="I160" s="70"/>
      <c r="J160" s="70"/>
      <c r="K160" s="70"/>
      <c r="L160" s="70"/>
      <c r="M160" s="70"/>
      <c r="N160" s="70"/>
      <c r="O160" s="70"/>
      <c r="P160" s="70"/>
      <c r="Q160" s="70"/>
      <c r="R160" s="70"/>
      <c r="S160" s="70"/>
      <c r="T160" s="70"/>
      <c r="U160" s="70"/>
      <c r="V160" s="70"/>
      <c r="W160" s="70"/>
      <c r="X160" s="70"/>
      <c r="Y160" s="70"/>
      <c r="Z160" s="70"/>
    </row>
    <row r="161" spans="1:26" ht="15.75" customHeight="1">
      <c r="A161" s="71"/>
      <c r="B161" s="71"/>
      <c r="C161" s="70"/>
      <c r="D161" s="70"/>
      <c r="E161" s="73"/>
      <c r="F161" s="70"/>
      <c r="G161" s="70"/>
      <c r="H161" s="70"/>
      <c r="I161" s="70"/>
      <c r="J161" s="70"/>
      <c r="K161" s="70"/>
      <c r="L161" s="70"/>
      <c r="M161" s="70"/>
      <c r="N161" s="70"/>
      <c r="O161" s="70"/>
      <c r="P161" s="70"/>
      <c r="Q161" s="70"/>
      <c r="R161" s="70"/>
      <c r="S161" s="70"/>
      <c r="T161" s="70"/>
      <c r="U161" s="70"/>
      <c r="V161" s="70"/>
      <c r="W161" s="70"/>
      <c r="X161" s="70"/>
      <c r="Y161" s="70"/>
      <c r="Z161" s="70"/>
    </row>
    <row r="162" spans="1:26" ht="15.75" customHeight="1">
      <c r="A162" s="71"/>
      <c r="B162" s="71"/>
      <c r="C162" s="70"/>
      <c r="D162" s="70"/>
      <c r="E162" s="73"/>
      <c r="F162" s="70"/>
      <c r="G162" s="70"/>
      <c r="H162" s="70"/>
      <c r="I162" s="70"/>
      <c r="J162" s="70"/>
      <c r="K162" s="70"/>
      <c r="L162" s="70"/>
      <c r="M162" s="70"/>
      <c r="N162" s="70"/>
      <c r="O162" s="70"/>
      <c r="P162" s="70"/>
      <c r="Q162" s="70"/>
      <c r="R162" s="70"/>
      <c r="S162" s="70"/>
      <c r="T162" s="70"/>
      <c r="U162" s="70"/>
      <c r="V162" s="70"/>
      <c r="W162" s="70"/>
      <c r="X162" s="70"/>
      <c r="Y162" s="70"/>
      <c r="Z162" s="70"/>
    </row>
    <row r="163" spans="1:26" ht="15.75" customHeight="1">
      <c r="A163" s="71"/>
      <c r="B163" s="71"/>
      <c r="C163" s="70"/>
      <c r="D163" s="70"/>
      <c r="E163" s="73"/>
      <c r="F163" s="70"/>
      <c r="G163" s="70"/>
      <c r="H163" s="70"/>
      <c r="I163" s="70"/>
      <c r="J163" s="70"/>
      <c r="K163" s="70"/>
      <c r="L163" s="70"/>
      <c r="M163" s="70"/>
      <c r="N163" s="70"/>
      <c r="O163" s="70"/>
      <c r="P163" s="70"/>
      <c r="Q163" s="70"/>
      <c r="R163" s="70"/>
      <c r="S163" s="70"/>
      <c r="T163" s="70"/>
      <c r="U163" s="70"/>
      <c r="V163" s="70"/>
      <c r="W163" s="70"/>
      <c r="X163" s="70"/>
      <c r="Y163" s="70"/>
      <c r="Z163" s="70"/>
    </row>
    <row r="164" spans="1:26" ht="15.75" customHeight="1">
      <c r="A164" s="71"/>
      <c r="B164" s="71"/>
      <c r="C164" s="70"/>
      <c r="D164" s="70"/>
      <c r="E164" s="73"/>
      <c r="F164" s="70"/>
      <c r="G164" s="70"/>
      <c r="H164" s="70"/>
      <c r="I164" s="70"/>
      <c r="J164" s="70"/>
      <c r="K164" s="70"/>
      <c r="L164" s="70"/>
      <c r="M164" s="70"/>
      <c r="N164" s="70"/>
      <c r="O164" s="70"/>
      <c r="P164" s="70"/>
      <c r="Q164" s="70"/>
      <c r="R164" s="70"/>
      <c r="S164" s="70"/>
      <c r="T164" s="70"/>
      <c r="U164" s="70"/>
      <c r="V164" s="70"/>
      <c r="W164" s="70"/>
      <c r="X164" s="70"/>
      <c r="Y164" s="70"/>
      <c r="Z164" s="70"/>
    </row>
    <row r="165" spans="1:26" ht="15.75" customHeight="1">
      <c r="A165" s="71"/>
      <c r="B165" s="71"/>
      <c r="C165" s="70"/>
      <c r="D165" s="70"/>
      <c r="E165" s="73"/>
      <c r="F165" s="70"/>
      <c r="G165" s="70"/>
      <c r="H165" s="70"/>
      <c r="I165" s="70"/>
      <c r="J165" s="70"/>
      <c r="K165" s="70"/>
      <c r="L165" s="70"/>
      <c r="M165" s="70"/>
      <c r="N165" s="70"/>
      <c r="O165" s="70"/>
      <c r="P165" s="70"/>
      <c r="Q165" s="70"/>
      <c r="R165" s="70"/>
      <c r="S165" s="70"/>
      <c r="T165" s="70"/>
      <c r="U165" s="70"/>
      <c r="V165" s="70"/>
      <c r="W165" s="70"/>
      <c r="X165" s="70"/>
      <c r="Y165" s="70"/>
      <c r="Z165" s="70"/>
    </row>
    <row r="166" spans="1:26" ht="15.75" customHeight="1">
      <c r="A166" s="71"/>
      <c r="B166" s="71"/>
      <c r="C166" s="70"/>
      <c r="D166" s="70"/>
      <c r="E166" s="73"/>
      <c r="F166" s="70"/>
      <c r="G166" s="70"/>
      <c r="H166" s="70"/>
      <c r="I166" s="70"/>
      <c r="J166" s="70"/>
      <c r="K166" s="70"/>
      <c r="L166" s="70"/>
      <c r="M166" s="70"/>
      <c r="N166" s="70"/>
      <c r="O166" s="70"/>
      <c r="P166" s="70"/>
      <c r="Q166" s="70"/>
      <c r="R166" s="70"/>
      <c r="S166" s="70"/>
      <c r="T166" s="70"/>
      <c r="U166" s="70"/>
      <c r="V166" s="70"/>
      <c r="W166" s="70"/>
      <c r="X166" s="70"/>
      <c r="Y166" s="70"/>
      <c r="Z166" s="70"/>
    </row>
    <row r="167" spans="1:26" ht="15.75" customHeight="1">
      <c r="A167" s="71"/>
      <c r="B167" s="71"/>
      <c r="C167" s="70"/>
      <c r="D167" s="70"/>
      <c r="E167" s="73"/>
      <c r="F167" s="70"/>
      <c r="G167" s="70"/>
      <c r="H167" s="70"/>
      <c r="I167" s="70"/>
      <c r="J167" s="70"/>
      <c r="K167" s="70"/>
      <c r="L167" s="70"/>
      <c r="M167" s="70"/>
      <c r="N167" s="70"/>
      <c r="O167" s="70"/>
      <c r="P167" s="70"/>
      <c r="Q167" s="70"/>
      <c r="R167" s="70"/>
      <c r="S167" s="70"/>
      <c r="T167" s="70"/>
      <c r="U167" s="70"/>
      <c r="V167" s="70"/>
      <c r="W167" s="70"/>
      <c r="X167" s="70"/>
      <c r="Y167" s="70"/>
      <c r="Z167" s="70"/>
    </row>
    <row r="168" spans="1:26" ht="15.75" customHeight="1">
      <c r="A168" s="71"/>
      <c r="B168" s="71"/>
      <c r="C168" s="70"/>
      <c r="D168" s="70"/>
      <c r="E168" s="73"/>
      <c r="F168" s="70"/>
      <c r="G168" s="70"/>
      <c r="H168" s="70"/>
      <c r="I168" s="70"/>
      <c r="J168" s="70"/>
      <c r="K168" s="70"/>
      <c r="L168" s="70"/>
      <c r="M168" s="70"/>
      <c r="N168" s="70"/>
      <c r="O168" s="70"/>
      <c r="P168" s="70"/>
      <c r="Q168" s="70"/>
      <c r="R168" s="70"/>
      <c r="S168" s="70"/>
      <c r="T168" s="70"/>
      <c r="U168" s="70"/>
      <c r="V168" s="70"/>
      <c r="W168" s="70"/>
      <c r="X168" s="70"/>
      <c r="Y168" s="70"/>
      <c r="Z168" s="70"/>
    </row>
    <row r="169" spans="1:26" ht="15.75" customHeight="1">
      <c r="A169" s="71"/>
      <c r="B169" s="71"/>
      <c r="C169" s="70"/>
      <c r="D169" s="70"/>
      <c r="E169" s="73"/>
      <c r="F169" s="70"/>
      <c r="G169" s="70"/>
      <c r="H169" s="70"/>
      <c r="I169" s="70"/>
      <c r="J169" s="70"/>
      <c r="K169" s="70"/>
      <c r="L169" s="70"/>
      <c r="M169" s="70"/>
      <c r="N169" s="70"/>
      <c r="O169" s="70"/>
      <c r="P169" s="70"/>
      <c r="Q169" s="70"/>
      <c r="R169" s="70"/>
      <c r="S169" s="70"/>
      <c r="T169" s="70"/>
      <c r="U169" s="70"/>
      <c r="V169" s="70"/>
      <c r="W169" s="70"/>
      <c r="X169" s="70"/>
      <c r="Y169" s="70"/>
      <c r="Z169" s="70"/>
    </row>
    <row r="170" spans="1:26" ht="15.75" customHeight="1">
      <c r="A170" s="71"/>
      <c r="B170" s="71"/>
      <c r="C170" s="70"/>
      <c r="D170" s="70"/>
      <c r="E170" s="73"/>
      <c r="F170" s="70"/>
      <c r="G170" s="70"/>
      <c r="H170" s="70"/>
      <c r="I170" s="70"/>
      <c r="J170" s="70"/>
      <c r="K170" s="70"/>
      <c r="L170" s="70"/>
      <c r="M170" s="70"/>
      <c r="N170" s="70"/>
      <c r="O170" s="70"/>
      <c r="P170" s="70"/>
      <c r="Q170" s="70"/>
      <c r="R170" s="70"/>
      <c r="S170" s="70"/>
      <c r="T170" s="70"/>
      <c r="U170" s="70"/>
      <c r="V170" s="70"/>
      <c r="W170" s="70"/>
      <c r="X170" s="70"/>
      <c r="Y170" s="70"/>
      <c r="Z170" s="70"/>
    </row>
    <row r="171" spans="1:26" ht="15.75" customHeight="1">
      <c r="A171" s="71"/>
      <c r="B171" s="71"/>
      <c r="C171" s="70"/>
      <c r="D171" s="70"/>
      <c r="E171" s="73"/>
      <c r="F171" s="70"/>
      <c r="G171" s="70"/>
      <c r="H171" s="70"/>
      <c r="I171" s="70"/>
      <c r="J171" s="70"/>
      <c r="K171" s="70"/>
      <c r="L171" s="70"/>
      <c r="M171" s="70"/>
      <c r="N171" s="70"/>
      <c r="O171" s="70"/>
      <c r="P171" s="70"/>
      <c r="Q171" s="70"/>
      <c r="R171" s="70"/>
      <c r="S171" s="70"/>
      <c r="T171" s="70"/>
      <c r="U171" s="70"/>
      <c r="V171" s="70"/>
      <c r="W171" s="70"/>
      <c r="X171" s="70"/>
      <c r="Y171" s="70"/>
      <c r="Z171" s="70"/>
    </row>
    <row r="172" spans="1:26" ht="15.75" customHeight="1">
      <c r="A172" s="71"/>
      <c r="B172" s="71"/>
      <c r="C172" s="70"/>
      <c r="D172" s="70"/>
      <c r="E172" s="73"/>
      <c r="F172" s="70"/>
      <c r="G172" s="70"/>
      <c r="H172" s="70"/>
      <c r="I172" s="70"/>
      <c r="J172" s="70"/>
      <c r="K172" s="70"/>
      <c r="L172" s="70"/>
      <c r="M172" s="70"/>
      <c r="N172" s="70"/>
      <c r="O172" s="70"/>
      <c r="P172" s="70"/>
      <c r="Q172" s="70"/>
      <c r="R172" s="70"/>
      <c r="S172" s="70"/>
      <c r="T172" s="70"/>
      <c r="U172" s="70"/>
      <c r="V172" s="70"/>
      <c r="W172" s="70"/>
      <c r="X172" s="70"/>
      <c r="Y172" s="70"/>
      <c r="Z172" s="70"/>
    </row>
    <row r="173" spans="1:26" ht="15.75" customHeight="1">
      <c r="A173" s="71"/>
      <c r="B173" s="71"/>
      <c r="C173" s="70"/>
      <c r="D173" s="70"/>
      <c r="E173" s="73"/>
      <c r="F173" s="70"/>
      <c r="G173" s="70"/>
      <c r="H173" s="70"/>
      <c r="I173" s="70"/>
      <c r="J173" s="70"/>
      <c r="K173" s="70"/>
      <c r="L173" s="70"/>
      <c r="M173" s="70"/>
      <c r="N173" s="70"/>
      <c r="O173" s="70"/>
      <c r="P173" s="70"/>
      <c r="Q173" s="70"/>
      <c r="R173" s="70"/>
      <c r="S173" s="70"/>
      <c r="T173" s="70"/>
      <c r="U173" s="70"/>
      <c r="V173" s="70"/>
      <c r="W173" s="70"/>
      <c r="X173" s="70"/>
      <c r="Y173" s="70"/>
      <c r="Z173" s="70"/>
    </row>
    <row r="174" spans="1:26" ht="15.75" customHeight="1">
      <c r="A174" s="71"/>
      <c r="B174" s="71"/>
      <c r="C174" s="70"/>
      <c r="D174" s="70"/>
      <c r="E174" s="73"/>
      <c r="F174" s="70"/>
      <c r="G174" s="70"/>
      <c r="H174" s="70"/>
      <c r="I174" s="70"/>
      <c r="J174" s="70"/>
      <c r="K174" s="70"/>
      <c r="L174" s="70"/>
      <c r="M174" s="70"/>
      <c r="N174" s="70"/>
      <c r="O174" s="70"/>
      <c r="P174" s="70"/>
      <c r="Q174" s="70"/>
      <c r="R174" s="70"/>
      <c r="S174" s="70"/>
      <c r="T174" s="70"/>
      <c r="U174" s="70"/>
      <c r="V174" s="70"/>
      <c r="W174" s="70"/>
      <c r="X174" s="70"/>
      <c r="Y174" s="70"/>
      <c r="Z174" s="70"/>
    </row>
    <row r="175" spans="1:26" ht="15.75" customHeight="1">
      <c r="A175" s="71"/>
      <c r="B175" s="71"/>
      <c r="C175" s="70"/>
      <c r="D175" s="70"/>
      <c r="E175" s="73"/>
      <c r="F175" s="70"/>
      <c r="G175" s="70"/>
      <c r="H175" s="70"/>
      <c r="I175" s="70"/>
      <c r="J175" s="70"/>
      <c r="K175" s="70"/>
      <c r="L175" s="70"/>
      <c r="M175" s="70"/>
      <c r="N175" s="70"/>
      <c r="O175" s="70"/>
      <c r="P175" s="70"/>
      <c r="Q175" s="70"/>
      <c r="R175" s="70"/>
      <c r="S175" s="70"/>
      <c r="T175" s="70"/>
      <c r="U175" s="70"/>
      <c r="V175" s="70"/>
      <c r="W175" s="70"/>
      <c r="X175" s="70"/>
      <c r="Y175" s="70"/>
      <c r="Z175" s="70"/>
    </row>
    <row r="176" spans="1:26" ht="15.75" customHeight="1">
      <c r="A176" s="71"/>
      <c r="B176" s="71"/>
      <c r="C176" s="70"/>
      <c r="D176" s="70"/>
      <c r="E176" s="73"/>
      <c r="F176" s="70"/>
      <c r="G176" s="70"/>
      <c r="H176" s="70"/>
      <c r="I176" s="70"/>
      <c r="J176" s="70"/>
      <c r="K176" s="70"/>
      <c r="L176" s="70"/>
      <c r="M176" s="70"/>
      <c r="N176" s="70"/>
      <c r="O176" s="70"/>
      <c r="P176" s="70"/>
      <c r="Q176" s="70"/>
      <c r="R176" s="70"/>
      <c r="S176" s="70"/>
      <c r="T176" s="70"/>
      <c r="U176" s="70"/>
      <c r="V176" s="70"/>
      <c r="W176" s="70"/>
      <c r="X176" s="70"/>
      <c r="Y176" s="70"/>
      <c r="Z176" s="70"/>
    </row>
    <row r="177" spans="1:26" ht="15.75" customHeight="1">
      <c r="A177" s="71"/>
      <c r="B177" s="71"/>
      <c r="C177" s="70"/>
      <c r="D177" s="70"/>
      <c r="E177" s="73"/>
      <c r="F177" s="70"/>
      <c r="G177" s="70"/>
      <c r="H177" s="70"/>
      <c r="I177" s="70"/>
      <c r="J177" s="70"/>
      <c r="K177" s="70"/>
      <c r="L177" s="70"/>
      <c r="M177" s="70"/>
      <c r="N177" s="70"/>
      <c r="O177" s="70"/>
      <c r="P177" s="70"/>
      <c r="Q177" s="70"/>
      <c r="R177" s="70"/>
      <c r="S177" s="70"/>
      <c r="T177" s="70"/>
      <c r="U177" s="70"/>
      <c r="V177" s="70"/>
      <c r="W177" s="70"/>
      <c r="X177" s="70"/>
      <c r="Y177" s="70"/>
      <c r="Z177" s="70"/>
    </row>
    <row r="178" spans="1:26" ht="15.75" customHeight="1">
      <c r="A178" s="71"/>
      <c r="B178" s="71"/>
      <c r="C178" s="70"/>
      <c r="D178" s="70"/>
      <c r="E178" s="73"/>
      <c r="F178" s="70"/>
      <c r="G178" s="70"/>
      <c r="H178" s="70"/>
      <c r="I178" s="70"/>
      <c r="J178" s="70"/>
      <c r="K178" s="70"/>
      <c r="L178" s="70"/>
      <c r="M178" s="70"/>
      <c r="N178" s="70"/>
      <c r="O178" s="70"/>
      <c r="P178" s="70"/>
      <c r="Q178" s="70"/>
      <c r="R178" s="70"/>
      <c r="S178" s="70"/>
      <c r="T178" s="70"/>
      <c r="U178" s="70"/>
      <c r="V178" s="70"/>
      <c r="W178" s="70"/>
      <c r="X178" s="70"/>
      <c r="Y178" s="70"/>
      <c r="Z178" s="70"/>
    </row>
    <row r="179" spans="1:26" ht="15.75" customHeight="1">
      <c r="A179" s="71"/>
      <c r="B179" s="71"/>
      <c r="C179" s="70"/>
      <c r="D179" s="70"/>
      <c r="E179" s="73"/>
      <c r="F179" s="70"/>
      <c r="G179" s="70"/>
      <c r="H179" s="70"/>
      <c r="I179" s="70"/>
      <c r="J179" s="70"/>
      <c r="K179" s="70"/>
      <c r="L179" s="70"/>
      <c r="M179" s="70"/>
      <c r="N179" s="70"/>
      <c r="O179" s="70"/>
      <c r="P179" s="70"/>
      <c r="Q179" s="70"/>
      <c r="R179" s="70"/>
      <c r="S179" s="70"/>
      <c r="T179" s="70"/>
      <c r="U179" s="70"/>
      <c r="V179" s="70"/>
      <c r="W179" s="70"/>
      <c r="X179" s="70"/>
      <c r="Y179" s="70"/>
      <c r="Z179" s="70"/>
    </row>
    <row r="180" spans="1:26" ht="15.75" customHeight="1">
      <c r="A180" s="71"/>
      <c r="B180" s="71"/>
      <c r="C180" s="70"/>
      <c r="D180" s="70"/>
      <c r="E180" s="73"/>
      <c r="F180" s="70"/>
      <c r="G180" s="70"/>
      <c r="H180" s="70"/>
      <c r="I180" s="70"/>
      <c r="J180" s="70"/>
      <c r="K180" s="70"/>
      <c r="L180" s="70"/>
      <c r="M180" s="70"/>
      <c r="N180" s="70"/>
      <c r="O180" s="70"/>
      <c r="P180" s="70"/>
      <c r="Q180" s="70"/>
      <c r="R180" s="70"/>
      <c r="S180" s="70"/>
      <c r="T180" s="70"/>
      <c r="U180" s="70"/>
      <c r="V180" s="70"/>
      <c r="W180" s="70"/>
      <c r="X180" s="70"/>
      <c r="Y180" s="70"/>
      <c r="Z180" s="70"/>
    </row>
    <row r="181" spans="1:26" ht="15.75" customHeight="1">
      <c r="A181" s="71"/>
      <c r="B181" s="71"/>
      <c r="C181" s="70"/>
      <c r="D181" s="70"/>
      <c r="E181" s="73"/>
      <c r="F181" s="70"/>
      <c r="G181" s="70"/>
      <c r="H181" s="70"/>
      <c r="I181" s="70"/>
      <c r="J181" s="70"/>
      <c r="K181" s="70"/>
      <c r="L181" s="70"/>
      <c r="M181" s="70"/>
      <c r="N181" s="70"/>
      <c r="O181" s="70"/>
      <c r="P181" s="70"/>
      <c r="Q181" s="70"/>
      <c r="R181" s="70"/>
      <c r="S181" s="70"/>
      <c r="T181" s="70"/>
      <c r="U181" s="70"/>
      <c r="V181" s="70"/>
      <c r="W181" s="70"/>
      <c r="X181" s="70"/>
      <c r="Y181" s="70"/>
      <c r="Z181" s="70"/>
    </row>
    <row r="182" spans="1:26" ht="15.75" customHeight="1">
      <c r="A182" s="71"/>
      <c r="B182" s="71"/>
      <c r="C182" s="70"/>
      <c r="D182" s="70"/>
      <c r="E182" s="73"/>
      <c r="F182" s="70"/>
      <c r="G182" s="70"/>
      <c r="H182" s="70"/>
      <c r="I182" s="70"/>
      <c r="J182" s="70"/>
      <c r="K182" s="70"/>
      <c r="L182" s="70"/>
      <c r="M182" s="70"/>
      <c r="N182" s="70"/>
      <c r="O182" s="70"/>
      <c r="P182" s="70"/>
      <c r="Q182" s="70"/>
      <c r="R182" s="70"/>
      <c r="S182" s="70"/>
      <c r="T182" s="70"/>
      <c r="U182" s="70"/>
      <c r="V182" s="70"/>
      <c r="W182" s="70"/>
      <c r="X182" s="70"/>
      <c r="Y182" s="70"/>
      <c r="Z182" s="70"/>
    </row>
    <row r="183" spans="1:26" ht="15.75" customHeight="1">
      <c r="A183" s="71"/>
      <c r="B183" s="71"/>
      <c r="C183" s="70"/>
      <c r="D183" s="70"/>
      <c r="E183" s="73"/>
      <c r="F183" s="70"/>
      <c r="G183" s="70"/>
      <c r="H183" s="70"/>
      <c r="I183" s="70"/>
      <c r="J183" s="70"/>
      <c r="K183" s="70"/>
      <c r="L183" s="70"/>
      <c r="M183" s="70"/>
      <c r="N183" s="70"/>
      <c r="O183" s="70"/>
      <c r="P183" s="70"/>
      <c r="Q183" s="70"/>
      <c r="R183" s="70"/>
      <c r="S183" s="70"/>
      <c r="T183" s="70"/>
      <c r="U183" s="70"/>
      <c r="V183" s="70"/>
      <c r="W183" s="70"/>
      <c r="X183" s="70"/>
      <c r="Y183" s="70"/>
      <c r="Z183" s="70"/>
    </row>
    <row r="184" spans="1:26" ht="15.75" customHeight="1">
      <c r="A184" s="71"/>
      <c r="B184" s="71"/>
      <c r="C184" s="70"/>
      <c r="D184" s="70"/>
      <c r="E184" s="73"/>
      <c r="F184" s="70"/>
      <c r="G184" s="70"/>
      <c r="H184" s="70"/>
      <c r="I184" s="70"/>
      <c r="J184" s="70"/>
      <c r="K184" s="70"/>
      <c r="L184" s="70"/>
      <c r="M184" s="70"/>
      <c r="N184" s="70"/>
      <c r="O184" s="70"/>
      <c r="P184" s="70"/>
      <c r="Q184" s="70"/>
      <c r="R184" s="70"/>
      <c r="S184" s="70"/>
      <c r="T184" s="70"/>
      <c r="U184" s="70"/>
      <c r="V184" s="70"/>
      <c r="W184" s="70"/>
      <c r="X184" s="70"/>
      <c r="Y184" s="70"/>
      <c r="Z184" s="70"/>
    </row>
    <row r="185" spans="1:26" ht="15.75" customHeight="1">
      <c r="A185" s="71"/>
      <c r="B185" s="71"/>
      <c r="C185" s="70"/>
      <c r="D185" s="70"/>
      <c r="E185" s="73"/>
      <c r="F185" s="70"/>
      <c r="G185" s="70"/>
      <c r="H185" s="70"/>
      <c r="I185" s="70"/>
      <c r="J185" s="70"/>
      <c r="K185" s="70"/>
      <c r="L185" s="70"/>
      <c r="M185" s="70"/>
      <c r="N185" s="70"/>
      <c r="O185" s="70"/>
      <c r="P185" s="70"/>
      <c r="Q185" s="70"/>
      <c r="R185" s="70"/>
      <c r="S185" s="70"/>
      <c r="T185" s="70"/>
      <c r="U185" s="70"/>
      <c r="V185" s="70"/>
      <c r="W185" s="70"/>
      <c r="X185" s="70"/>
      <c r="Y185" s="70"/>
      <c r="Z185" s="70"/>
    </row>
    <row r="186" spans="1:26" ht="15.75" customHeight="1">
      <c r="A186" s="71"/>
      <c r="B186" s="71"/>
      <c r="C186" s="70"/>
      <c r="D186" s="70"/>
      <c r="E186" s="73"/>
      <c r="F186" s="70"/>
      <c r="G186" s="70"/>
      <c r="H186" s="70"/>
      <c r="I186" s="70"/>
      <c r="J186" s="70"/>
      <c r="K186" s="70"/>
      <c r="L186" s="70"/>
      <c r="M186" s="70"/>
      <c r="N186" s="70"/>
      <c r="O186" s="70"/>
      <c r="P186" s="70"/>
      <c r="Q186" s="70"/>
      <c r="R186" s="70"/>
      <c r="S186" s="70"/>
      <c r="T186" s="70"/>
      <c r="U186" s="70"/>
      <c r="V186" s="70"/>
      <c r="W186" s="70"/>
      <c r="X186" s="70"/>
      <c r="Y186" s="70"/>
      <c r="Z186" s="70"/>
    </row>
    <row r="187" spans="1:26" ht="15.75" customHeight="1">
      <c r="A187" s="71"/>
      <c r="B187" s="71"/>
      <c r="C187" s="70"/>
      <c r="D187" s="70"/>
      <c r="E187" s="73"/>
      <c r="F187" s="70"/>
      <c r="G187" s="70"/>
      <c r="H187" s="70"/>
      <c r="I187" s="70"/>
      <c r="J187" s="70"/>
      <c r="K187" s="70"/>
      <c r="L187" s="70"/>
      <c r="M187" s="70"/>
      <c r="N187" s="70"/>
      <c r="O187" s="70"/>
      <c r="P187" s="70"/>
      <c r="Q187" s="70"/>
      <c r="R187" s="70"/>
      <c r="S187" s="70"/>
      <c r="T187" s="70"/>
      <c r="U187" s="70"/>
      <c r="V187" s="70"/>
      <c r="W187" s="70"/>
      <c r="X187" s="70"/>
      <c r="Y187" s="70"/>
      <c r="Z187" s="70"/>
    </row>
    <row r="188" spans="1:26" ht="15.75" customHeight="1">
      <c r="A188" s="71"/>
      <c r="B188" s="71"/>
      <c r="C188" s="70"/>
      <c r="D188" s="70"/>
      <c r="E188" s="73"/>
      <c r="F188" s="70"/>
      <c r="G188" s="70"/>
      <c r="H188" s="70"/>
      <c r="I188" s="70"/>
      <c r="J188" s="70"/>
      <c r="K188" s="70"/>
      <c r="L188" s="70"/>
      <c r="M188" s="70"/>
      <c r="N188" s="70"/>
      <c r="O188" s="70"/>
      <c r="P188" s="70"/>
      <c r="Q188" s="70"/>
      <c r="R188" s="70"/>
      <c r="S188" s="70"/>
      <c r="T188" s="70"/>
      <c r="U188" s="70"/>
      <c r="V188" s="70"/>
      <c r="W188" s="70"/>
      <c r="X188" s="70"/>
      <c r="Y188" s="70"/>
      <c r="Z188" s="70"/>
    </row>
    <row r="189" spans="1:26" ht="15.75" customHeight="1">
      <c r="A189" s="71"/>
      <c r="B189" s="71"/>
      <c r="C189" s="70"/>
      <c r="D189" s="70"/>
      <c r="E189" s="73"/>
      <c r="F189" s="70"/>
      <c r="G189" s="70"/>
      <c r="H189" s="70"/>
      <c r="I189" s="70"/>
      <c r="J189" s="70"/>
      <c r="K189" s="70"/>
      <c r="L189" s="70"/>
      <c r="M189" s="70"/>
      <c r="N189" s="70"/>
      <c r="O189" s="70"/>
      <c r="P189" s="70"/>
      <c r="Q189" s="70"/>
      <c r="R189" s="70"/>
      <c r="S189" s="70"/>
      <c r="T189" s="70"/>
      <c r="U189" s="70"/>
      <c r="V189" s="70"/>
      <c r="W189" s="70"/>
      <c r="X189" s="70"/>
      <c r="Y189" s="70"/>
      <c r="Z189" s="70"/>
    </row>
    <row r="190" spans="1:26" ht="15.75" customHeight="1">
      <c r="A190" s="71"/>
      <c r="B190" s="71"/>
      <c r="C190" s="70"/>
      <c r="D190" s="70"/>
      <c r="E190" s="73"/>
      <c r="F190" s="70"/>
      <c r="G190" s="70"/>
      <c r="H190" s="70"/>
      <c r="I190" s="70"/>
      <c r="J190" s="70"/>
      <c r="K190" s="70"/>
      <c r="L190" s="70"/>
      <c r="M190" s="70"/>
      <c r="N190" s="70"/>
      <c r="O190" s="70"/>
      <c r="P190" s="70"/>
      <c r="Q190" s="70"/>
      <c r="R190" s="70"/>
      <c r="S190" s="70"/>
      <c r="T190" s="70"/>
      <c r="U190" s="70"/>
      <c r="V190" s="70"/>
      <c r="W190" s="70"/>
      <c r="X190" s="70"/>
      <c r="Y190" s="70"/>
      <c r="Z190" s="70"/>
    </row>
    <row r="191" spans="1:26" ht="15.75" customHeight="1">
      <c r="A191" s="71"/>
      <c r="B191" s="71"/>
      <c r="C191" s="70"/>
      <c r="D191" s="70"/>
      <c r="E191" s="73"/>
      <c r="F191" s="70"/>
      <c r="G191" s="70"/>
      <c r="H191" s="70"/>
      <c r="I191" s="70"/>
      <c r="J191" s="70"/>
      <c r="K191" s="70"/>
      <c r="L191" s="70"/>
      <c r="M191" s="70"/>
      <c r="N191" s="70"/>
      <c r="O191" s="70"/>
      <c r="P191" s="70"/>
      <c r="Q191" s="70"/>
      <c r="R191" s="70"/>
      <c r="S191" s="70"/>
      <c r="T191" s="70"/>
      <c r="U191" s="70"/>
      <c r="V191" s="70"/>
      <c r="W191" s="70"/>
      <c r="X191" s="70"/>
      <c r="Y191" s="70"/>
      <c r="Z191" s="70"/>
    </row>
    <row r="192" spans="1:26" ht="15.75" customHeight="1">
      <c r="A192" s="71"/>
      <c r="B192" s="71"/>
      <c r="C192" s="70"/>
      <c r="D192" s="70"/>
      <c r="E192" s="73"/>
      <c r="F192" s="70"/>
      <c r="G192" s="70"/>
      <c r="H192" s="70"/>
      <c r="I192" s="70"/>
      <c r="J192" s="70"/>
      <c r="K192" s="70"/>
      <c r="L192" s="70"/>
      <c r="M192" s="70"/>
      <c r="N192" s="70"/>
      <c r="O192" s="70"/>
      <c r="P192" s="70"/>
      <c r="Q192" s="70"/>
      <c r="R192" s="70"/>
      <c r="S192" s="70"/>
      <c r="T192" s="70"/>
      <c r="U192" s="70"/>
      <c r="V192" s="70"/>
      <c r="W192" s="70"/>
      <c r="X192" s="70"/>
      <c r="Y192" s="70"/>
      <c r="Z192" s="70"/>
    </row>
    <row r="193" spans="1:26" ht="15.75" customHeight="1">
      <c r="A193" s="71"/>
      <c r="B193" s="71"/>
      <c r="C193" s="70"/>
      <c r="D193" s="70"/>
      <c r="E193" s="73"/>
      <c r="F193" s="70"/>
      <c r="G193" s="70"/>
      <c r="H193" s="70"/>
      <c r="I193" s="70"/>
      <c r="J193" s="70"/>
      <c r="K193" s="70"/>
      <c r="L193" s="70"/>
      <c r="M193" s="70"/>
      <c r="N193" s="70"/>
      <c r="O193" s="70"/>
      <c r="P193" s="70"/>
      <c r="Q193" s="70"/>
      <c r="R193" s="70"/>
      <c r="S193" s="70"/>
      <c r="T193" s="70"/>
      <c r="U193" s="70"/>
      <c r="V193" s="70"/>
      <c r="W193" s="70"/>
      <c r="X193" s="70"/>
      <c r="Y193" s="70"/>
      <c r="Z193" s="70"/>
    </row>
    <row r="194" spans="1:26" ht="15.75" customHeight="1">
      <c r="A194" s="71"/>
      <c r="B194" s="71"/>
      <c r="C194" s="70"/>
      <c r="D194" s="70"/>
      <c r="E194" s="73"/>
      <c r="F194" s="70"/>
      <c r="G194" s="70"/>
      <c r="H194" s="70"/>
      <c r="I194" s="70"/>
      <c r="J194" s="70"/>
      <c r="K194" s="70"/>
      <c r="L194" s="70"/>
      <c r="M194" s="70"/>
      <c r="N194" s="70"/>
      <c r="O194" s="70"/>
      <c r="P194" s="70"/>
      <c r="Q194" s="70"/>
      <c r="R194" s="70"/>
      <c r="S194" s="70"/>
      <c r="T194" s="70"/>
      <c r="U194" s="70"/>
      <c r="V194" s="70"/>
      <c r="W194" s="70"/>
      <c r="X194" s="70"/>
      <c r="Y194" s="70"/>
      <c r="Z194" s="70"/>
    </row>
    <row r="195" spans="1:26" ht="15.75" customHeight="1">
      <c r="A195" s="71"/>
      <c r="B195" s="71"/>
      <c r="C195" s="70"/>
      <c r="D195" s="70"/>
      <c r="E195" s="73"/>
      <c r="F195" s="70"/>
      <c r="G195" s="70"/>
      <c r="H195" s="70"/>
      <c r="I195" s="70"/>
      <c r="J195" s="70"/>
      <c r="K195" s="70"/>
      <c r="L195" s="70"/>
      <c r="M195" s="70"/>
      <c r="N195" s="70"/>
      <c r="O195" s="70"/>
      <c r="P195" s="70"/>
      <c r="Q195" s="70"/>
      <c r="R195" s="70"/>
      <c r="S195" s="70"/>
      <c r="T195" s="70"/>
      <c r="U195" s="70"/>
      <c r="V195" s="70"/>
      <c r="W195" s="70"/>
      <c r="X195" s="70"/>
      <c r="Y195" s="70"/>
      <c r="Z195" s="70"/>
    </row>
    <row r="196" spans="1:26" ht="15.75" customHeight="1">
      <c r="A196" s="71"/>
      <c r="B196" s="71"/>
      <c r="C196" s="70"/>
      <c r="D196" s="70"/>
      <c r="E196" s="73"/>
      <c r="F196" s="70"/>
      <c r="G196" s="70"/>
      <c r="H196" s="70"/>
      <c r="I196" s="70"/>
      <c r="J196" s="70"/>
      <c r="K196" s="70"/>
      <c r="L196" s="70"/>
      <c r="M196" s="70"/>
      <c r="N196" s="70"/>
      <c r="O196" s="70"/>
      <c r="P196" s="70"/>
      <c r="Q196" s="70"/>
      <c r="R196" s="70"/>
      <c r="S196" s="70"/>
      <c r="T196" s="70"/>
      <c r="U196" s="70"/>
      <c r="V196" s="70"/>
      <c r="W196" s="70"/>
      <c r="X196" s="70"/>
      <c r="Y196" s="70"/>
      <c r="Z196" s="70"/>
    </row>
    <row r="197" spans="1:26" ht="15.75" customHeight="1">
      <c r="A197" s="71"/>
      <c r="B197" s="71"/>
      <c r="C197" s="70"/>
      <c r="D197" s="70"/>
      <c r="E197" s="73"/>
      <c r="F197" s="70"/>
      <c r="G197" s="70"/>
      <c r="H197" s="70"/>
      <c r="I197" s="70"/>
      <c r="J197" s="70"/>
      <c r="K197" s="70"/>
      <c r="L197" s="70"/>
      <c r="M197" s="70"/>
      <c r="N197" s="70"/>
      <c r="O197" s="70"/>
      <c r="P197" s="70"/>
      <c r="Q197" s="70"/>
      <c r="R197" s="70"/>
      <c r="S197" s="70"/>
      <c r="T197" s="70"/>
      <c r="U197" s="70"/>
      <c r="V197" s="70"/>
      <c r="W197" s="70"/>
      <c r="X197" s="70"/>
      <c r="Y197" s="70"/>
      <c r="Z197" s="70"/>
    </row>
    <row r="198" spans="1:26" ht="15.75" customHeight="1">
      <c r="A198" s="71"/>
      <c r="B198" s="71"/>
      <c r="C198" s="70"/>
      <c r="D198" s="70"/>
      <c r="E198" s="73"/>
      <c r="F198" s="70"/>
      <c r="G198" s="70"/>
      <c r="H198" s="70"/>
      <c r="I198" s="70"/>
      <c r="J198" s="70"/>
      <c r="K198" s="70"/>
      <c r="L198" s="70"/>
      <c r="M198" s="70"/>
      <c r="N198" s="70"/>
      <c r="O198" s="70"/>
      <c r="P198" s="70"/>
      <c r="Q198" s="70"/>
      <c r="R198" s="70"/>
      <c r="S198" s="70"/>
      <c r="T198" s="70"/>
      <c r="U198" s="70"/>
      <c r="V198" s="70"/>
      <c r="W198" s="70"/>
      <c r="X198" s="70"/>
      <c r="Y198" s="70"/>
      <c r="Z198" s="70"/>
    </row>
    <row r="199" spans="1:26" ht="15.75" customHeight="1">
      <c r="A199" s="71"/>
      <c r="B199" s="71"/>
      <c r="C199" s="70"/>
      <c r="D199" s="70"/>
      <c r="E199" s="73"/>
      <c r="F199" s="70"/>
      <c r="G199" s="70"/>
      <c r="H199" s="70"/>
      <c r="I199" s="70"/>
      <c r="J199" s="70"/>
      <c r="K199" s="70"/>
      <c r="L199" s="70"/>
      <c r="M199" s="70"/>
      <c r="N199" s="70"/>
      <c r="O199" s="70"/>
      <c r="P199" s="70"/>
      <c r="Q199" s="70"/>
      <c r="R199" s="70"/>
      <c r="S199" s="70"/>
      <c r="T199" s="70"/>
      <c r="U199" s="70"/>
      <c r="V199" s="70"/>
      <c r="W199" s="70"/>
      <c r="X199" s="70"/>
      <c r="Y199" s="70"/>
      <c r="Z199" s="70"/>
    </row>
    <row r="200" spans="1:26" ht="15.75" customHeight="1">
      <c r="A200" s="71"/>
      <c r="B200" s="71"/>
      <c r="C200" s="70"/>
      <c r="D200" s="70"/>
      <c r="E200" s="73"/>
      <c r="F200" s="70"/>
      <c r="G200" s="70"/>
      <c r="H200" s="70"/>
      <c r="I200" s="70"/>
      <c r="J200" s="70"/>
      <c r="K200" s="70"/>
      <c r="L200" s="70"/>
      <c r="M200" s="70"/>
      <c r="N200" s="70"/>
      <c r="O200" s="70"/>
      <c r="P200" s="70"/>
      <c r="Q200" s="70"/>
      <c r="R200" s="70"/>
      <c r="S200" s="70"/>
      <c r="T200" s="70"/>
      <c r="U200" s="70"/>
      <c r="V200" s="70"/>
      <c r="W200" s="70"/>
      <c r="X200" s="70"/>
      <c r="Y200" s="70"/>
      <c r="Z200" s="70"/>
    </row>
    <row r="201" spans="1:26" ht="15.75" customHeight="1">
      <c r="A201" s="71"/>
      <c r="B201" s="71"/>
      <c r="C201" s="70"/>
      <c r="D201" s="70"/>
      <c r="E201" s="73"/>
      <c r="F201" s="70"/>
      <c r="G201" s="70"/>
      <c r="H201" s="70"/>
      <c r="I201" s="70"/>
      <c r="J201" s="70"/>
      <c r="K201" s="70"/>
      <c r="L201" s="70"/>
      <c r="M201" s="70"/>
      <c r="N201" s="70"/>
      <c r="O201" s="70"/>
      <c r="P201" s="70"/>
      <c r="Q201" s="70"/>
      <c r="R201" s="70"/>
      <c r="S201" s="70"/>
      <c r="T201" s="70"/>
      <c r="U201" s="70"/>
      <c r="V201" s="70"/>
      <c r="W201" s="70"/>
      <c r="X201" s="70"/>
      <c r="Y201" s="70"/>
      <c r="Z201" s="70"/>
    </row>
    <row r="202" spans="1:26" ht="15.75" customHeight="1">
      <c r="A202" s="71"/>
      <c r="B202" s="71"/>
      <c r="C202" s="70"/>
      <c r="D202" s="70"/>
      <c r="E202" s="73"/>
      <c r="F202" s="70"/>
      <c r="G202" s="70"/>
      <c r="H202" s="70"/>
      <c r="I202" s="70"/>
      <c r="J202" s="70"/>
      <c r="K202" s="70"/>
      <c r="L202" s="70"/>
      <c r="M202" s="70"/>
      <c r="N202" s="70"/>
      <c r="O202" s="70"/>
      <c r="P202" s="70"/>
      <c r="Q202" s="70"/>
      <c r="R202" s="70"/>
      <c r="S202" s="70"/>
      <c r="T202" s="70"/>
      <c r="U202" s="70"/>
      <c r="V202" s="70"/>
      <c r="W202" s="70"/>
      <c r="X202" s="70"/>
      <c r="Y202" s="70"/>
      <c r="Z202" s="70"/>
    </row>
    <row r="203" spans="1:26" ht="15.75" customHeight="1">
      <c r="A203" s="71"/>
      <c r="B203" s="71"/>
      <c r="C203" s="70"/>
      <c r="D203" s="70"/>
      <c r="E203" s="73"/>
      <c r="F203" s="70"/>
      <c r="G203" s="70"/>
      <c r="H203" s="70"/>
      <c r="I203" s="70"/>
      <c r="J203" s="70"/>
      <c r="K203" s="70"/>
      <c r="L203" s="70"/>
      <c r="M203" s="70"/>
      <c r="N203" s="70"/>
      <c r="O203" s="70"/>
      <c r="P203" s="70"/>
      <c r="Q203" s="70"/>
      <c r="R203" s="70"/>
      <c r="S203" s="70"/>
      <c r="T203" s="70"/>
      <c r="U203" s="70"/>
      <c r="V203" s="70"/>
      <c r="W203" s="70"/>
      <c r="X203" s="70"/>
      <c r="Y203" s="70"/>
      <c r="Z203" s="70"/>
    </row>
    <row r="204" spans="1:26" ht="15.75" customHeight="1">
      <c r="A204" s="71"/>
      <c r="B204" s="71"/>
      <c r="C204" s="70"/>
      <c r="D204" s="70"/>
      <c r="E204" s="73"/>
      <c r="F204" s="70"/>
      <c r="G204" s="70"/>
      <c r="H204" s="70"/>
      <c r="I204" s="70"/>
      <c r="J204" s="70"/>
      <c r="K204" s="70"/>
      <c r="L204" s="70"/>
      <c r="M204" s="70"/>
      <c r="N204" s="70"/>
      <c r="O204" s="70"/>
      <c r="P204" s="70"/>
      <c r="Q204" s="70"/>
      <c r="R204" s="70"/>
      <c r="S204" s="70"/>
      <c r="T204" s="70"/>
      <c r="U204" s="70"/>
      <c r="V204" s="70"/>
      <c r="W204" s="70"/>
      <c r="X204" s="70"/>
      <c r="Y204" s="70"/>
      <c r="Z204" s="70"/>
    </row>
    <row r="205" spans="1:26" ht="15.75" customHeight="1">
      <c r="A205" s="71"/>
      <c r="B205" s="71"/>
      <c r="C205" s="70"/>
      <c r="D205" s="70"/>
      <c r="E205" s="73"/>
      <c r="F205" s="70"/>
      <c r="G205" s="70"/>
      <c r="H205" s="70"/>
      <c r="I205" s="70"/>
      <c r="J205" s="70"/>
      <c r="K205" s="70"/>
      <c r="L205" s="70"/>
      <c r="M205" s="70"/>
      <c r="N205" s="70"/>
      <c r="O205" s="70"/>
      <c r="P205" s="70"/>
      <c r="Q205" s="70"/>
      <c r="R205" s="70"/>
      <c r="S205" s="70"/>
      <c r="T205" s="70"/>
      <c r="U205" s="70"/>
      <c r="V205" s="70"/>
      <c r="W205" s="70"/>
      <c r="X205" s="70"/>
      <c r="Y205" s="70"/>
      <c r="Z205" s="70"/>
    </row>
    <row r="206" spans="1:26" ht="15.75" customHeight="1">
      <c r="A206" s="71"/>
      <c r="B206" s="71"/>
      <c r="C206" s="70"/>
      <c r="D206" s="70"/>
      <c r="E206" s="73"/>
      <c r="F206" s="70"/>
      <c r="G206" s="70"/>
      <c r="H206" s="70"/>
      <c r="I206" s="70"/>
      <c r="J206" s="70"/>
      <c r="K206" s="70"/>
      <c r="L206" s="70"/>
      <c r="M206" s="70"/>
      <c r="N206" s="70"/>
      <c r="O206" s="70"/>
      <c r="P206" s="70"/>
      <c r="Q206" s="70"/>
      <c r="R206" s="70"/>
      <c r="S206" s="70"/>
      <c r="T206" s="70"/>
      <c r="U206" s="70"/>
      <c r="V206" s="70"/>
      <c r="W206" s="70"/>
      <c r="X206" s="70"/>
      <c r="Y206" s="70"/>
      <c r="Z206" s="70"/>
    </row>
    <row r="207" spans="1:26" ht="15.75" customHeight="1">
      <c r="A207" s="71"/>
      <c r="B207" s="71"/>
      <c r="C207" s="70"/>
      <c r="D207" s="70"/>
      <c r="E207" s="73"/>
      <c r="F207" s="70"/>
      <c r="G207" s="70"/>
      <c r="H207" s="70"/>
      <c r="I207" s="70"/>
      <c r="J207" s="70"/>
      <c r="K207" s="70"/>
      <c r="L207" s="70"/>
      <c r="M207" s="70"/>
      <c r="N207" s="70"/>
      <c r="O207" s="70"/>
      <c r="P207" s="70"/>
      <c r="Q207" s="70"/>
      <c r="R207" s="70"/>
      <c r="S207" s="70"/>
      <c r="T207" s="70"/>
      <c r="U207" s="70"/>
      <c r="V207" s="70"/>
      <c r="W207" s="70"/>
      <c r="X207" s="70"/>
      <c r="Y207" s="70"/>
      <c r="Z207" s="70"/>
    </row>
    <row r="208" spans="1:26" ht="15.75" customHeight="1">
      <c r="A208" s="71"/>
      <c r="B208" s="71"/>
      <c r="C208" s="70"/>
      <c r="D208" s="70"/>
      <c r="E208" s="73"/>
      <c r="F208" s="70"/>
      <c r="G208" s="70"/>
      <c r="H208" s="70"/>
      <c r="I208" s="70"/>
      <c r="J208" s="70"/>
      <c r="K208" s="70"/>
      <c r="L208" s="70"/>
      <c r="M208" s="70"/>
      <c r="N208" s="70"/>
      <c r="O208" s="70"/>
      <c r="P208" s="70"/>
      <c r="Q208" s="70"/>
      <c r="R208" s="70"/>
      <c r="S208" s="70"/>
      <c r="T208" s="70"/>
      <c r="U208" s="70"/>
      <c r="V208" s="70"/>
      <c r="W208" s="70"/>
      <c r="X208" s="70"/>
      <c r="Y208" s="70"/>
      <c r="Z208" s="70"/>
    </row>
    <row r="209" spans="1:26" ht="15.75" customHeight="1">
      <c r="A209" s="71"/>
      <c r="B209" s="71"/>
      <c r="C209" s="70"/>
      <c r="D209" s="70"/>
      <c r="E209" s="73"/>
      <c r="F209" s="70"/>
      <c r="G209" s="70"/>
      <c r="H209" s="70"/>
      <c r="I209" s="70"/>
      <c r="J209" s="70"/>
      <c r="K209" s="70"/>
      <c r="L209" s="70"/>
      <c r="M209" s="70"/>
      <c r="N209" s="70"/>
      <c r="O209" s="70"/>
      <c r="P209" s="70"/>
      <c r="Q209" s="70"/>
      <c r="R209" s="70"/>
      <c r="S209" s="70"/>
      <c r="T209" s="70"/>
      <c r="U209" s="70"/>
      <c r="V209" s="70"/>
      <c r="W209" s="70"/>
      <c r="X209" s="70"/>
      <c r="Y209" s="70"/>
      <c r="Z209" s="70"/>
    </row>
    <row r="210" spans="1:26" ht="15.75" customHeight="1">
      <c r="A210" s="71"/>
      <c r="B210" s="71"/>
      <c r="C210" s="70"/>
      <c r="D210" s="70"/>
      <c r="E210" s="73"/>
      <c r="F210" s="70"/>
      <c r="G210" s="70"/>
      <c r="H210" s="70"/>
      <c r="I210" s="70"/>
      <c r="J210" s="70"/>
      <c r="K210" s="70"/>
      <c r="L210" s="70"/>
      <c r="M210" s="70"/>
      <c r="N210" s="70"/>
      <c r="O210" s="70"/>
      <c r="P210" s="70"/>
      <c r="Q210" s="70"/>
      <c r="R210" s="70"/>
      <c r="S210" s="70"/>
      <c r="T210" s="70"/>
      <c r="U210" s="70"/>
      <c r="V210" s="70"/>
      <c r="W210" s="70"/>
      <c r="X210" s="70"/>
      <c r="Y210" s="70"/>
      <c r="Z210" s="70"/>
    </row>
    <row r="211" spans="1:26" ht="15.75" customHeight="1">
      <c r="A211" s="71"/>
      <c r="B211" s="71"/>
      <c r="C211" s="70"/>
      <c r="D211" s="70"/>
      <c r="E211" s="73"/>
      <c r="F211" s="70"/>
      <c r="G211" s="70"/>
      <c r="H211" s="70"/>
      <c r="I211" s="70"/>
      <c r="J211" s="70"/>
      <c r="K211" s="70"/>
      <c r="L211" s="70"/>
      <c r="M211" s="70"/>
      <c r="N211" s="70"/>
      <c r="O211" s="70"/>
      <c r="P211" s="70"/>
      <c r="Q211" s="70"/>
      <c r="R211" s="70"/>
      <c r="S211" s="70"/>
      <c r="T211" s="70"/>
      <c r="U211" s="70"/>
      <c r="V211" s="70"/>
      <c r="W211" s="70"/>
      <c r="X211" s="70"/>
      <c r="Y211" s="70"/>
      <c r="Z211" s="70"/>
    </row>
    <row r="212" spans="1:26" ht="15.75" customHeight="1">
      <c r="A212" s="71"/>
      <c r="B212" s="71"/>
      <c r="C212" s="70"/>
      <c r="D212" s="70"/>
      <c r="E212" s="73"/>
      <c r="F212" s="70"/>
      <c r="G212" s="70"/>
      <c r="H212" s="70"/>
      <c r="I212" s="70"/>
      <c r="J212" s="70"/>
      <c r="K212" s="70"/>
      <c r="L212" s="70"/>
      <c r="M212" s="70"/>
      <c r="N212" s="70"/>
      <c r="O212" s="70"/>
      <c r="P212" s="70"/>
      <c r="Q212" s="70"/>
      <c r="R212" s="70"/>
      <c r="S212" s="70"/>
      <c r="T212" s="70"/>
      <c r="U212" s="70"/>
      <c r="V212" s="70"/>
      <c r="W212" s="70"/>
      <c r="X212" s="70"/>
      <c r="Y212" s="70"/>
      <c r="Z212" s="70"/>
    </row>
    <row r="213" spans="1:26" ht="15.75" customHeight="1">
      <c r="A213" s="71"/>
      <c r="B213" s="71"/>
      <c r="C213" s="70"/>
      <c r="D213" s="70"/>
      <c r="E213" s="73"/>
      <c r="F213" s="70"/>
      <c r="G213" s="70"/>
      <c r="H213" s="70"/>
      <c r="I213" s="70"/>
      <c r="J213" s="70"/>
      <c r="K213" s="70"/>
      <c r="L213" s="70"/>
      <c r="M213" s="70"/>
      <c r="N213" s="70"/>
      <c r="O213" s="70"/>
      <c r="P213" s="70"/>
      <c r="Q213" s="70"/>
      <c r="R213" s="70"/>
      <c r="S213" s="70"/>
      <c r="T213" s="70"/>
      <c r="U213" s="70"/>
      <c r="V213" s="70"/>
      <c r="W213" s="70"/>
      <c r="X213" s="70"/>
      <c r="Y213" s="70"/>
      <c r="Z213" s="70"/>
    </row>
    <row r="214" spans="1:26" ht="15.75" customHeight="1">
      <c r="A214" s="71"/>
      <c r="B214" s="71"/>
      <c r="C214" s="70"/>
      <c r="D214" s="70"/>
      <c r="E214" s="73"/>
      <c r="F214" s="70"/>
      <c r="G214" s="70"/>
      <c r="H214" s="70"/>
      <c r="I214" s="70"/>
      <c r="J214" s="70"/>
      <c r="K214" s="70"/>
      <c r="L214" s="70"/>
      <c r="M214" s="70"/>
      <c r="N214" s="70"/>
      <c r="O214" s="70"/>
      <c r="P214" s="70"/>
      <c r="Q214" s="70"/>
      <c r="R214" s="70"/>
      <c r="S214" s="70"/>
      <c r="T214" s="70"/>
      <c r="U214" s="70"/>
      <c r="V214" s="70"/>
      <c r="W214" s="70"/>
      <c r="X214" s="70"/>
      <c r="Y214" s="70"/>
      <c r="Z214" s="70"/>
    </row>
    <row r="215" spans="1:26" ht="15.75" customHeight="1">
      <c r="A215" s="71"/>
      <c r="B215" s="71"/>
      <c r="C215" s="70"/>
      <c r="D215" s="70"/>
      <c r="E215" s="73"/>
      <c r="F215" s="70"/>
      <c r="G215" s="70"/>
      <c r="H215" s="70"/>
      <c r="I215" s="70"/>
      <c r="J215" s="70"/>
      <c r="K215" s="70"/>
      <c r="L215" s="70"/>
      <c r="M215" s="70"/>
      <c r="N215" s="70"/>
      <c r="O215" s="70"/>
      <c r="P215" s="70"/>
      <c r="Q215" s="70"/>
      <c r="R215" s="70"/>
      <c r="S215" s="70"/>
      <c r="T215" s="70"/>
      <c r="U215" s="70"/>
      <c r="V215" s="70"/>
      <c r="W215" s="70"/>
      <c r="X215" s="70"/>
      <c r="Y215" s="70"/>
      <c r="Z215" s="70"/>
    </row>
    <row r="216" spans="1:26" ht="15.75" customHeight="1">
      <c r="A216" s="71"/>
      <c r="B216" s="71"/>
      <c r="C216" s="70"/>
      <c r="D216" s="70"/>
      <c r="E216" s="73"/>
      <c r="F216" s="70"/>
      <c r="G216" s="70"/>
      <c r="H216" s="70"/>
      <c r="I216" s="70"/>
      <c r="J216" s="70"/>
      <c r="K216" s="70"/>
      <c r="L216" s="70"/>
      <c r="M216" s="70"/>
      <c r="N216" s="70"/>
      <c r="O216" s="70"/>
      <c r="P216" s="70"/>
      <c r="Q216" s="70"/>
      <c r="R216" s="70"/>
      <c r="S216" s="70"/>
      <c r="T216" s="70"/>
      <c r="U216" s="70"/>
      <c r="V216" s="70"/>
      <c r="W216" s="70"/>
      <c r="X216" s="70"/>
      <c r="Y216" s="70"/>
      <c r="Z216" s="70"/>
    </row>
    <row r="217" spans="1:26" ht="15.75" customHeight="1">
      <c r="A217" s="71"/>
      <c r="B217" s="71"/>
      <c r="C217" s="70"/>
      <c r="D217" s="70"/>
      <c r="E217" s="73"/>
      <c r="F217" s="70"/>
      <c r="G217" s="70"/>
      <c r="H217" s="70"/>
      <c r="I217" s="70"/>
      <c r="J217" s="70"/>
      <c r="K217" s="70"/>
      <c r="L217" s="70"/>
      <c r="M217" s="70"/>
      <c r="N217" s="70"/>
      <c r="O217" s="70"/>
      <c r="P217" s="70"/>
      <c r="Q217" s="70"/>
      <c r="R217" s="70"/>
      <c r="S217" s="70"/>
      <c r="T217" s="70"/>
      <c r="U217" s="70"/>
      <c r="V217" s="70"/>
      <c r="W217" s="70"/>
      <c r="X217" s="70"/>
      <c r="Y217" s="70"/>
      <c r="Z217" s="70"/>
    </row>
    <row r="218" spans="1:26" ht="15.75" customHeight="1">
      <c r="A218" s="71"/>
      <c r="B218" s="71"/>
      <c r="C218" s="70"/>
      <c r="D218" s="70"/>
      <c r="E218" s="73"/>
      <c r="F218" s="70"/>
      <c r="G218" s="70"/>
      <c r="H218" s="70"/>
      <c r="I218" s="70"/>
      <c r="J218" s="70"/>
      <c r="K218" s="70"/>
      <c r="L218" s="70"/>
      <c r="M218" s="70"/>
      <c r="N218" s="70"/>
      <c r="O218" s="70"/>
      <c r="P218" s="70"/>
      <c r="Q218" s="70"/>
      <c r="R218" s="70"/>
      <c r="S218" s="70"/>
      <c r="T218" s="70"/>
      <c r="U218" s="70"/>
      <c r="V218" s="70"/>
      <c r="W218" s="70"/>
      <c r="X218" s="70"/>
      <c r="Y218" s="70"/>
      <c r="Z218" s="70"/>
    </row>
    <row r="219" spans="1:26" ht="15.75" customHeight="1">
      <c r="A219" s="71"/>
      <c r="B219" s="71"/>
      <c r="C219" s="70"/>
      <c r="D219" s="70"/>
      <c r="E219" s="73"/>
      <c r="F219" s="70"/>
      <c r="G219" s="70"/>
      <c r="H219" s="70"/>
      <c r="I219" s="70"/>
      <c r="J219" s="70"/>
      <c r="K219" s="70"/>
      <c r="L219" s="70"/>
      <c r="M219" s="70"/>
      <c r="N219" s="70"/>
      <c r="O219" s="70"/>
      <c r="P219" s="70"/>
      <c r="Q219" s="70"/>
      <c r="R219" s="70"/>
      <c r="S219" s="70"/>
      <c r="T219" s="70"/>
      <c r="U219" s="70"/>
      <c r="V219" s="70"/>
      <c r="W219" s="70"/>
      <c r="X219" s="70"/>
      <c r="Y219" s="70"/>
      <c r="Z219" s="70"/>
    </row>
    <row r="220" spans="1:26" ht="15.75" customHeight="1">
      <c r="A220" s="71"/>
      <c r="B220" s="71"/>
      <c r="C220" s="70"/>
      <c r="D220" s="70"/>
      <c r="E220" s="73"/>
      <c r="F220" s="70"/>
      <c r="G220" s="70"/>
      <c r="H220" s="70"/>
      <c r="I220" s="70"/>
      <c r="J220" s="70"/>
      <c r="K220" s="70"/>
      <c r="L220" s="70"/>
      <c r="M220" s="70"/>
      <c r="N220" s="70"/>
      <c r="O220" s="70"/>
      <c r="P220" s="70"/>
      <c r="Q220" s="70"/>
      <c r="R220" s="70"/>
      <c r="S220" s="70"/>
      <c r="T220" s="70"/>
      <c r="U220" s="70"/>
      <c r="V220" s="70"/>
      <c r="W220" s="70"/>
      <c r="X220" s="70"/>
      <c r="Y220" s="70"/>
      <c r="Z220" s="70"/>
    </row>
    <row r="221" spans="1:26" ht="15.75" customHeight="1">
      <c r="A221" s="71"/>
      <c r="B221" s="71"/>
      <c r="C221" s="70"/>
      <c r="D221" s="70"/>
      <c r="E221" s="73"/>
      <c r="F221" s="70"/>
      <c r="G221" s="70"/>
      <c r="H221" s="70"/>
      <c r="I221" s="70"/>
      <c r="J221" s="70"/>
      <c r="K221" s="70"/>
      <c r="L221" s="70"/>
      <c r="M221" s="70"/>
      <c r="N221" s="70"/>
      <c r="O221" s="70"/>
      <c r="P221" s="70"/>
      <c r="Q221" s="70"/>
      <c r="R221" s="70"/>
      <c r="S221" s="70"/>
      <c r="T221" s="70"/>
      <c r="U221" s="70"/>
      <c r="V221" s="70"/>
      <c r="W221" s="70"/>
      <c r="X221" s="70"/>
      <c r="Y221" s="70"/>
      <c r="Z221" s="70"/>
    </row>
    <row r="222" spans="1:26" ht="15.75" customHeight="1">
      <c r="A222" s="71"/>
      <c r="B222" s="71"/>
      <c r="C222" s="70"/>
      <c r="D222" s="70"/>
      <c r="E222" s="73"/>
      <c r="F222" s="70"/>
      <c r="G222" s="70"/>
      <c r="H222" s="70"/>
      <c r="I222" s="70"/>
      <c r="J222" s="70"/>
      <c r="K222" s="70"/>
      <c r="L222" s="70"/>
      <c r="M222" s="70"/>
      <c r="N222" s="70"/>
      <c r="O222" s="70"/>
      <c r="P222" s="70"/>
      <c r="Q222" s="70"/>
      <c r="R222" s="70"/>
      <c r="S222" s="70"/>
      <c r="T222" s="70"/>
      <c r="U222" s="70"/>
      <c r="V222" s="70"/>
      <c r="W222" s="70"/>
      <c r="X222" s="70"/>
      <c r="Y222" s="70"/>
      <c r="Z222" s="70"/>
    </row>
    <row r="223" spans="1:26" ht="15.75" customHeight="1">
      <c r="A223" s="71"/>
      <c r="B223" s="71"/>
      <c r="C223" s="70"/>
      <c r="D223" s="70"/>
      <c r="E223" s="73"/>
      <c r="F223" s="70"/>
      <c r="G223" s="70"/>
      <c r="H223" s="70"/>
      <c r="I223" s="70"/>
      <c r="J223" s="70"/>
      <c r="K223" s="70"/>
      <c r="L223" s="70"/>
      <c r="M223" s="70"/>
      <c r="N223" s="70"/>
      <c r="O223" s="70"/>
      <c r="P223" s="70"/>
      <c r="Q223" s="70"/>
      <c r="R223" s="70"/>
      <c r="S223" s="70"/>
      <c r="T223" s="70"/>
      <c r="U223" s="70"/>
      <c r="V223" s="70"/>
      <c r="W223" s="70"/>
      <c r="X223" s="70"/>
      <c r="Y223" s="70"/>
      <c r="Z223" s="70"/>
    </row>
    <row r="224" spans="1:26" ht="15.75" customHeight="1">
      <c r="A224" s="71"/>
      <c r="B224" s="71"/>
      <c r="C224" s="70"/>
      <c r="D224" s="70"/>
      <c r="E224" s="73"/>
      <c r="F224" s="70"/>
      <c r="G224" s="70"/>
      <c r="H224" s="70"/>
      <c r="I224" s="70"/>
      <c r="J224" s="70"/>
      <c r="K224" s="70"/>
      <c r="L224" s="70"/>
      <c r="M224" s="70"/>
      <c r="N224" s="70"/>
      <c r="O224" s="70"/>
      <c r="P224" s="70"/>
      <c r="Q224" s="70"/>
      <c r="R224" s="70"/>
      <c r="S224" s="70"/>
      <c r="T224" s="70"/>
      <c r="U224" s="70"/>
      <c r="V224" s="70"/>
      <c r="W224" s="70"/>
      <c r="X224" s="70"/>
      <c r="Y224" s="70"/>
      <c r="Z224" s="70"/>
    </row>
    <row r="225" spans="1:26" ht="15.75" customHeight="1">
      <c r="A225" s="71"/>
      <c r="B225" s="71"/>
      <c r="C225" s="70"/>
      <c r="D225" s="70"/>
      <c r="E225" s="73"/>
      <c r="F225" s="70"/>
      <c r="G225" s="70"/>
      <c r="H225" s="70"/>
      <c r="I225" s="70"/>
      <c r="J225" s="70"/>
      <c r="K225" s="70"/>
      <c r="L225" s="70"/>
      <c r="M225" s="70"/>
      <c r="N225" s="70"/>
      <c r="O225" s="70"/>
      <c r="P225" s="70"/>
      <c r="Q225" s="70"/>
      <c r="R225" s="70"/>
      <c r="S225" s="70"/>
      <c r="T225" s="70"/>
      <c r="U225" s="70"/>
      <c r="V225" s="70"/>
      <c r="W225" s="70"/>
      <c r="X225" s="70"/>
      <c r="Y225" s="70"/>
      <c r="Z225" s="70"/>
    </row>
    <row r="226" spans="1:26" ht="15.75" customHeight="1">
      <c r="A226" s="71"/>
      <c r="B226" s="71"/>
      <c r="C226" s="70"/>
      <c r="D226" s="70"/>
      <c r="E226" s="73"/>
      <c r="F226" s="70"/>
      <c r="G226" s="70"/>
      <c r="H226" s="70"/>
      <c r="I226" s="70"/>
      <c r="J226" s="70"/>
      <c r="K226" s="70"/>
      <c r="L226" s="70"/>
      <c r="M226" s="70"/>
      <c r="N226" s="70"/>
      <c r="O226" s="70"/>
      <c r="P226" s="70"/>
      <c r="Q226" s="70"/>
      <c r="R226" s="70"/>
      <c r="S226" s="70"/>
      <c r="T226" s="70"/>
      <c r="U226" s="70"/>
      <c r="V226" s="70"/>
      <c r="W226" s="70"/>
      <c r="X226" s="70"/>
      <c r="Y226" s="70"/>
      <c r="Z226" s="70"/>
    </row>
    <row r="227" spans="1:26" ht="15.75" customHeight="1">
      <c r="A227" s="71"/>
      <c r="B227" s="71"/>
      <c r="C227" s="70"/>
      <c r="D227" s="70"/>
      <c r="E227" s="73"/>
      <c r="F227" s="70"/>
      <c r="G227" s="70"/>
      <c r="H227" s="70"/>
      <c r="I227" s="70"/>
      <c r="J227" s="70"/>
      <c r="K227" s="70"/>
      <c r="L227" s="70"/>
      <c r="M227" s="70"/>
      <c r="N227" s="70"/>
      <c r="O227" s="70"/>
      <c r="P227" s="70"/>
      <c r="Q227" s="70"/>
      <c r="R227" s="70"/>
      <c r="S227" s="70"/>
      <c r="T227" s="70"/>
      <c r="U227" s="70"/>
      <c r="V227" s="70"/>
      <c r="W227" s="70"/>
      <c r="X227" s="70"/>
      <c r="Y227" s="70"/>
      <c r="Z227" s="70"/>
    </row>
    <row r="228" spans="1:26" ht="15.75" customHeight="1">
      <c r="A228" s="71"/>
      <c r="B228" s="71"/>
      <c r="C228" s="70"/>
      <c r="D228" s="70"/>
      <c r="E228" s="73"/>
      <c r="F228" s="70"/>
      <c r="G228" s="70"/>
      <c r="H228" s="70"/>
      <c r="I228" s="70"/>
      <c r="J228" s="70"/>
      <c r="K228" s="70"/>
      <c r="L228" s="70"/>
      <c r="M228" s="70"/>
      <c r="N228" s="70"/>
      <c r="O228" s="70"/>
      <c r="P228" s="70"/>
      <c r="Q228" s="70"/>
      <c r="R228" s="70"/>
      <c r="S228" s="70"/>
      <c r="T228" s="70"/>
      <c r="U228" s="70"/>
      <c r="V228" s="70"/>
      <c r="W228" s="70"/>
      <c r="X228" s="70"/>
      <c r="Y228" s="70"/>
      <c r="Z228" s="70"/>
    </row>
    <row r="229" spans="1:26" ht="15.75" customHeight="1">
      <c r="A229" s="71"/>
      <c r="B229" s="71"/>
      <c r="C229" s="70"/>
      <c r="D229" s="70"/>
      <c r="E229" s="73"/>
      <c r="F229" s="70"/>
      <c r="G229" s="70"/>
      <c r="H229" s="70"/>
      <c r="I229" s="70"/>
      <c r="J229" s="70"/>
      <c r="K229" s="70"/>
      <c r="L229" s="70"/>
      <c r="M229" s="70"/>
      <c r="N229" s="70"/>
      <c r="O229" s="70"/>
      <c r="P229" s="70"/>
      <c r="Q229" s="70"/>
      <c r="R229" s="70"/>
      <c r="S229" s="70"/>
      <c r="T229" s="70"/>
      <c r="U229" s="70"/>
      <c r="V229" s="70"/>
      <c r="W229" s="70"/>
      <c r="X229" s="70"/>
      <c r="Y229" s="70"/>
      <c r="Z229" s="70"/>
    </row>
    <row r="230" spans="1:26" ht="15.75" customHeight="1">
      <c r="A230" s="71"/>
      <c r="B230" s="71"/>
      <c r="C230" s="70"/>
      <c r="D230" s="70"/>
      <c r="E230" s="73"/>
      <c r="F230" s="70"/>
      <c r="G230" s="70"/>
      <c r="H230" s="70"/>
      <c r="I230" s="70"/>
      <c r="J230" s="70"/>
      <c r="K230" s="70"/>
      <c r="L230" s="70"/>
      <c r="M230" s="70"/>
      <c r="N230" s="70"/>
      <c r="O230" s="70"/>
      <c r="P230" s="70"/>
      <c r="Q230" s="70"/>
      <c r="R230" s="70"/>
      <c r="S230" s="70"/>
      <c r="T230" s="70"/>
      <c r="U230" s="70"/>
      <c r="V230" s="70"/>
      <c r="W230" s="70"/>
      <c r="X230" s="70"/>
      <c r="Y230" s="70"/>
      <c r="Z230" s="70"/>
    </row>
    <row r="231" spans="1:26" ht="15.75" customHeight="1">
      <c r="A231" s="71"/>
      <c r="B231" s="71"/>
      <c r="C231" s="70"/>
      <c r="D231" s="70"/>
      <c r="E231" s="73"/>
      <c r="F231" s="70"/>
      <c r="G231" s="70"/>
      <c r="H231" s="70"/>
      <c r="I231" s="70"/>
      <c r="J231" s="70"/>
      <c r="K231" s="70"/>
      <c r="L231" s="70"/>
      <c r="M231" s="70"/>
      <c r="N231" s="70"/>
      <c r="O231" s="70"/>
      <c r="P231" s="70"/>
      <c r="Q231" s="70"/>
      <c r="R231" s="70"/>
      <c r="S231" s="70"/>
      <c r="T231" s="70"/>
      <c r="U231" s="70"/>
      <c r="V231" s="70"/>
      <c r="W231" s="70"/>
      <c r="X231" s="70"/>
      <c r="Y231" s="70"/>
      <c r="Z231" s="70"/>
    </row>
    <row r="232" spans="1:26" ht="15.75" customHeight="1">
      <c r="A232" s="71"/>
      <c r="B232" s="71"/>
      <c r="C232" s="70"/>
      <c r="D232" s="70"/>
      <c r="E232" s="73"/>
      <c r="F232" s="70"/>
      <c r="G232" s="70"/>
      <c r="H232" s="70"/>
      <c r="I232" s="70"/>
      <c r="J232" s="70"/>
      <c r="K232" s="70"/>
      <c r="L232" s="70"/>
      <c r="M232" s="70"/>
      <c r="N232" s="70"/>
      <c r="O232" s="70"/>
      <c r="P232" s="70"/>
      <c r="Q232" s="70"/>
      <c r="R232" s="70"/>
      <c r="S232" s="70"/>
      <c r="T232" s="70"/>
      <c r="U232" s="70"/>
      <c r="V232" s="70"/>
      <c r="W232" s="70"/>
      <c r="X232" s="70"/>
      <c r="Y232" s="70"/>
      <c r="Z232" s="70"/>
    </row>
    <row r="233" spans="1:26" ht="15.75" customHeight="1">
      <c r="A233" s="71"/>
      <c r="B233" s="71"/>
      <c r="C233" s="70"/>
      <c r="D233" s="70"/>
      <c r="E233" s="73"/>
      <c r="F233" s="70"/>
      <c r="G233" s="70"/>
      <c r="H233" s="70"/>
      <c r="I233" s="70"/>
      <c r="J233" s="70"/>
      <c r="K233" s="70"/>
      <c r="L233" s="70"/>
      <c r="M233" s="70"/>
      <c r="N233" s="70"/>
      <c r="O233" s="70"/>
      <c r="P233" s="70"/>
      <c r="Q233" s="70"/>
      <c r="R233" s="70"/>
      <c r="S233" s="70"/>
      <c r="T233" s="70"/>
      <c r="U233" s="70"/>
      <c r="V233" s="70"/>
      <c r="W233" s="70"/>
      <c r="X233" s="70"/>
      <c r="Y233" s="70"/>
      <c r="Z233" s="70"/>
    </row>
    <row r="234" spans="1:26" ht="15.75" customHeight="1">
      <c r="A234" s="71"/>
      <c r="B234" s="71"/>
      <c r="C234" s="70"/>
      <c r="D234" s="70"/>
      <c r="E234" s="73"/>
      <c r="F234" s="70"/>
      <c r="G234" s="70"/>
      <c r="H234" s="70"/>
      <c r="I234" s="70"/>
      <c r="J234" s="70"/>
      <c r="K234" s="70"/>
      <c r="L234" s="70"/>
      <c r="M234" s="70"/>
      <c r="N234" s="70"/>
      <c r="O234" s="70"/>
      <c r="P234" s="70"/>
      <c r="Q234" s="70"/>
      <c r="R234" s="70"/>
      <c r="S234" s="70"/>
      <c r="T234" s="70"/>
      <c r="U234" s="70"/>
      <c r="V234" s="70"/>
      <c r="W234" s="70"/>
      <c r="X234" s="70"/>
      <c r="Y234" s="70"/>
      <c r="Z234" s="70"/>
    </row>
    <row r="235" spans="1:26" ht="15.75" customHeight="1">
      <c r="A235" s="71"/>
      <c r="B235" s="71"/>
      <c r="C235" s="70"/>
      <c r="D235" s="70"/>
      <c r="E235" s="73"/>
      <c r="F235" s="70"/>
      <c r="G235" s="70"/>
      <c r="H235" s="70"/>
      <c r="I235" s="70"/>
      <c r="J235" s="70"/>
      <c r="K235" s="70"/>
      <c r="L235" s="70"/>
      <c r="M235" s="70"/>
      <c r="N235" s="70"/>
      <c r="O235" s="70"/>
      <c r="P235" s="70"/>
      <c r="Q235" s="70"/>
      <c r="R235" s="70"/>
      <c r="S235" s="70"/>
      <c r="T235" s="70"/>
      <c r="U235" s="70"/>
      <c r="V235" s="70"/>
      <c r="W235" s="70"/>
      <c r="X235" s="70"/>
      <c r="Y235" s="70"/>
      <c r="Z235" s="70"/>
    </row>
    <row r="236" spans="1:26" ht="15.75" customHeight="1">
      <c r="A236" s="71"/>
      <c r="B236" s="71"/>
      <c r="C236" s="70"/>
      <c r="D236" s="70"/>
      <c r="E236" s="73"/>
      <c r="F236" s="70"/>
      <c r="G236" s="70"/>
      <c r="H236" s="70"/>
      <c r="I236" s="70"/>
      <c r="J236" s="70"/>
      <c r="K236" s="70"/>
      <c r="L236" s="70"/>
      <c r="M236" s="70"/>
      <c r="N236" s="70"/>
      <c r="O236" s="70"/>
      <c r="P236" s="70"/>
      <c r="Q236" s="70"/>
      <c r="R236" s="70"/>
      <c r="S236" s="70"/>
      <c r="T236" s="70"/>
      <c r="U236" s="70"/>
      <c r="V236" s="70"/>
      <c r="W236" s="70"/>
      <c r="X236" s="70"/>
      <c r="Y236" s="70"/>
      <c r="Z236" s="70"/>
    </row>
    <row r="237" spans="1:26" ht="15.75" customHeight="1">
      <c r="A237" s="71"/>
      <c r="B237" s="71"/>
      <c r="C237" s="70"/>
      <c r="D237" s="70"/>
      <c r="E237" s="73"/>
      <c r="F237" s="70"/>
      <c r="G237" s="70"/>
      <c r="H237" s="70"/>
      <c r="I237" s="70"/>
      <c r="J237" s="70"/>
      <c r="K237" s="70"/>
      <c r="L237" s="70"/>
      <c r="M237" s="70"/>
      <c r="N237" s="70"/>
      <c r="O237" s="70"/>
      <c r="P237" s="70"/>
      <c r="Q237" s="70"/>
      <c r="R237" s="70"/>
      <c r="S237" s="70"/>
      <c r="T237" s="70"/>
      <c r="U237" s="70"/>
      <c r="V237" s="70"/>
      <c r="W237" s="70"/>
      <c r="X237" s="70"/>
      <c r="Y237" s="70"/>
      <c r="Z237" s="70"/>
    </row>
    <row r="238" spans="1:26" ht="15.75" customHeight="1">
      <c r="A238" s="71"/>
      <c r="B238" s="71"/>
      <c r="C238" s="70"/>
      <c r="D238" s="70"/>
      <c r="E238" s="73"/>
      <c r="F238" s="70"/>
      <c r="G238" s="70"/>
      <c r="H238" s="70"/>
      <c r="I238" s="70"/>
      <c r="J238" s="70"/>
      <c r="K238" s="70"/>
      <c r="L238" s="70"/>
      <c r="M238" s="70"/>
      <c r="N238" s="70"/>
      <c r="O238" s="70"/>
      <c r="P238" s="70"/>
      <c r="Q238" s="70"/>
      <c r="R238" s="70"/>
      <c r="S238" s="70"/>
      <c r="T238" s="70"/>
      <c r="U238" s="70"/>
      <c r="V238" s="70"/>
      <c r="W238" s="70"/>
      <c r="X238" s="70"/>
      <c r="Y238" s="70"/>
      <c r="Z238" s="70"/>
    </row>
    <row r="239" spans="1:26" ht="15.75" customHeight="1">
      <c r="A239" s="71"/>
      <c r="B239" s="71"/>
      <c r="C239" s="70"/>
      <c r="D239" s="70"/>
      <c r="E239" s="73"/>
      <c r="F239" s="70"/>
      <c r="G239" s="70"/>
      <c r="H239" s="70"/>
      <c r="I239" s="70"/>
      <c r="J239" s="70"/>
      <c r="K239" s="70"/>
      <c r="L239" s="70"/>
      <c r="M239" s="70"/>
      <c r="N239" s="70"/>
      <c r="O239" s="70"/>
      <c r="P239" s="70"/>
      <c r="Q239" s="70"/>
      <c r="R239" s="70"/>
      <c r="S239" s="70"/>
      <c r="T239" s="70"/>
      <c r="U239" s="70"/>
      <c r="V239" s="70"/>
      <c r="W239" s="70"/>
      <c r="X239" s="70"/>
      <c r="Y239" s="70"/>
      <c r="Z239" s="70"/>
    </row>
    <row r="240" spans="1:26" ht="15.75" customHeight="1">
      <c r="A240" s="71"/>
      <c r="B240" s="71"/>
      <c r="C240" s="70"/>
      <c r="D240" s="70"/>
      <c r="E240" s="73"/>
      <c r="F240" s="70"/>
      <c r="G240" s="70"/>
      <c r="H240" s="70"/>
      <c r="I240" s="70"/>
      <c r="J240" s="70"/>
      <c r="K240" s="70"/>
      <c r="L240" s="70"/>
      <c r="M240" s="70"/>
      <c r="N240" s="70"/>
      <c r="O240" s="70"/>
      <c r="P240" s="70"/>
      <c r="Q240" s="70"/>
      <c r="R240" s="70"/>
      <c r="S240" s="70"/>
      <c r="T240" s="70"/>
      <c r="U240" s="70"/>
      <c r="V240" s="70"/>
      <c r="W240" s="70"/>
      <c r="X240" s="70"/>
      <c r="Y240" s="70"/>
      <c r="Z240" s="70"/>
    </row>
    <row r="241" spans="1:26" ht="15.75" customHeight="1">
      <c r="A241" s="71"/>
      <c r="B241" s="71"/>
      <c r="C241" s="70"/>
      <c r="D241" s="70"/>
      <c r="E241" s="73"/>
      <c r="F241" s="70"/>
      <c r="G241" s="70"/>
      <c r="H241" s="70"/>
      <c r="I241" s="70"/>
      <c r="J241" s="70"/>
      <c r="K241" s="70"/>
      <c r="L241" s="70"/>
      <c r="M241" s="70"/>
      <c r="N241" s="70"/>
      <c r="O241" s="70"/>
      <c r="P241" s="70"/>
      <c r="Q241" s="70"/>
      <c r="R241" s="70"/>
      <c r="S241" s="70"/>
      <c r="T241" s="70"/>
      <c r="U241" s="70"/>
      <c r="V241" s="70"/>
      <c r="W241" s="70"/>
      <c r="X241" s="70"/>
      <c r="Y241" s="70"/>
      <c r="Z241" s="70"/>
    </row>
    <row r="242" spans="1:26" ht="15.75" customHeight="1">
      <c r="A242" s="71"/>
      <c r="B242" s="71"/>
      <c r="C242" s="70"/>
      <c r="D242" s="70"/>
      <c r="E242" s="73"/>
      <c r="F242" s="70"/>
      <c r="G242" s="70"/>
      <c r="H242" s="70"/>
      <c r="I242" s="70"/>
      <c r="J242" s="70"/>
      <c r="K242" s="70"/>
      <c r="L242" s="70"/>
      <c r="M242" s="70"/>
      <c r="N242" s="70"/>
      <c r="O242" s="70"/>
      <c r="P242" s="70"/>
      <c r="Q242" s="70"/>
      <c r="R242" s="70"/>
      <c r="S242" s="70"/>
      <c r="T242" s="70"/>
      <c r="U242" s="70"/>
      <c r="V242" s="70"/>
      <c r="W242" s="70"/>
      <c r="X242" s="70"/>
      <c r="Y242" s="70"/>
      <c r="Z242" s="70"/>
    </row>
    <row r="243" spans="1:26" ht="15.75" customHeight="1">
      <c r="A243" s="71"/>
      <c r="B243" s="71"/>
      <c r="C243" s="70"/>
      <c r="D243" s="70"/>
      <c r="E243" s="73"/>
      <c r="F243" s="70"/>
      <c r="G243" s="70"/>
      <c r="H243" s="70"/>
      <c r="I243" s="70"/>
      <c r="J243" s="70"/>
      <c r="K243" s="70"/>
      <c r="L243" s="70"/>
      <c r="M243" s="70"/>
      <c r="N243" s="70"/>
      <c r="O243" s="70"/>
      <c r="P243" s="70"/>
      <c r="Q243" s="70"/>
      <c r="R243" s="70"/>
      <c r="S243" s="70"/>
      <c r="T243" s="70"/>
      <c r="U243" s="70"/>
      <c r="V243" s="70"/>
      <c r="W243" s="70"/>
      <c r="X243" s="70"/>
      <c r="Y243" s="70"/>
      <c r="Z243" s="70"/>
    </row>
    <row r="244" spans="1:26" ht="15.75" customHeight="1">
      <c r="A244" s="71"/>
      <c r="B244" s="71"/>
      <c r="C244" s="70"/>
      <c r="D244" s="70"/>
      <c r="E244" s="73"/>
      <c r="F244" s="70"/>
      <c r="G244" s="70"/>
      <c r="H244" s="70"/>
      <c r="I244" s="70"/>
      <c r="J244" s="70"/>
      <c r="K244" s="70"/>
      <c r="L244" s="70"/>
      <c r="M244" s="70"/>
      <c r="N244" s="70"/>
      <c r="O244" s="70"/>
      <c r="P244" s="70"/>
      <c r="Q244" s="70"/>
      <c r="R244" s="70"/>
      <c r="S244" s="70"/>
      <c r="T244" s="70"/>
      <c r="U244" s="70"/>
      <c r="V244" s="70"/>
      <c r="W244" s="70"/>
      <c r="X244" s="70"/>
      <c r="Y244" s="70"/>
      <c r="Z244" s="70"/>
    </row>
    <row r="245" spans="1:26" ht="15.75" customHeight="1">
      <c r="A245" s="71"/>
      <c r="B245" s="71"/>
      <c r="C245" s="70"/>
      <c r="D245" s="70"/>
      <c r="E245" s="73"/>
      <c r="F245" s="70"/>
      <c r="G245" s="70"/>
      <c r="H245" s="70"/>
      <c r="I245" s="70"/>
      <c r="J245" s="70"/>
      <c r="K245" s="70"/>
      <c r="L245" s="70"/>
      <c r="M245" s="70"/>
      <c r="N245" s="70"/>
      <c r="O245" s="70"/>
      <c r="P245" s="70"/>
      <c r="Q245" s="70"/>
      <c r="R245" s="70"/>
      <c r="S245" s="70"/>
      <c r="T245" s="70"/>
      <c r="U245" s="70"/>
      <c r="V245" s="70"/>
      <c r="W245" s="70"/>
      <c r="X245" s="70"/>
      <c r="Y245" s="70"/>
      <c r="Z245" s="70"/>
    </row>
    <row r="246" spans="1:26" ht="15.75" customHeight="1">
      <c r="A246" s="71"/>
      <c r="B246" s="71"/>
      <c r="C246" s="70"/>
      <c r="D246" s="70"/>
      <c r="E246" s="73"/>
      <c r="F246" s="70"/>
      <c r="G246" s="70"/>
      <c r="H246" s="70"/>
      <c r="I246" s="70"/>
      <c r="J246" s="70"/>
      <c r="K246" s="70"/>
      <c r="L246" s="70"/>
      <c r="M246" s="70"/>
      <c r="N246" s="70"/>
      <c r="O246" s="70"/>
      <c r="P246" s="70"/>
      <c r="Q246" s="70"/>
      <c r="R246" s="70"/>
      <c r="S246" s="70"/>
      <c r="T246" s="70"/>
      <c r="U246" s="70"/>
      <c r="V246" s="70"/>
      <c r="W246" s="70"/>
      <c r="X246" s="70"/>
      <c r="Y246" s="70"/>
      <c r="Z246" s="70"/>
    </row>
    <row r="247" spans="1:26" ht="15.75" customHeight="1">
      <c r="A247" s="71"/>
      <c r="B247" s="71"/>
      <c r="C247" s="70"/>
      <c r="D247" s="70"/>
      <c r="E247" s="73"/>
      <c r="F247" s="70"/>
      <c r="G247" s="70"/>
      <c r="H247" s="70"/>
      <c r="I247" s="70"/>
      <c r="J247" s="70"/>
      <c r="K247" s="70"/>
      <c r="L247" s="70"/>
      <c r="M247" s="70"/>
      <c r="N247" s="70"/>
      <c r="O247" s="70"/>
      <c r="P247" s="70"/>
      <c r="Q247" s="70"/>
      <c r="R247" s="70"/>
      <c r="S247" s="70"/>
      <c r="T247" s="70"/>
      <c r="U247" s="70"/>
      <c r="V247" s="70"/>
      <c r="W247" s="70"/>
      <c r="X247" s="70"/>
      <c r="Y247" s="70"/>
      <c r="Z247" s="70"/>
    </row>
    <row r="248" spans="1:26" ht="15.75" customHeight="1">
      <c r="A248" s="71"/>
      <c r="B248" s="71"/>
      <c r="C248" s="70"/>
      <c r="D248" s="70"/>
      <c r="E248" s="73"/>
      <c r="F248" s="70"/>
      <c r="G248" s="70"/>
      <c r="H248" s="70"/>
      <c r="I248" s="70"/>
      <c r="J248" s="70"/>
      <c r="K248" s="70"/>
      <c r="L248" s="70"/>
      <c r="M248" s="70"/>
      <c r="N248" s="70"/>
      <c r="O248" s="70"/>
      <c r="P248" s="70"/>
      <c r="Q248" s="70"/>
      <c r="R248" s="70"/>
      <c r="S248" s="70"/>
      <c r="T248" s="70"/>
      <c r="U248" s="70"/>
      <c r="V248" s="70"/>
      <c r="W248" s="70"/>
      <c r="X248" s="70"/>
      <c r="Y248" s="70"/>
      <c r="Z248" s="70"/>
    </row>
    <row r="249" spans="1:26" ht="15.75" customHeight="1">
      <c r="A249" s="71"/>
      <c r="B249" s="71"/>
      <c r="C249" s="70"/>
      <c r="D249" s="70"/>
      <c r="E249" s="73"/>
      <c r="F249" s="70"/>
      <c r="G249" s="70"/>
      <c r="H249" s="70"/>
      <c r="I249" s="70"/>
      <c r="J249" s="70"/>
      <c r="K249" s="70"/>
      <c r="L249" s="70"/>
      <c r="M249" s="70"/>
      <c r="N249" s="70"/>
      <c r="O249" s="70"/>
      <c r="P249" s="70"/>
      <c r="Q249" s="70"/>
      <c r="R249" s="70"/>
      <c r="S249" s="70"/>
      <c r="T249" s="70"/>
      <c r="U249" s="70"/>
      <c r="V249" s="70"/>
      <c r="W249" s="70"/>
      <c r="X249" s="70"/>
      <c r="Y249" s="70"/>
      <c r="Z249" s="70"/>
    </row>
    <row r="250" spans="1:26" ht="15.75" customHeight="1">
      <c r="A250" s="71"/>
      <c r="B250" s="71"/>
      <c r="C250" s="70"/>
      <c r="D250" s="70"/>
      <c r="E250" s="73"/>
      <c r="F250" s="70"/>
      <c r="G250" s="70"/>
      <c r="H250" s="70"/>
      <c r="I250" s="70"/>
      <c r="J250" s="70"/>
      <c r="K250" s="70"/>
      <c r="L250" s="70"/>
      <c r="M250" s="70"/>
      <c r="N250" s="70"/>
      <c r="O250" s="70"/>
      <c r="P250" s="70"/>
      <c r="Q250" s="70"/>
      <c r="R250" s="70"/>
      <c r="S250" s="70"/>
      <c r="T250" s="70"/>
      <c r="U250" s="70"/>
      <c r="V250" s="70"/>
      <c r="W250" s="70"/>
      <c r="X250" s="70"/>
      <c r="Y250" s="70"/>
      <c r="Z250" s="70"/>
    </row>
    <row r="251" spans="1:26" ht="15.75" customHeight="1">
      <c r="A251" s="71"/>
      <c r="B251" s="71"/>
      <c r="C251" s="70"/>
      <c r="D251" s="70"/>
      <c r="E251" s="73"/>
      <c r="F251" s="70"/>
      <c r="G251" s="70"/>
      <c r="H251" s="70"/>
      <c r="I251" s="70"/>
      <c r="J251" s="70"/>
      <c r="K251" s="70"/>
      <c r="L251" s="70"/>
      <c r="M251" s="70"/>
      <c r="N251" s="70"/>
      <c r="O251" s="70"/>
      <c r="P251" s="70"/>
      <c r="Q251" s="70"/>
      <c r="R251" s="70"/>
      <c r="S251" s="70"/>
      <c r="T251" s="70"/>
      <c r="U251" s="70"/>
      <c r="V251" s="70"/>
      <c r="W251" s="70"/>
      <c r="X251" s="70"/>
      <c r="Y251" s="70"/>
      <c r="Z251" s="70"/>
    </row>
    <row r="252" spans="1:26" ht="15.75" customHeight="1">
      <c r="A252" s="71"/>
      <c r="B252" s="71"/>
      <c r="C252" s="70"/>
      <c r="D252" s="70"/>
      <c r="E252" s="73"/>
      <c r="F252" s="70"/>
      <c r="G252" s="70"/>
      <c r="H252" s="70"/>
      <c r="I252" s="70"/>
      <c r="J252" s="70"/>
      <c r="K252" s="70"/>
      <c r="L252" s="70"/>
      <c r="M252" s="70"/>
      <c r="N252" s="70"/>
      <c r="O252" s="70"/>
      <c r="P252" s="70"/>
      <c r="Q252" s="70"/>
      <c r="R252" s="70"/>
      <c r="S252" s="70"/>
      <c r="T252" s="70"/>
      <c r="U252" s="70"/>
      <c r="V252" s="70"/>
      <c r="W252" s="70"/>
      <c r="X252" s="70"/>
      <c r="Y252" s="70"/>
      <c r="Z252" s="70"/>
    </row>
    <row r="253" spans="1:26" ht="15.75" customHeight="1">
      <c r="A253" s="71"/>
      <c r="B253" s="71"/>
      <c r="C253" s="70"/>
      <c r="D253" s="70"/>
      <c r="E253" s="73"/>
      <c r="F253" s="70"/>
      <c r="G253" s="70"/>
      <c r="H253" s="70"/>
      <c r="I253" s="70"/>
      <c r="J253" s="70"/>
      <c r="K253" s="70"/>
      <c r="L253" s="70"/>
      <c r="M253" s="70"/>
      <c r="N253" s="70"/>
      <c r="O253" s="70"/>
      <c r="P253" s="70"/>
      <c r="Q253" s="70"/>
      <c r="R253" s="70"/>
      <c r="S253" s="70"/>
      <c r="T253" s="70"/>
      <c r="U253" s="70"/>
      <c r="V253" s="70"/>
      <c r="W253" s="70"/>
      <c r="X253" s="70"/>
      <c r="Y253" s="70"/>
      <c r="Z253" s="70"/>
    </row>
    <row r="254" spans="1:26" ht="15.75" customHeight="1">
      <c r="A254" s="71"/>
      <c r="B254" s="71"/>
      <c r="C254" s="70"/>
      <c r="D254" s="70"/>
      <c r="E254" s="73"/>
      <c r="F254" s="70"/>
      <c r="G254" s="70"/>
      <c r="H254" s="70"/>
      <c r="I254" s="70"/>
      <c r="J254" s="70"/>
      <c r="K254" s="70"/>
      <c r="L254" s="70"/>
      <c r="M254" s="70"/>
      <c r="N254" s="70"/>
      <c r="O254" s="70"/>
      <c r="P254" s="70"/>
      <c r="Q254" s="70"/>
      <c r="R254" s="70"/>
      <c r="S254" s="70"/>
      <c r="T254" s="70"/>
      <c r="U254" s="70"/>
      <c r="V254" s="70"/>
      <c r="W254" s="70"/>
      <c r="X254" s="70"/>
      <c r="Y254" s="70"/>
      <c r="Z254" s="70"/>
    </row>
    <row r="255" spans="1:26" ht="15.75" customHeight="1">
      <c r="A255" s="71"/>
      <c r="B255" s="71"/>
      <c r="C255" s="70"/>
      <c r="D255" s="70"/>
      <c r="E255" s="73"/>
      <c r="F255" s="70"/>
      <c r="G255" s="70"/>
      <c r="H255" s="70"/>
      <c r="I255" s="70"/>
      <c r="J255" s="70"/>
      <c r="K255" s="70"/>
      <c r="L255" s="70"/>
      <c r="M255" s="70"/>
      <c r="N255" s="70"/>
      <c r="O255" s="70"/>
      <c r="P255" s="70"/>
      <c r="Q255" s="70"/>
      <c r="R255" s="70"/>
      <c r="S255" s="70"/>
      <c r="T255" s="70"/>
      <c r="U255" s="70"/>
      <c r="V255" s="70"/>
      <c r="W255" s="70"/>
      <c r="X255" s="70"/>
      <c r="Y255" s="70"/>
      <c r="Z255" s="70"/>
    </row>
    <row r="256" spans="1:26" ht="15.75" customHeight="1">
      <c r="A256" s="71"/>
      <c r="B256" s="71"/>
      <c r="C256" s="70"/>
      <c r="D256" s="70"/>
      <c r="E256" s="73"/>
      <c r="F256" s="70"/>
      <c r="G256" s="70"/>
      <c r="H256" s="70"/>
      <c r="I256" s="70"/>
      <c r="J256" s="70"/>
      <c r="K256" s="70"/>
      <c r="L256" s="70"/>
      <c r="M256" s="70"/>
      <c r="N256" s="70"/>
      <c r="O256" s="70"/>
      <c r="P256" s="70"/>
      <c r="Q256" s="70"/>
      <c r="R256" s="70"/>
      <c r="S256" s="70"/>
      <c r="T256" s="70"/>
      <c r="U256" s="70"/>
      <c r="V256" s="70"/>
      <c r="W256" s="70"/>
      <c r="X256" s="70"/>
      <c r="Y256" s="70"/>
      <c r="Z256" s="70"/>
    </row>
    <row r="257" spans="1:26" ht="15.75" customHeight="1">
      <c r="A257" s="71"/>
      <c r="B257" s="71"/>
      <c r="C257" s="70"/>
      <c r="D257" s="70"/>
      <c r="E257" s="73"/>
      <c r="F257" s="70"/>
      <c r="G257" s="70"/>
      <c r="H257" s="70"/>
      <c r="I257" s="70"/>
      <c r="J257" s="70"/>
      <c r="K257" s="70"/>
      <c r="L257" s="70"/>
      <c r="M257" s="70"/>
      <c r="N257" s="70"/>
      <c r="O257" s="70"/>
      <c r="P257" s="70"/>
      <c r="Q257" s="70"/>
      <c r="R257" s="70"/>
      <c r="S257" s="70"/>
      <c r="T257" s="70"/>
      <c r="U257" s="70"/>
      <c r="V257" s="70"/>
      <c r="W257" s="70"/>
      <c r="X257" s="70"/>
      <c r="Y257" s="70"/>
      <c r="Z257" s="70"/>
    </row>
    <row r="258" spans="1:26" ht="15.75" customHeight="1">
      <c r="A258" s="71"/>
      <c r="B258" s="71"/>
      <c r="C258" s="70"/>
      <c r="D258" s="70"/>
      <c r="E258" s="73"/>
      <c r="F258" s="70"/>
      <c r="G258" s="70"/>
      <c r="H258" s="70"/>
      <c r="I258" s="70"/>
      <c r="J258" s="70"/>
      <c r="K258" s="70"/>
      <c r="L258" s="70"/>
      <c r="M258" s="70"/>
      <c r="N258" s="70"/>
      <c r="O258" s="70"/>
      <c r="P258" s="70"/>
      <c r="Q258" s="70"/>
      <c r="R258" s="70"/>
      <c r="S258" s="70"/>
      <c r="T258" s="70"/>
      <c r="U258" s="70"/>
      <c r="V258" s="70"/>
      <c r="W258" s="70"/>
      <c r="X258" s="70"/>
      <c r="Y258" s="70"/>
      <c r="Z258" s="70"/>
    </row>
    <row r="259" spans="1:26" ht="15.75" customHeight="1">
      <c r="A259" s="71"/>
      <c r="B259" s="71"/>
      <c r="C259" s="70"/>
      <c r="D259" s="70"/>
      <c r="E259" s="73"/>
      <c r="F259" s="70"/>
      <c r="G259" s="70"/>
      <c r="H259" s="70"/>
      <c r="I259" s="70"/>
      <c r="J259" s="70"/>
      <c r="K259" s="70"/>
      <c r="L259" s="70"/>
      <c r="M259" s="70"/>
      <c r="N259" s="70"/>
      <c r="O259" s="70"/>
      <c r="P259" s="70"/>
      <c r="Q259" s="70"/>
      <c r="R259" s="70"/>
      <c r="S259" s="70"/>
      <c r="T259" s="70"/>
      <c r="U259" s="70"/>
      <c r="V259" s="70"/>
      <c r="W259" s="70"/>
      <c r="X259" s="70"/>
      <c r="Y259" s="70"/>
      <c r="Z259" s="70"/>
    </row>
    <row r="260" spans="1:26" ht="15.75" customHeight="1">
      <c r="A260" s="71"/>
      <c r="B260" s="71"/>
      <c r="C260" s="70"/>
      <c r="D260" s="70"/>
      <c r="E260" s="73"/>
      <c r="F260" s="70"/>
      <c r="G260" s="70"/>
      <c r="H260" s="70"/>
      <c r="I260" s="70"/>
      <c r="J260" s="70"/>
      <c r="K260" s="70"/>
      <c r="L260" s="70"/>
      <c r="M260" s="70"/>
      <c r="N260" s="70"/>
      <c r="O260" s="70"/>
      <c r="P260" s="70"/>
      <c r="Q260" s="70"/>
      <c r="R260" s="70"/>
      <c r="S260" s="70"/>
      <c r="T260" s="70"/>
      <c r="U260" s="70"/>
      <c r="V260" s="70"/>
      <c r="W260" s="70"/>
      <c r="X260" s="70"/>
      <c r="Y260" s="70"/>
      <c r="Z260" s="70"/>
    </row>
    <row r="261" spans="1:26" ht="15.75" customHeight="1">
      <c r="A261" s="71"/>
      <c r="B261" s="71"/>
      <c r="C261" s="70"/>
      <c r="D261" s="70"/>
      <c r="E261" s="73"/>
      <c r="F261" s="70"/>
      <c r="G261" s="70"/>
      <c r="H261" s="70"/>
      <c r="I261" s="70"/>
      <c r="J261" s="70"/>
      <c r="K261" s="70"/>
      <c r="L261" s="70"/>
      <c r="M261" s="70"/>
      <c r="N261" s="70"/>
      <c r="O261" s="70"/>
      <c r="P261" s="70"/>
      <c r="Q261" s="70"/>
      <c r="R261" s="70"/>
      <c r="S261" s="70"/>
      <c r="T261" s="70"/>
      <c r="U261" s="70"/>
      <c r="V261" s="70"/>
      <c r="W261" s="70"/>
      <c r="X261" s="70"/>
      <c r="Y261" s="70"/>
      <c r="Z261" s="70"/>
    </row>
    <row r="262" spans="1:26" ht="15.75" customHeight="1">
      <c r="A262" s="71"/>
      <c r="B262" s="71"/>
      <c r="C262" s="70"/>
      <c r="D262" s="70"/>
      <c r="E262" s="73"/>
      <c r="F262" s="70"/>
      <c r="G262" s="70"/>
      <c r="H262" s="70"/>
      <c r="I262" s="70"/>
      <c r="J262" s="70"/>
      <c r="K262" s="70"/>
      <c r="L262" s="70"/>
      <c r="M262" s="70"/>
      <c r="N262" s="70"/>
      <c r="O262" s="70"/>
      <c r="P262" s="70"/>
      <c r="Q262" s="70"/>
      <c r="R262" s="70"/>
      <c r="S262" s="70"/>
      <c r="T262" s="70"/>
      <c r="U262" s="70"/>
      <c r="V262" s="70"/>
      <c r="W262" s="70"/>
      <c r="X262" s="70"/>
      <c r="Y262" s="70"/>
      <c r="Z262" s="70"/>
    </row>
    <row r="263" spans="1:26" ht="15.75" customHeight="1">
      <c r="A263" s="71"/>
      <c r="B263" s="71"/>
      <c r="C263" s="70"/>
      <c r="D263" s="70"/>
      <c r="E263" s="73"/>
      <c r="F263" s="70"/>
      <c r="G263" s="70"/>
      <c r="H263" s="70"/>
      <c r="I263" s="70"/>
      <c r="J263" s="70"/>
      <c r="K263" s="70"/>
      <c r="L263" s="70"/>
      <c r="M263" s="70"/>
      <c r="N263" s="70"/>
      <c r="O263" s="70"/>
      <c r="P263" s="70"/>
      <c r="Q263" s="70"/>
      <c r="R263" s="70"/>
      <c r="S263" s="70"/>
      <c r="T263" s="70"/>
      <c r="U263" s="70"/>
      <c r="V263" s="70"/>
      <c r="W263" s="70"/>
      <c r="X263" s="70"/>
      <c r="Y263" s="70"/>
      <c r="Z263" s="70"/>
    </row>
    <row r="264" spans="1:26" ht="15.75" customHeight="1">
      <c r="A264" s="71"/>
      <c r="B264" s="71"/>
      <c r="C264" s="70"/>
      <c r="D264" s="70"/>
      <c r="E264" s="73"/>
      <c r="F264" s="70"/>
      <c r="G264" s="70"/>
      <c r="H264" s="70"/>
      <c r="I264" s="70"/>
      <c r="J264" s="70"/>
      <c r="K264" s="70"/>
      <c r="L264" s="70"/>
      <c r="M264" s="70"/>
      <c r="N264" s="70"/>
      <c r="O264" s="70"/>
      <c r="P264" s="70"/>
      <c r="Q264" s="70"/>
      <c r="R264" s="70"/>
      <c r="S264" s="70"/>
      <c r="T264" s="70"/>
      <c r="U264" s="70"/>
      <c r="V264" s="70"/>
      <c r="W264" s="70"/>
      <c r="X264" s="70"/>
      <c r="Y264" s="70"/>
      <c r="Z264" s="70"/>
    </row>
    <row r="265" spans="1:26" ht="15.75" customHeight="1">
      <c r="A265" s="71"/>
      <c r="B265" s="71"/>
      <c r="C265" s="70"/>
      <c r="D265" s="70"/>
      <c r="E265" s="73"/>
      <c r="F265" s="70"/>
      <c r="G265" s="70"/>
      <c r="H265" s="70"/>
      <c r="I265" s="70"/>
      <c r="J265" s="70"/>
      <c r="K265" s="70"/>
      <c r="L265" s="70"/>
      <c r="M265" s="70"/>
      <c r="N265" s="70"/>
      <c r="O265" s="70"/>
      <c r="P265" s="70"/>
      <c r="Q265" s="70"/>
      <c r="R265" s="70"/>
      <c r="S265" s="70"/>
      <c r="T265" s="70"/>
      <c r="U265" s="70"/>
      <c r="V265" s="70"/>
      <c r="W265" s="70"/>
      <c r="X265" s="70"/>
      <c r="Y265" s="70"/>
      <c r="Z265" s="70"/>
    </row>
    <row r="266" spans="1:26" ht="15.75" customHeight="1"/>
    <row r="267" spans="1:26" ht="15.75" customHeight="1"/>
    <row r="268" spans="1:26" ht="15.75" customHeight="1"/>
    <row r="269" spans="1:26" ht="15.75" customHeight="1"/>
    <row r="270" spans="1:26" ht="15.75" customHeight="1"/>
    <row r="271" spans="1:26" ht="15.75" customHeight="1"/>
    <row r="272" spans="1:26"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sheetData>
  <autoFilter ref="A4:A65" xr:uid="{00000000-0009-0000-0000-000002000000}"/>
  <mergeCells count="3">
    <mergeCell ref="A1:J1"/>
    <mergeCell ref="B4:C4"/>
    <mergeCell ref="A5:A65"/>
  </mergeCells>
  <printOptions horizontalCentered="1"/>
  <pageMargins left="0.19685039370078741" right="0.19685039370078741" top="0.51181102362204722" bottom="0.23622047244094491" header="0" footer="0"/>
  <pageSetup paperSize="9" fitToHeight="0"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58BD5-D1D6-4985-813B-737EEF0458F0}">
  <sheetPr>
    <pageSetUpPr fitToPage="1"/>
  </sheetPr>
  <dimension ref="A1:Z1010"/>
  <sheetViews>
    <sheetView topLeftCell="A6" workbookViewId="0">
      <selection activeCell="A5" sqref="A5"/>
    </sheetView>
  </sheetViews>
  <sheetFormatPr defaultColWidth="12.85546875" defaultRowHeight="15" customHeight="1"/>
  <cols>
    <col min="1" max="1" width="6" style="16" customWidth="1"/>
    <col min="2" max="2" width="4.42578125" style="16" hidden="1" customWidth="1"/>
    <col min="3" max="3" width="32.5703125" style="16" customWidth="1"/>
    <col min="4" max="4" width="22.140625" style="16" customWidth="1"/>
    <col min="5" max="5" width="45.140625" style="16" customWidth="1"/>
    <col min="6" max="6" width="20.85546875" style="16" customWidth="1"/>
    <col min="7" max="7" width="65.5703125" style="16" customWidth="1"/>
    <col min="8" max="26" width="9.42578125" style="16" customWidth="1"/>
    <col min="27" max="16384" width="12.85546875" style="16"/>
  </cols>
  <sheetData>
    <row r="1" spans="1:26" ht="18">
      <c r="A1" s="1594" t="s">
        <v>1846</v>
      </c>
      <c r="B1" s="1589"/>
      <c r="C1" s="1589"/>
      <c r="D1" s="1589"/>
      <c r="E1" s="1589"/>
      <c r="F1" s="1589"/>
      <c r="G1" s="1589"/>
      <c r="H1" s="47"/>
      <c r="I1" s="47"/>
      <c r="J1" s="47"/>
      <c r="K1" s="47"/>
      <c r="L1" s="47"/>
      <c r="M1" s="47"/>
      <c r="N1" s="47"/>
      <c r="O1" s="47"/>
      <c r="P1" s="47"/>
      <c r="Q1" s="47"/>
      <c r="R1" s="47"/>
      <c r="S1" s="47"/>
      <c r="T1" s="47"/>
      <c r="U1" s="47"/>
      <c r="V1" s="47"/>
      <c r="W1" s="47"/>
      <c r="X1" s="47"/>
      <c r="Y1" s="47"/>
      <c r="Z1" s="47"/>
    </row>
    <row r="2" spans="1:26" ht="18">
      <c r="A2" s="48"/>
      <c r="B2" s="49"/>
      <c r="C2" s="48"/>
      <c r="D2" s="50"/>
      <c r="E2" s="50"/>
      <c r="F2" s="48"/>
      <c r="G2" s="48"/>
      <c r="H2" s="47"/>
      <c r="I2" s="47"/>
      <c r="J2" s="47"/>
      <c r="K2" s="47"/>
      <c r="L2" s="47"/>
      <c r="M2" s="47"/>
      <c r="N2" s="47"/>
      <c r="O2" s="47"/>
      <c r="P2" s="47"/>
      <c r="Q2" s="47"/>
      <c r="R2" s="47"/>
      <c r="S2" s="47"/>
      <c r="T2" s="47"/>
      <c r="U2" s="47"/>
      <c r="V2" s="47"/>
      <c r="W2" s="47"/>
      <c r="X2" s="47"/>
      <c r="Y2" s="47"/>
      <c r="Z2" s="47"/>
    </row>
    <row r="3" spans="1:26" ht="27.75" customHeight="1">
      <c r="A3" s="51" t="s">
        <v>1847</v>
      </c>
      <c r="B3" s="49"/>
      <c r="C3" s="48"/>
      <c r="D3" s="50"/>
      <c r="E3" s="50"/>
      <c r="F3" s="48"/>
      <c r="G3" s="48"/>
      <c r="H3" s="52"/>
      <c r="I3" s="52"/>
      <c r="J3" s="52"/>
      <c r="K3" s="52"/>
      <c r="L3" s="52"/>
      <c r="M3" s="52"/>
      <c r="N3" s="52"/>
      <c r="O3" s="52"/>
      <c r="P3" s="52"/>
      <c r="Q3" s="52"/>
      <c r="R3" s="52"/>
      <c r="S3" s="52"/>
      <c r="T3" s="52"/>
      <c r="U3" s="52"/>
      <c r="V3" s="52"/>
      <c r="W3" s="52"/>
      <c r="X3" s="52"/>
      <c r="Y3" s="52"/>
      <c r="Z3" s="52"/>
    </row>
    <row r="4" spans="1:26" ht="193.5" customHeight="1">
      <c r="A4" s="1588" t="s">
        <v>1848</v>
      </c>
      <c r="B4" s="1589"/>
      <c r="C4" s="1589"/>
      <c r="D4" s="1589"/>
      <c r="E4" s="1589"/>
      <c r="F4" s="1589"/>
      <c r="G4" s="1589"/>
      <c r="H4" s="52"/>
      <c r="I4" s="52"/>
      <c r="J4" s="52"/>
      <c r="K4" s="52"/>
      <c r="L4" s="52"/>
      <c r="M4" s="52"/>
      <c r="N4" s="52"/>
      <c r="O4" s="52"/>
      <c r="P4" s="52"/>
      <c r="Q4" s="52"/>
      <c r="R4" s="52"/>
      <c r="S4" s="52"/>
      <c r="T4" s="52"/>
      <c r="U4" s="52"/>
      <c r="V4" s="52"/>
      <c r="W4" s="52"/>
      <c r="X4" s="52"/>
      <c r="Y4" s="52"/>
      <c r="Z4" s="52"/>
    </row>
    <row r="5" spans="1:26" ht="25.5" customHeight="1">
      <c r="A5" s="53" t="s">
        <v>1849</v>
      </c>
      <c r="B5" s="54"/>
      <c r="C5" s="47"/>
      <c r="D5" s="55"/>
      <c r="E5" s="55"/>
      <c r="F5" s="47"/>
      <c r="G5" s="47"/>
      <c r="H5" s="52"/>
      <c r="I5" s="52"/>
      <c r="J5" s="52"/>
      <c r="K5" s="52"/>
      <c r="L5" s="52"/>
      <c r="M5" s="52"/>
      <c r="N5" s="52"/>
      <c r="O5" s="52"/>
      <c r="P5" s="52"/>
      <c r="Q5" s="52"/>
      <c r="R5" s="52"/>
      <c r="S5" s="52"/>
      <c r="T5" s="52"/>
      <c r="U5" s="52"/>
      <c r="V5" s="52"/>
      <c r="W5" s="52"/>
      <c r="X5" s="52"/>
      <c r="Y5" s="52"/>
      <c r="Z5" s="52"/>
    </row>
    <row r="6" spans="1:26" ht="25.5" customHeight="1">
      <c r="A6" s="53" t="s">
        <v>1850</v>
      </c>
      <c r="B6" s="53" t="s">
        <v>1850</v>
      </c>
      <c r="C6" s="47"/>
      <c r="D6" s="55"/>
      <c r="E6" s="55"/>
      <c r="F6" s="47"/>
      <c r="G6" s="47"/>
      <c r="H6" s="52"/>
      <c r="I6" s="52"/>
      <c r="J6" s="52"/>
      <c r="K6" s="52"/>
      <c r="L6" s="52"/>
      <c r="M6" s="52"/>
      <c r="N6" s="52"/>
      <c r="O6" s="52"/>
      <c r="P6" s="52"/>
      <c r="Q6" s="52"/>
      <c r="R6" s="52"/>
      <c r="S6" s="52"/>
      <c r="T6" s="52"/>
      <c r="U6" s="52"/>
      <c r="V6" s="52"/>
      <c r="W6" s="52"/>
      <c r="X6" s="52"/>
      <c r="Y6" s="52"/>
      <c r="Z6" s="52"/>
    </row>
    <row r="7" spans="1:26" ht="25.5" customHeight="1">
      <c r="A7" s="53"/>
      <c r="B7" s="54"/>
      <c r="C7" s="47"/>
      <c r="D7" s="55"/>
      <c r="E7" s="55"/>
      <c r="F7" s="47"/>
      <c r="G7" s="47"/>
      <c r="H7" s="52"/>
      <c r="I7" s="52"/>
      <c r="J7" s="52"/>
      <c r="K7" s="52"/>
      <c r="L7" s="52"/>
      <c r="M7" s="52"/>
      <c r="N7" s="52"/>
      <c r="O7" s="52"/>
      <c r="P7" s="52"/>
      <c r="Q7" s="52"/>
      <c r="R7" s="52"/>
      <c r="S7" s="52"/>
      <c r="T7" s="52"/>
      <c r="U7" s="52"/>
      <c r="V7" s="52"/>
      <c r="W7" s="52"/>
      <c r="X7" s="52"/>
      <c r="Y7" s="52"/>
      <c r="Z7" s="52"/>
    </row>
    <row r="8" spans="1:26" ht="43.5" customHeight="1">
      <c r="A8" s="56" t="s">
        <v>61</v>
      </c>
      <c r="B8" s="1595" t="s">
        <v>62</v>
      </c>
      <c r="C8" s="1591"/>
      <c r="D8" s="56" t="s">
        <v>1851</v>
      </c>
      <c r="E8" s="56" t="s">
        <v>1852</v>
      </c>
      <c r="F8" s="56" t="s">
        <v>1853</v>
      </c>
      <c r="G8" s="56" t="s">
        <v>1854</v>
      </c>
      <c r="H8" s="52"/>
      <c r="I8" s="52"/>
      <c r="J8" s="52"/>
      <c r="K8" s="52"/>
      <c r="L8" s="52"/>
      <c r="M8" s="52"/>
      <c r="N8" s="52"/>
      <c r="O8" s="52"/>
      <c r="P8" s="52"/>
      <c r="Q8" s="52"/>
      <c r="R8" s="52"/>
      <c r="S8" s="52"/>
      <c r="T8" s="52"/>
      <c r="U8" s="52"/>
      <c r="V8" s="52"/>
      <c r="W8" s="52"/>
      <c r="X8" s="52"/>
      <c r="Y8" s="52"/>
      <c r="Z8" s="52"/>
    </row>
    <row r="9" spans="1:26" ht="45.75">
      <c r="A9" s="57">
        <v>1</v>
      </c>
      <c r="B9" s="57">
        <v>1</v>
      </c>
      <c r="C9" s="58" t="s">
        <v>1214</v>
      </c>
      <c r="D9" s="59" t="s">
        <v>1215</v>
      </c>
      <c r="E9" s="57" t="s">
        <v>105</v>
      </c>
      <c r="F9" s="57" t="s">
        <v>1855</v>
      </c>
      <c r="G9" s="60" t="s">
        <v>1856</v>
      </c>
      <c r="H9" s="52"/>
      <c r="I9" s="52"/>
      <c r="J9" s="52"/>
      <c r="K9" s="52"/>
      <c r="L9" s="52"/>
      <c r="M9" s="52"/>
      <c r="N9" s="52"/>
      <c r="O9" s="52"/>
      <c r="P9" s="52"/>
      <c r="Q9" s="52"/>
      <c r="R9" s="52"/>
      <c r="S9" s="52"/>
      <c r="T9" s="52"/>
      <c r="U9" s="52"/>
      <c r="V9" s="52"/>
      <c r="W9" s="52"/>
      <c r="X9" s="52"/>
      <c r="Y9" s="52"/>
      <c r="Z9" s="52"/>
    </row>
    <row r="10" spans="1:26" ht="45.75">
      <c r="A10" s="61">
        <v>2</v>
      </c>
      <c r="B10" s="57">
        <v>1</v>
      </c>
      <c r="C10" s="58" t="s">
        <v>168</v>
      </c>
      <c r="D10" s="57" t="s">
        <v>169</v>
      </c>
      <c r="E10" s="57" t="s">
        <v>1790</v>
      </c>
      <c r="F10" s="57" t="s">
        <v>1855</v>
      </c>
      <c r="G10" s="60" t="s">
        <v>1856</v>
      </c>
      <c r="H10" s="52"/>
      <c r="I10" s="52"/>
      <c r="J10" s="52"/>
      <c r="K10" s="52"/>
      <c r="L10" s="52"/>
      <c r="M10" s="52"/>
      <c r="N10" s="52"/>
      <c r="O10" s="52"/>
      <c r="P10" s="52"/>
      <c r="Q10" s="52"/>
      <c r="R10" s="52"/>
      <c r="S10" s="52"/>
      <c r="T10" s="52"/>
      <c r="U10" s="52"/>
      <c r="V10" s="52"/>
      <c r="W10" s="52"/>
      <c r="X10" s="52"/>
      <c r="Y10" s="52"/>
      <c r="Z10" s="52"/>
    </row>
    <row r="11" spans="1:26" ht="39.75" customHeight="1">
      <c r="A11" s="57">
        <v>3</v>
      </c>
      <c r="B11" s="57">
        <v>1</v>
      </c>
      <c r="C11" s="60" t="s">
        <v>115</v>
      </c>
      <c r="D11" s="61" t="s">
        <v>116</v>
      </c>
      <c r="E11" s="61" t="s">
        <v>117</v>
      </c>
      <c r="F11" s="57" t="s">
        <v>1855</v>
      </c>
      <c r="G11" s="60" t="s">
        <v>1856</v>
      </c>
      <c r="H11" s="52"/>
      <c r="I11" s="52"/>
      <c r="J11" s="52"/>
      <c r="K11" s="52"/>
      <c r="L11" s="52"/>
      <c r="M11" s="52"/>
      <c r="N11" s="52"/>
      <c r="O11" s="52"/>
      <c r="P11" s="52"/>
      <c r="Q11" s="52"/>
      <c r="R11" s="52"/>
      <c r="S11" s="52"/>
      <c r="T11" s="52"/>
      <c r="U11" s="52"/>
      <c r="V11" s="52"/>
      <c r="W11" s="52"/>
      <c r="X11" s="52"/>
      <c r="Y11" s="52"/>
      <c r="Z11" s="52"/>
    </row>
    <row r="12" spans="1:26" ht="27.75" customHeight="1">
      <c r="A12" s="61">
        <v>4</v>
      </c>
      <c r="B12" s="57">
        <v>1</v>
      </c>
      <c r="C12" s="62" t="s">
        <v>123</v>
      </c>
      <c r="D12" s="61" t="s">
        <v>124</v>
      </c>
      <c r="E12" s="61" t="s">
        <v>1793</v>
      </c>
      <c r="F12" s="57" t="s">
        <v>1855</v>
      </c>
      <c r="G12" s="60" t="s">
        <v>1856</v>
      </c>
      <c r="H12" s="47"/>
      <c r="I12" s="47"/>
      <c r="J12" s="47"/>
      <c r="K12" s="47"/>
      <c r="L12" s="47"/>
      <c r="M12" s="47"/>
      <c r="N12" s="47"/>
      <c r="O12" s="47"/>
      <c r="P12" s="47"/>
      <c r="Q12" s="47"/>
      <c r="R12" s="47"/>
      <c r="S12" s="47"/>
      <c r="T12" s="47"/>
      <c r="U12" s="47"/>
      <c r="V12" s="47"/>
      <c r="W12" s="47"/>
      <c r="X12" s="47"/>
      <c r="Y12" s="47"/>
      <c r="Z12" s="47"/>
    </row>
    <row r="13" spans="1:26" ht="27.75" customHeight="1">
      <c r="A13" s="57">
        <v>5</v>
      </c>
      <c r="B13" s="57">
        <v>1</v>
      </c>
      <c r="C13" s="58" t="s">
        <v>128</v>
      </c>
      <c r="D13" s="57" t="s">
        <v>129</v>
      </c>
      <c r="E13" s="57" t="s">
        <v>1236</v>
      </c>
      <c r="F13" s="57" t="s">
        <v>1855</v>
      </c>
      <c r="G13" s="60" t="s">
        <v>1856</v>
      </c>
      <c r="H13" s="52"/>
      <c r="I13" s="52"/>
      <c r="J13" s="52"/>
      <c r="K13" s="52"/>
      <c r="L13" s="52"/>
      <c r="M13" s="52"/>
      <c r="N13" s="52"/>
      <c r="O13" s="52"/>
      <c r="P13" s="52"/>
      <c r="Q13" s="52"/>
      <c r="R13" s="52"/>
      <c r="S13" s="52"/>
      <c r="T13" s="52"/>
      <c r="U13" s="52"/>
      <c r="V13" s="52"/>
      <c r="W13" s="52"/>
      <c r="X13" s="52"/>
      <c r="Y13" s="52"/>
      <c r="Z13" s="52"/>
    </row>
    <row r="14" spans="1:26" ht="27.75" customHeight="1">
      <c r="A14" s="61">
        <v>6</v>
      </c>
      <c r="B14" s="57">
        <v>1</v>
      </c>
      <c r="C14" s="62" t="s">
        <v>136</v>
      </c>
      <c r="D14" s="61" t="s">
        <v>137</v>
      </c>
      <c r="E14" s="61" t="s">
        <v>1241</v>
      </c>
      <c r="F14" s="57" t="s">
        <v>1855</v>
      </c>
      <c r="G14" s="60" t="s">
        <v>1856</v>
      </c>
      <c r="H14" s="47"/>
      <c r="I14" s="47"/>
      <c r="J14" s="47"/>
      <c r="K14" s="47"/>
      <c r="L14" s="47"/>
      <c r="M14" s="47"/>
      <c r="N14" s="47"/>
      <c r="O14" s="47"/>
      <c r="P14" s="47"/>
      <c r="Q14" s="47"/>
      <c r="R14" s="47"/>
      <c r="S14" s="47"/>
      <c r="T14" s="47"/>
      <c r="U14" s="47"/>
      <c r="V14" s="47"/>
      <c r="W14" s="47"/>
      <c r="X14" s="47"/>
      <c r="Y14" s="47"/>
      <c r="Z14" s="47"/>
    </row>
    <row r="15" spans="1:26" ht="27.75" customHeight="1">
      <c r="A15" s="57">
        <v>7</v>
      </c>
      <c r="B15" s="57">
        <v>1</v>
      </c>
      <c r="C15" s="58" t="s">
        <v>143</v>
      </c>
      <c r="D15" s="57" t="s">
        <v>144</v>
      </c>
      <c r="E15" s="57" t="s">
        <v>138</v>
      </c>
      <c r="F15" s="57" t="s">
        <v>1855</v>
      </c>
      <c r="G15" s="60" t="s">
        <v>1856</v>
      </c>
      <c r="H15" s="52"/>
      <c r="I15" s="52"/>
      <c r="J15" s="52"/>
      <c r="K15" s="52"/>
      <c r="L15" s="52"/>
      <c r="M15" s="52"/>
      <c r="N15" s="52"/>
      <c r="O15" s="52"/>
      <c r="P15" s="52"/>
      <c r="Q15" s="52"/>
      <c r="R15" s="52"/>
      <c r="S15" s="52"/>
      <c r="T15" s="52"/>
      <c r="U15" s="52"/>
      <c r="V15" s="52"/>
      <c r="W15" s="52"/>
      <c r="X15" s="52"/>
      <c r="Y15" s="52"/>
      <c r="Z15" s="52"/>
    </row>
    <row r="16" spans="1:26" ht="27.75" customHeight="1">
      <c r="A16" s="61">
        <v>8</v>
      </c>
      <c r="B16" s="57">
        <v>1</v>
      </c>
      <c r="C16" s="60" t="s">
        <v>149</v>
      </c>
      <c r="D16" s="61" t="s">
        <v>150</v>
      </c>
      <c r="E16" s="57" t="s">
        <v>130</v>
      </c>
      <c r="F16" s="57" t="s">
        <v>1855</v>
      </c>
      <c r="G16" s="60" t="s">
        <v>1856</v>
      </c>
      <c r="H16" s="52"/>
      <c r="I16" s="52"/>
      <c r="J16" s="52"/>
      <c r="K16" s="52"/>
      <c r="L16" s="52"/>
      <c r="M16" s="52"/>
      <c r="N16" s="52"/>
      <c r="O16" s="52"/>
      <c r="P16" s="52"/>
      <c r="Q16" s="52"/>
      <c r="R16" s="52"/>
      <c r="S16" s="52"/>
      <c r="T16" s="52"/>
      <c r="U16" s="52"/>
      <c r="V16" s="52"/>
      <c r="W16" s="52"/>
      <c r="X16" s="52"/>
      <c r="Y16" s="52"/>
      <c r="Z16" s="52"/>
    </row>
    <row r="17" spans="1:26" ht="27.75" customHeight="1">
      <c r="A17" s="57">
        <v>9</v>
      </c>
      <c r="B17" s="57">
        <v>1</v>
      </c>
      <c r="C17" s="60" t="s">
        <v>154</v>
      </c>
      <c r="D17" s="61" t="s">
        <v>155</v>
      </c>
      <c r="E17" s="57" t="s">
        <v>22</v>
      </c>
      <c r="F17" s="57" t="s">
        <v>1855</v>
      </c>
      <c r="G17" s="60" t="s">
        <v>1856</v>
      </c>
      <c r="H17" s="52"/>
      <c r="I17" s="52"/>
      <c r="J17" s="52"/>
      <c r="K17" s="52"/>
      <c r="L17" s="52"/>
      <c r="M17" s="52"/>
      <c r="N17" s="52"/>
      <c r="O17" s="52"/>
      <c r="P17" s="52"/>
      <c r="Q17" s="52"/>
      <c r="R17" s="52"/>
      <c r="S17" s="52"/>
      <c r="T17" s="52"/>
      <c r="U17" s="52"/>
      <c r="V17" s="52"/>
      <c r="W17" s="52"/>
      <c r="X17" s="52"/>
      <c r="Y17" s="52"/>
      <c r="Z17" s="52"/>
    </row>
    <row r="18" spans="1:26" ht="27.75" customHeight="1">
      <c r="A18" s="61">
        <v>10</v>
      </c>
      <c r="B18" s="57">
        <v>1</v>
      </c>
      <c r="C18" s="62" t="s">
        <v>10</v>
      </c>
      <c r="D18" s="61" t="s">
        <v>256</v>
      </c>
      <c r="E18" s="57" t="s">
        <v>13</v>
      </c>
      <c r="F18" s="57" t="s">
        <v>1855</v>
      </c>
      <c r="G18" s="60" t="s">
        <v>1856</v>
      </c>
      <c r="H18" s="47"/>
      <c r="I18" s="47"/>
      <c r="J18" s="47"/>
      <c r="K18" s="47"/>
      <c r="L18" s="47"/>
      <c r="M18" s="47"/>
      <c r="N18" s="47"/>
      <c r="O18" s="47"/>
      <c r="P18" s="47"/>
      <c r="Q18" s="47"/>
      <c r="R18" s="47"/>
      <c r="S18" s="47"/>
      <c r="T18" s="47"/>
      <c r="U18" s="47"/>
      <c r="V18" s="47"/>
      <c r="W18" s="47"/>
      <c r="X18" s="47"/>
      <c r="Y18" s="47"/>
      <c r="Z18" s="47"/>
    </row>
    <row r="19" spans="1:26" ht="27.75" customHeight="1">
      <c r="A19" s="57">
        <v>11</v>
      </c>
      <c r="B19" s="57">
        <v>1</v>
      </c>
      <c r="C19" s="58" t="s">
        <v>15</v>
      </c>
      <c r="D19" s="57" t="s">
        <v>158</v>
      </c>
      <c r="E19" s="57" t="s">
        <v>13</v>
      </c>
      <c r="F19" s="57" t="s">
        <v>1855</v>
      </c>
      <c r="G19" s="60" t="s">
        <v>1856</v>
      </c>
      <c r="H19" s="52"/>
      <c r="I19" s="52"/>
      <c r="J19" s="52"/>
      <c r="K19" s="52"/>
      <c r="L19" s="52"/>
      <c r="M19" s="52"/>
      <c r="N19" s="52"/>
      <c r="O19" s="52"/>
      <c r="P19" s="52"/>
      <c r="Q19" s="52"/>
      <c r="R19" s="52"/>
      <c r="S19" s="52"/>
      <c r="T19" s="52"/>
      <c r="U19" s="52"/>
      <c r="V19" s="52"/>
      <c r="W19" s="52"/>
      <c r="X19" s="52"/>
      <c r="Y19" s="52"/>
      <c r="Z19" s="52"/>
    </row>
    <row r="20" spans="1:26" ht="27.75" customHeight="1">
      <c r="A20" s="61">
        <v>12</v>
      </c>
      <c r="B20" s="57">
        <v>1</v>
      </c>
      <c r="C20" s="60" t="s">
        <v>160</v>
      </c>
      <c r="D20" s="61" t="s">
        <v>161</v>
      </c>
      <c r="E20" s="57" t="s">
        <v>1801</v>
      </c>
      <c r="F20" s="57" t="s">
        <v>1855</v>
      </c>
      <c r="G20" s="60" t="s">
        <v>1856</v>
      </c>
      <c r="H20" s="52"/>
      <c r="I20" s="52"/>
      <c r="J20" s="52"/>
      <c r="K20" s="52"/>
      <c r="L20" s="52"/>
      <c r="M20" s="52"/>
      <c r="N20" s="52"/>
      <c r="O20" s="52"/>
      <c r="P20" s="52"/>
      <c r="Q20" s="52"/>
      <c r="R20" s="52"/>
      <c r="S20" s="52"/>
      <c r="T20" s="52"/>
      <c r="U20" s="52"/>
      <c r="V20" s="52"/>
      <c r="W20" s="52"/>
      <c r="X20" s="52"/>
      <c r="Y20" s="52"/>
      <c r="Z20" s="52"/>
    </row>
    <row r="21" spans="1:26" ht="27.75" customHeight="1">
      <c r="A21" s="57">
        <v>13</v>
      </c>
      <c r="B21" s="57">
        <v>1</v>
      </c>
      <c r="C21" s="60" t="s">
        <v>19</v>
      </c>
      <c r="D21" s="61" t="s">
        <v>165</v>
      </c>
      <c r="E21" s="57" t="s">
        <v>22</v>
      </c>
      <c r="F21" s="57" t="s">
        <v>1855</v>
      </c>
      <c r="G21" s="60" t="s">
        <v>1856</v>
      </c>
      <c r="H21" s="52"/>
      <c r="I21" s="52"/>
      <c r="J21" s="52"/>
      <c r="K21" s="52"/>
      <c r="L21" s="52"/>
      <c r="M21" s="52"/>
      <c r="N21" s="52"/>
      <c r="O21" s="52"/>
      <c r="P21" s="52"/>
      <c r="Q21" s="52"/>
      <c r="R21" s="52"/>
      <c r="S21" s="52"/>
      <c r="T21" s="52"/>
      <c r="U21" s="52"/>
      <c r="V21" s="52"/>
      <c r="W21" s="52"/>
      <c r="X21" s="52"/>
      <c r="Y21" s="52"/>
      <c r="Z21" s="52"/>
    </row>
    <row r="22" spans="1:26" ht="27.75" customHeight="1">
      <c r="A22" s="61">
        <v>14</v>
      </c>
      <c r="B22" s="57">
        <v>1</v>
      </c>
      <c r="C22" s="60" t="s">
        <v>24</v>
      </c>
      <c r="D22" s="61" t="s">
        <v>178</v>
      </c>
      <c r="E22" s="57" t="s">
        <v>13</v>
      </c>
      <c r="F22" s="57" t="s">
        <v>1855</v>
      </c>
      <c r="G22" s="60" t="s">
        <v>1856</v>
      </c>
      <c r="H22" s="52"/>
      <c r="I22" s="52"/>
      <c r="J22" s="52"/>
      <c r="K22" s="52"/>
      <c r="L22" s="52"/>
      <c r="M22" s="52"/>
      <c r="N22" s="52"/>
      <c r="O22" s="52"/>
      <c r="P22" s="52"/>
      <c r="Q22" s="52"/>
      <c r="R22" s="52"/>
      <c r="S22" s="52"/>
      <c r="T22" s="52"/>
      <c r="U22" s="52"/>
      <c r="V22" s="52"/>
      <c r="W22" s="52"/>
      <c r="X22" s="52"/>
      <c r="Y22" s="52"/>
      <c r="Z22" s="52"/>
    </row>
    <row r="23" spans="1:26" ht="27.75" customHeight="1">
      <c r="A23" s="57">
        <v>15</v>
      </c>
      <c r="B23" s="57">
        <v>1</v>
      </c>
      <c r="C23" s="60" t="s">
        <v>27</v>
      </c>
      <c r="D23" s="61" t="s">
        <v>184</v>
      </c>
      <c r="E23" s="57" t="s">
        <v>13</v>
      </c>
      <c r="F23" s="57" t="s">
        <v>1855</v>
      </c>
      <c r="G23" s="60" t="s">
        <v>1856</v>
      </c>
      <c r="H23" s="52"/>
      <c r="I23" s="52"/>
      <c r="J23" s="52"/>
      <c r="K23" s="52"/>
      <c r="L23" s="52"/>
      <c r="M23" s="52"/>
      <c r="N23" s="52"/>
      <c r="O23" s="52"/>
      <c r="P23" s="52"/>
      <c r="Q23" s="52"/>
      <c r="R23" s="52"/>
      <c r="S23" s="52"/>
      <c r="T23" s="52"/>
      <c r="U23" s="52"/>
      <c r="V23" s="52"/>
      <c r="W23" s="52"/>
      <c r="X23" s="52"/>
      <c r="Y23" s="52"/>
      <c r="Z23" s="52"/>
    </row>
    <row r="24" spans="1:26" ht="27.75" customHeight="1">
      <c r="A24" s="61">
        <v>16</v>
      </c>
      <c r="B24" s="57">
        <v>1</v>
      </c>
      <c r="C24" s="60" t="s">
        <v>187</v>
      </c>
      <c r="D24" s="61" t="s">
        <v>188</v>
      </c>
      <c r="E24" s="57" t="s">
        <v>13</v>
      </c>
      <c r="F24" s="57" t="s">
        <v>1855</v>
      </c>
      <c r="G24" s="60" t="s">
        <v>1856</v>
      </c>
      <c r="H24" s="52"/>
      <c r="I24" s="52"/>
      <c r="J24" s="52"/>
      <c r="K24" s="52"/>
      <c r="L24" s="52"/>
      <c r="M24" s="52"/>
      <c r="N24" s="52"/>
      <c r="O24" s="52"/>
      <c r="P24" s="52"/>
      <c r="Q24" s="52"/>
      <c r="R24" s="52"/>
      <c r="S24" s="52"/>
      <c r="T24" s="52"/>
      <c r="U24" s="52"/>
      <c r="V24" s="52"/>
      <c r="W24" s="52"/>
      <c r="X24" s="52"/>
      <c r="Y24" s="52"/>
      <c r="Z24" s="52"/>
    </row>
    <row r="25" spans="1:26" ht="45.75">
      <c r="A25" s="57">
        <v>17</v>
      </c>
      <c r="B25" s="57">
        <v>1</v>
      </c>
      <c r="C25" s="62" t="s">
        <v>29</v>
      </c>
      <c r="D25" s="61" t="s">
        <v>196</v>
      </c>
      <c r="E25" s="61" t="s">
        <v>22</v>
      </c>
      <c r="F25" s="57" t="s">
        <v>1855</v>
      </c>
      <c r="G25" s="60" t="s">
        <v>1856</v>
      </c>
      <c r="H25" s="47"/>
      <c r="I25" s="47"/>
      <c r="J25" s="47"/>
      <c r="K25" s="47"/>
      <c r="L25" s="47"/>
      <c r="M25" s="47"/>
      <c r="N25" s="47"/>
      <c r="O25" s="47"/>
      <c r="P25" s="47"/>
      <c r="Q25" s="47"/>
      <c r="R25" s="47"/>
      <c r="S25" s="47"/>
      <c r="T25" s="47"/>
      <c r="U25" s="47"/>
      <c r="V25" s="47"/>
      <c r="W25" s="47"/>
      <c r="X25" s="47"/>
      <c r="Y25" s="47"/>
      <c r="Z25" s="47"/>
    </row>
    <row r="26" spans="1:26" ht="27.75" customHeight="1">
      <c r="A26" s="61">
        <v>18</v>
      </c>
      <c r="B26" s="57">
        <v>1</v>
      </c>
      <c r="C26" s="58" t="s">
        <v>31</v>
      </c>
      <c r="D26" s="57" t="s">
        <v>201</v>
      </c>
      <c r="E26" s="57" t="s">
        <v>13</v>
      </c>
      <c r="F26" s="57" t="s">
        <v>1855</v>
      </c>
      <c r="G26" s="60" t="s">
        <v>1856</v>
      </c>
      <c r="H26" s="52"/>
      <c r="I26" s="52"/>
      <c r="J26" s="52"/>
      <c r="K26" s="52"/>
      <c r="L26" s="52"/>
      <c r="M26" s="52"/>
      <c r="N26" s="52"/>
      <c r="O26" s="52"/>
      <c r="P26" s="52"/>
      <c r="Q26" s="52"/>
      <c r="R26" s="52"/>
      <c r="S26" s="52"/>
      <c r="T26" s="52"/>
      <c r="U26" s="52"/>
      <c r="V26" s="52"/>
      <c r="W26" s="52"/>
      <c r="X26" s="52"/>
      <c r="Y26" s="52"/>
      <c r="Z26" s="52"/>
    </row>
    <row r="27" spans="1:26" ht="27.75" customHeight="1">
      <c r="A27" s="57">
        <v>19</v>
      </c>
      <c r="B27" s="57">
        <v>1</v>
      </c>
      <c r="C27" s="60" t="s">
        <v>33</v>
      </c>
      <c r="D27" s="61" t="s">
        <v>209</v>
      </c>
      <c r="E27" s="57" t="s">
        <v>13</v>
      </c>
      <c r="F27" s="57" t="s">
        <v>1855</v>
      </c>
      <c r="G27" s="60" t="s">
        <v>1856</v>
      </c>
      <c r="H27" s="52"/>
      <c r="I27" s="52"/>
      <c r="J27" s="52"/>
      <c r="K27" s="52"/>
      <c r="L27" s="52"/>
      <c r="M27" s="52"/>
      <c r="N27" s="52"/>
      <c r="O27" s="52"/>
      <c r="P27" s="52"/>
      <c r="Q27" s="52"/>
      <c r="R27" s="52"/>
      <c r="S27" s="52"/>
      <c r="T27" s="52"/>
      <c r="U27" s="52"/>
      <c r="V27" s="52"/>
      <c r="W27" s="52"/>
      <c r="X27" s="52"/>
      <c r="Y27" s="52"/>
      <c r="Z27" s="52"/>
    </row>
    <row r="28" spans="1:26" ht="27.75" customHeight="1">
      <c r="A28" s="61">
        <v>20</v>
      </c>
      <c r="B28" s="57">
        <v>1</v>
      </c>
      <c r="C28" s="60" t="s">
        <v>35</v>
      </c>
      <c r="D28" s="61" t="s">
        <v>216</v>
      </c>
      <c r="E28" s="57" t="s">
        <v>13</v>
      </c>
      <c r="F28" s="57" t="s">
        <v>1855</v>
      </c>
      <c r="G28" s="60" t="s">
        <v>1856</v>
      </c>
      <c r="H28" s="52"/>
      <c r="I28" s="52"/>
      <c r="J28" s="52"/>
      <c r="K28" s="52"/>
      <c r="L28" s="52"/>
      <c r="M28" s="52"/>
      <c r="N28" s="52"/>
      <c r="O28" s="52"/>
      <c r="P28" s="52"/>
      <c r="Q28" s="52"/>
      <c r="R28" s="52"/>
      <c r="S28" s="52"/>
      <c r="T28" s="52"/>
      <c r="U28" s="52"/>
      <c r="V28" s="52"/>
      <c r="W28" s="52"/>
      <c r="X28" s="52"/>
      <c r="Y28" s="52"/>
      <c r="Z28" s="52"/>
    </row>
    <row r="29" spans="1:26" ht="27.75" customHeight="1">
      <c r="A29" s="57">
        <v>21</v>
      </c>
      <c r="B29" s="57">
        <v>1</v>
      </c>
      <c r="C29" s="62" t="s">
        <v>38</v>
      </c>
      <c r="D29" s="61" t="s">
        <v>218</v>
      </c>
      <c r="E29" s="61" t="s">
        <v>13</v>
      </c>
      <c r="F29" s="57" t="s">
        <v>1855</v>
      </c>
      <c r="G29" s="60" t="s">
        <v>1856</v>
      </c>
      <c r="H29" s="47"/>
      <c r="I29" s="47"/>
      <c r="J29" s="47"/>
      <c r="K29" s="47"/>
      <c r="L29" s="47"/>
      <c r="M29" s="47"/>
      <c r="N29" s="47"/>
      <c r="O29" s="47"/>
      <c r="P29" s="47"/>
      <c r="Q29" s="47"/>
      <c r="R29" s="47"/>
      <c r="S29" s="47"/>
      <c r="T29" s="47"/>
      <c r="U29" s="47"/>
      <c r="V29" s="47"/>
      <c r="W29" s="47"/>
      <c r="X29" s="47"/>
      <c r="Y29" s="47"/>
      <c r="Z29" s="47"/>
    </row>
    <row r="30" spans="1:26" ht="27.75" customHeight="1">
      <c r="A30" s="61">
        <v>22</v>
      </c>
      <c r="B30" s="57">
        <v>1</v>
      </c>
      <c r="C30" s="58" t="s">
        <v>222</v>
      </c>
      <c r="D30" s="57" t="s">
        <v>223</v>
      </c>
      <c r="E30" s="57" t="s">
        <v>1241</v>
      </c>
      <c r="F30" s="57" t="s">
        <v>1855</v>
      </c>
      <c r="G30" s="60" t="s">
        <v>1856</v>
      </c>
      <c r="H30" s="52"/>
      <c r="I30" s="52"/>
      <c r="J30" s="52"/>
      <c r="K30" s="52"/>
      <c r="L30" s="52"/>
      <c r="M30" s="52"/>
      <c r="N30" s="52"/>
      <c r="O30" s="52"/>
      <c r="P30" s="52"/>
      <c r="Q30" s="52"/>
      <c r="R30" s="52"/>
      <c r="S30" s="52"/>
      <c r="T30" s="52"/>
      <c r="U30" s="52"/>
      <c r="V30" s="52"/>
      <c r="W30" s="52"/>
      <c r="X30" s="52"/>
      <c r="Y30" s="52"/>
      <c r="Z30" s="52"/>
    </row>
    <row r="31" spans="1:26" ht="27.75" customHeight="1">
      <c r="A31" s="57">
        <v>23</v>
      </c>
      <c r="B31" s="57">
        <v>1</v>
      </c>
      <c r="C31" s="60" t="s">
        <v>226</v>
      </c>
      <c r="D31" s="61" t="s">
        <v>227</v>
      </c>
      <c r="E31" s="57" t="s">
        <v>13</v>
      </c>
      <c r="F31" s="57" t="s">
        <v>1855</v>
      </c>
      <c r="G31" s="60" t="s">
        <v>1856</v>
      </c>
      <c r="H31" s="52"/>
      <c r="I31" s="52"/>
      <c r="J31" s="52"/>
      <c r="K31" s="52"/>
      <c r="L31" s="52"/>
      <c r="M31" s="52"/>
      <c r="N31" s="52"/>
      <c r="O31" s="52"/>
      <c r="P31" s="52"/>
      <c r="Q31" s="52"/>
      <c r="R31" s="52"/>
      <c r="S31" s="52"/>
      <c r="T31" s="52"/>
      <c r="U31" s="52"/>
      <c r="V31" s="52"/>
      <c r="W31" s="52"/>
      <c r="X31" s="52"/>
      <c r="Y31" s="52"/>
      <c r="Z31" s="52"/>
    </row>
    <row r="32" spans="1:26" ht="27.75" customHeight="1">
      <c r="A32" s="61">
        <v>24</v>
      </c>
      <c r="B32" s="57">
        <v>1</v>
      </c>
      <c r="C32" s="60" t="s">
        <v>40</v>
      </c>
      <c r="D32" s="61" t="s">
        <v>230</v>
      </c>
      <c r="E32" s="57" t="s">
        <v>13</v>
      </c>
      <c r="F32" s="57" t="s">
        <v>1855</v>
      </c>
      <c r="G32" s="60" t="s">
        <v>1856</v>
      </c>
      <c r="H32" s="52"/>
      <c r="I32" s="52"/>
      <c r="J32" s="52"/>
      <c r="K32" s="52"/>
      <c r="L32" s="52"/>
      <c r="M32" s="52"/>
      <c r="N32" s="52"/>
      <c r="O32" s="52"/>
      <c r="P32" s="52"/>
      <c r="Q32" s="52"/>
      <c r="R32" s="52"/>
      <c r="S32" s="52"/>
      <c r="T32" s="52"/>
      <c r="U32" s="52"/>
      <c r="V32" s="52"/>
      <c r="W32" s="52"/>
      <c r="X32" s="52"/>
      <c r="Y32" s="52"/>
      <c r="Z32" s="52"/>
    </row>
    <row r="33" spans="1:26" ht="27.75" customHeight="1">
      <c r="A33" s="57">
        <v>25</v>
      </c>
      <c r="B33" s="57">
        <v>1</v>
      </c>
      <c r="C33" s="62" t="s">
        <v>42</v>
      </c>
      <c r="D33" s="61" t="s">
        <v>232</v>
      </c>
      <c r="E33" s="61" t="s">
        <v>22</v>
      </c>
      <c r="F33" s="57" t="s">
        <v>1855</v>
      </c>
      <c r="G33" s="60" t="s">
        <v>1856</v>
      </c>
      <c r="H33" s="47"/>
      <c r="I33" s="47"/>
      <c r="J33" s="47"/>
      <c r="K33" s="47"/>
      <c r="L33" s="47"/>
      <c r="M33" s="47"/>
      <c r="N33" s="47"/>
      <c r="O33" s="47"/>
      <c r="P33" s="47"/>
      <c r="Q33" s="47"/>
      <c r="R33" s="47"/>
      <c r="S33" s="47"/>
      <c r="T33" s="47"/>
      <c r="U33" s="47"/>
      <c r="V33" s="47"/>
      <c r="W33" s="47"/>
      <c r="X33" s="47"/>
      <c r="Y33" s="47"/>
      <c r="Z33" s="47"/>
    </row>
    <row r="34" spans="1:26" ht="27.75" customHeight="1">
      <c r="A34" s="61">
        <v>26</v>
      </c>
      <c r="B34" s="57">
        <v>1</v>
      </c>
      <c r="C34" s="58" t="s">
        <v>44</v>
      </c>
      <c r="D34" s="57" t="s">
        <v>235</v>
      </c>
      <c r="E34" s="57" t="s">
        <v>13</v>
      </c>
      <c r="F34" s="57" t="s">
        <v>1855</v>
      </c>
      <c r="G34" s="60" t="s">
        <v>1856</v>
      </c>
      <c r="H34" s="52"/>
      <c r="I34" s="52"/>
      <c r="J34" s="52"/>
      <c r="K34" s="52"/>
      <c r="L34" s="52"/>
      <c r="M34" s="52"/>
      <c r="N34" s="52"/>
      <c r="O34" s="52"/>
      <c r="P34" s="52"/>
      <c r="Q34" s="52"/>
      <c r="R34" s="52"/>
      <c r="S34" s="52"/>
      <c r="T34" s="52"/>
      <c r="U34" s="52"/>
      <c r="V34" s="52"/>
      <c r="W34" s="52"/>
      <c r="X34" s="52"/>
      <c r="Y34" s="52"/>
      <c r="Z34" s="52"/>
    </row>
    <row r="35" spans="1:26" ht="27.75" customHeight="1">
      <c r="A35" s="57">
        <v>27</v>
      </c>
      <c r="B35" s="57">
        <v>1</v>
      </c>
      <c r="C35" s="60" t="s">
        <v>48</v>
      </c>
      <c r="D35" s="61" t="s">
        <v>244</v>
      </c>
      <c r="E35" s="57" t="s">
        <v>13</v>
      </c>
      <c r="F35" s="57" t="s">
        <v>1855</v>
      </c>
      <c r="G35" s="60" t="s">
        <v>1856</v>
      </c>
      <c r="H35" s="52"/>
      <c r="I35" s="52"/>
      <c r="J35" s="52"/>
      <c r="K35" s="52"/>
      <c r="L35" s="52"/>
      <c r="M35" s="52"/>
      <c r="N35" s="52"/>
      <c r="O35" s="52"/>
      <c r="P35" s="52"/>
      <c r="Q35" s="52"/>
      <c r="R35" s="52"/>
      <c r="S35" s="52"/>
      <c r="T35" s="52"/>
      <c r="U35" s="52"/>
      <c r="V35" s="52"/>
      <c r="W35" s="52"/>
      <c r="X35" s="52"/>
      <c r="Y35" s="52"/>
      <c r="Z35" s="52"/>
    </row>
    <row r="36" spans="1:26" ht="27.75" customHeight="1">
      <c r="A36" s="61">
        <v>28</v>
      </c>
      <c r="B36" s="57">
        <v>1</v>
      </c>
      <c r="C36" s="62" t="s">
        <v>46</v>
      </c>
      <c r="D36" s="63" t="s">
        <v>1812</v>
      </c>
      <c r="E36" s="61" t="s">
        <v>13</v>
      </c>
      <c r="F36" s="57" t="s">
        <v>1855</v>
      </c>
      <c r="G36" s="60" t="s">
        <v>1856</v>
      </c>
      <c r="H36" s="47"/>
      <c r="I36" s="47"/>
      <c r="J36" s="47"/>
      <c r="K36" s="47"/>
      <c r="L36" s="47"/>
      <c r="M36" s="47"/>
      <c r="N36" s="47"/>
      <c r="O36" s="47"/>
      <c r="P36" s="47"/>
      <c r="Q36" s="47"/>
      <c r="R36" s="47"/>
      <c r="S36" s="47"/>
      <c r="T36" s="47"/>
      <c r="U36" s="47"/>
      <c r="V36" s="47"/>
      <c r="W36" s="47"/>
      <c r="X36" s="47"/>
      <c r="Y36" s="47"/>
      <c r="Z36" s="47"/>
    </row>
    <row r="37" spans="1:26" ht="27.75" customHeight="1">
      <c r="A37" s="57">
        <v>29</v>
      </c>
      <c r="B37" s="57">
        <v>1</v>
      </c>
      <c r="C37" s="58" t="s">
        <v>50</v>
      </c>
      <c r="D37" s="57" t="s">
        <v>249</v>
      </c>
      <c r="E37" s="57" t="s">
        <v>13</v>
      </c>
      <c r="F37" s="57" t="s">
        <v>1855</v>
      </c>
      <c r="G37" s="60" t="s">
        <v>1856</v>
      </c>
      <c r="H37" s="52"/>
      <c r="I37" s="52"/>
      <c r="J37" s="52"/>
      <c r="K37" s="52"/>
      <c r="L37" s="52"/>
      <c r="M37" s="52"/>
      <c r="N37" s="52"/>
      <c r="O37" s="52"/>
      <c r="P37" s="52"/>
      <c r="Q37" s="52"/>
      <c r="R37" s="52"/>
      <c r="S37" s="52"/>
      <c r="T37" s="52"/>
      <c r="U37" s="52"/>
      <c r="V37" s="52"/>
      <c r="W37" s="52"/>
      <c r="X37" s="52"/>
      <c r="Y37" s="52"/>
      <c r="Z37" s="52"/>
    </row>
    <row r="38" spans="1:26" ht="27.75" customHeight="1">
      <c r="A38" s="61">
        <v>30</v>
      </c>
      <c r="B38" s="57"/>
      <c r="C38" s="60" t="s">
        <v>52</v>
      </c>
      <c r="D38" s="63" t="s">
        <v>1813</v>
      </c>
      <c r="E38" s="57" t="s">
        <v>22</v>
      </c>
      <c r="F38" s="57" t="s">
        <v>1855</v>
      </c>
      <c r="G38" s="60" t="s">
        <v>1856</v>
      </c>
      <c r="H38" s="52"/>
      <c r="I38" s="52"/>
      <c r="J38" s="52"/>
      <c r="K38" s="52"/>
      <c r="L38" s="52"/>
      <c r="M38" s="52"/>
      <c r="N38" s="52"/>
      <c r="O38" s="52"/>
      <c r="P38" s="52"/>
      <c r="Q38" s="52"/>
      <c r="R38" s="52"/>
      <c r="S38" s="52"/>
      <c r="T38" s="52"/>
      <c r="U38" s="52"/>
      <c r="V38" s="52"/>
      <c r="W38" s="52"/>
      <c r="X38" s="52"/>
      <c r="Y38" s="52"/>
      <c r="Z38" s="52"/>
    </row>
    <row r="39" spans="1:26" ht="27.75" customHeight="1">
      <c r="A39" s="57">
        <v>31</v>
      </c>
      <c r="B39" s="57"/>
      <c r="C39" s="60" t="s">
        <v>54</v>
      </c>
      <c r="D39" s="63" t="s">
        <v>1814</v>
      </c>
      <c r="E39" s="57" t="s">
        <v>13</v>
      </c>
      <c r="F39" s="57" t="s">
        <v>1855</v>
      </c>
      <c r="G39" s="60" t="s">
        <v>1856</v>
      </c>
      <c r="H39" s="52"/>
      <c r="I39" s="52"/>
      <c r="J39" s="52"/>
      <c r="K39" s="52"/>
      <c r="L39" s="52"/>
      <c r="M39" s="52"/>
      <c r="N39" s="52"/>
      <c r="O39" s="52"/>
      <c r="P39" s="52"/>
      <c r="Q39" s="52"/>
      <c r="R39" s="52"/>
      <c r="S39" s="52"/>
      <c r="T39" s="52"/>
      <c r="U39" s="52"/>
      <c r="V39" s="52"/>
      <c r="W39" s="52"/>
      <c r="X39" s="52"/>
      <c r="Y39" s="52"/>
      <c r="Z39" s="52"/>
    </row>
    <row r="40" spans="1:26" ht="27.75" customHeight="1">
      <c r="A40" s="61">
        <v>32</v>
      </c>
      <c r="B40" s="57">
        <v>1</v>
      </c>
      <c r="C40" s="60" t="s">
        <v>259</v>
      </c>
      <c r="D40" s="61" t="s">
        <v>260</v>
      </c>
      <c r="E40" s="57" t="s">
        <v>13</v>
      </c>
      <c r="F40" s="57" t="s">
        <v>1855</v>
      </c>
      <c r="G40" s="60" t="s">
        <v>1856</v>
      </c>
      <c r="H40" s="52"/>
      <c r="I40" s="52"/>
      <c r="J40" s="52"/>
      <c r="K40" s="52"/>
      <c r="L40" s="52"/>
      <c r="M40" s="52"/>
      <c r="N40" s="52"/>
      <c r="O40" s="52"/>
      <c r="P40" s="52"/>
      <c r="Q40" s="52"/>
      <c r="R40" s="52"/>
      <c r="S40" s="52"/>
      <c r="T40" s="52"/>
      <c r="U40" s="52"/>
      <c r="V40" s="52"/>
      <c r="W40" s="52"/>
      <c r="X40" s="52"/>
      <c r="Y40" s="52"/>
      <c r="Z40" s="52"/>
    </row>
    <row r="41" spans="1:26" ht="27.75" customHeight="1">
      <c r="A41" s="57">
        <v>33</v>
      </c>
      <c r="B41" s="57">
        <v>1</v>
      </c>
      <c r="C41" s="60" t="s">
        <v>268</v>
      </c>
      <c r="D41" s="61" t="s">
        <v>269</v>
      </c>
      <c r="E41" s="57" t="s">
        <v>13</v>
      </c>
      <c r="F41" s="57" t="s">
        <v>1855</v>
      </c>
      <c r="G41" s="60" t="s">
        <v>1856</v>
      </c>
      <c r="H41" s="52"/>
      <c r="I41" s="52"/>
      <c r="J41" s="52"/>
      <c r="K41" s="52"/>
      <c r="L41" s="52"/>
      <c r="M41" s="52"/>
      <c r="N41" s="52"/>
      <c r="O41" s="52"/>
      <c r="P41" s="52"/>
      <c r="Q41" s="52"/>
      <c r="R41" s="52"/>
      <c r="S41" s="52"/>
      <c r="T41" s="52"/>
      <c r="U41" s="52"/>
      <c r="V41" s="52"/>
      <c r="W41" s="52"/>
      <c r="X41" s="52"/>
      <c r="Y41" s="52"/>
      <c r="Z41" s="52"/>
    </row>
    <row r="42" spans="1:26" ht="27.75" customHeight="1">
      <c r="A42" s="61">
        <v>34</v>
      </c>
      <c r="B42" s="57">
        <v>1</v>
      </c>
      <c r="C42" s="62" t="s">
        <v>279</v>
      </c>
      <c r="D42" s="61" t="s">
        <v>280</v>
      </c>
      <c r="E42" s="61" t="s">
        <v>13</v>
      </c>
      <c r="F42" s="57" t="s">
        <v>1855</v>
      </c>
      <c r="G42" s="60" t="s">
        <v>1856</v>
      </c>
      <c r="H42" s="47"/>
      <c r="I42" s="47"/>
      <c r="J42" s="47"/>
      <c r="K42" s="47"/>
      <c r="L42" s="47"/>
      <c r="M42" s="47"/>
      <c r="N42" s="47"/>
      <c r="O42" s="47"/>
      <c r="P42" s="47"/>
      <c r="Q42" s="47"/>
      <c r="R42" s="47"/>
      <c r="S42" s="47"/>
      <c r="T42" s="47"/>
      <c r="U42" s="47"/>
      <c r="V42" s="47"/>
      <c r="W42" s="47"/>
      <c r="X42" s="47"/>
      <c r="Y42" s="47"/>
      <c r="Z42" s="47"/>
    </row>
    <row r="43" spans="1:26" ht="27.75" customHeight="1">
      <c r="A43" s="57">
        <v>35</v>
      </c>
      <c r="B43" s="57">
        <v>1</v>
      </c>
      <c r="C43" s="58" t="s">
        <v>286</v>
      </c>
      <c r="D43" s="57" t="s">
        <v>287</v>
      </c>
      <c r="E43" s="57" t="s">
        <v>288</v>
      </c>
      <c r="F43" s="57" t="s">
        <v>1855</v>
      </c>
      <c r="G43" s="60" t="s">
        <v>1856</v>
      </c>
      <c r="H43" s="52"/>
      <c r="I43" s="52"/>
      <c r="J43" s="52"/>
      <c r="K43" s="52"/>
      <c r="L43" s="52"/>
      <c r="M43" s="52"/>
      <c r="N43" s="52"/>
      <c r="O43" s="52"/>
      <c r="P43" s="52"/>
      <c r="Q43" s="52"/>
      <c r="R43" s="52"/>
      <c r="S43" s="52"/>
      <c r="T43" s="52"/>
      <c r="U43" s="52"/>
      <c r="V43" s="52"/>
      <c r="W43" s="52"/>
      <c r="X43" s="52"/>
      <c r="Y43" s="52"/>
      <c r="Z43" s="52"/>
    </row>
    <row r="44" spans="1:26" ht="27.75" customHeight="1">
      <c r="A44" s="61">
        <v>36</v>
      </c>
      <c r="B44" s="57">
        <v>1</v>
      </c>
      <c r="C44" s="60" t="s">
        <v>299</v>
      </c>
      <c r="D44" s="61" t="s">
        <v>300</v>
      </c>
      <c r="E44" s="57" t="s">
        <v>301</v>
      </c>
      <c r="F44" s="57" t="s">
        <v>1855</v>
      </c>
      <c r="G44" s="60" t="s">
        <v>1856</v>
      </c>
      <c r="H44" s="52"/>
      <c r="I44" s="52"/>
      <c r="J44" s="52"/>
      <c r="K44" s="52"/>
      <c r="L44" s="52"/>
      <c r="M44" s="52"/>
      <c r="N44" s="52"/>
      <c r="O44" s="52"/>
      <c r="P44" s="52"/>
      <c r="Q44" s="52"/>
      <c r="R44" s="52"/>
      <c r="S44" s="52"/>
      <c r="T44" s="52"/>
      <c r="U44" s="52"/>
      <c r="V44" s="52"/>
      <c r="W44" s="52"/>
      <c r="X44" s="52"/>
      <c r="Y44" s="52"/>
      <c r="Z44" s="52"/>
    </row>
    <row r="45" spans="1:26" ht="27.75" customHeight="1">
      <c r="A45" s="57">
        <v>37</v>
      </c>
      <c r="B45" s="57">
        <v>1</v>
      </c>
      <c r="C45" s="60" t="s">
        <v>328</v>
      </c>
      <c r="D45" s="61" t="s">
        <v>329</v>
      </c>
      <c r="E45" s="57" t="s">
        <v>13</v>
      </c>
      <c r="F45" s="57" t="s">
        <v>1855</v>
      </c>
      <c r="G45" s="60" t="s">
        <v>1856</v>
      </c>
      <c r="H45" s="52"/>
      <c r="I45" s="52"/>
      <c r="J45" s="52"/>
      <c r="K45" s="52"/>
      <c r="L45" s="52"/>
      <c r="M45" s="52"/>
      <c r="N45" s="52"/>
      <c r="O45" s="52"/>
      <c r="P45" s="52"/>
      <c r="Q45" s="52"/>
      <c r="R45" s="52"/>
      <c r="S45" s="52"/>
      <c r="T45" s="52"/>
      <c r="U45" s="52"/>
      <c r="V45" s="52"/>
      <c r="W45" s="52"/>
      <c r="X45" s="52"/>
      <c r="Y45" s="52"/>
      <c r="Z45" s="52"/>
    </row>
    <row r="46" spans="1:26" ht="27.75" customHeight="1">
      <c r="A46" s="61">
        <v>38</v>
      </c>
      <c r="B46" s="57"/>
      <c r="C46" s="60" t="s">
        <v>982</v>
      </c>
      <c r="D46" s="61" t="s">
        <v>1820</v>
      </c>
      <c r="E46" s="57" t="s">
        <v>13</v>
      </c>
      <c r="F46" s="57" t="s">
        <v>1855</v>
      </c>
      <c r="G46" s="60" t="s">
        <v>1856</v>
      </c>
      <c r="H46" s="52"/>
      <c r="I46" s="52"/>
      <c r="J46" s="52"/>
      <c r="K46" s="52"/>
      <c r="L46" s="52"/>
      <c r="M46" s="52"/>
      <c r="N46" s="52"/>
      <c r="O46" s="52"/>
      <c r="P46" s="52"/>
      <c r="Q46" s="52"/>
      <c r="R46" s="52"/>
      <c r="S46" s="52"/>
      <c r="T46" s="52"/>
      <c r="U46" s="52"/>
      <c r="V46" s="52"/>
      <c r="W46" s="52"/>
      <c r="X46" s="52"/>
      <c r="Y46" s="52"/>
      <c r="Z46" s="52"/>
    </row>
    <row r="47" spans="1:26" ht="27.75" customHeight="1">
      <c r="A47" s="57">
        <v>39</v>
      </c>
      <c r="B47" s="57"/>
      <c r="C47" s="60" t="s">
        <v>1002</v>
      </c>
      <c r="D47" s="61" t="s">
        <v>1822</v>
      </c>
      <c r="E47" s="57" t="s">
        <v>1291</v>
      </c>
      <c r="F47" s="57" t="s">
        <v>1855</v>
      </c>
      <c r="G47" s="60" t="s">
        <v>1856</v>
      </c>
      <c r="H47" s="52"/>
      <c r="I47" s="52"/>
      <c r="J47" s="52"/>
      <c r="K47" s="52"/>
      <c r="L47" s="52"/>
      <c r="M47" s="52"/>
      <c r="N47" s="52"/>
      <c r="O47" s="52"/>
      <c r="P47" s="52"/>
      <c r="Q47" s="52"/>
      <c r="R47" s="52"/>
      <c r="S47" s="52"/>
      <c r="T47" s="52"/>
      <c r="U47" s="52"/>
      <c r="V47" s="52"/>
      <c r="W47" s="52"/>
      <c r="X47" s="52"/>
      <c r="Y47" s="52"/>
      <c r="Z47" s="52"/>
    </row>
    <row r="48" spans="1:26" ht="27.75" customHeight="1">
      <c r="A48" s="61">
        <v>40</v>
      </c>
      <c r="B48" s="57"/>
      <c r="C48" s="60" t="s">
        <v>1016</v>
      </c>
      <c r="D48" s="61" t="s">
        <v>1824</v>
      </c>
      <c r="E48" s="57" t="s">
        <v>1295</v>
      </c>
      <c r="F48" s="57" t="s">
        <v>1855</v>
      </c>
      <c r="G48" s="60" t="s">
        <v>1856</v>
      </c>
      <c r="H48" s="52"/>
      <c r="I48" s="52"/>
      <c r="J48" s="52"/>
      <c r="K48" s="52"/>
      <c r="L48" s="52"/>
      <c r="M48" s="52"/>
      <c r="N48" s="52"/>
      <c r="O48" s="52"/>
      <c r="P48" s="52"/>
      <c r="Q48" s="52"/>
      <c r="R48" s="52"/>
      <c r="S48" s="52"/>
      <c r="T48" s="52"/>
      <c r="U48" s="52"/>
      <c r="V48" s="52"/>
      <c r="W48" s="52"/>
      <c r="X48" s="52"/>
      <c r="Y48" s="52"/>
      <c r="Z48" s="52"/>
    </row>
    <row r="49" spans="1:26" ht="27.75" customHeight="1">
      <c r="A49" s="57">
        <v>41</v>
      </c>
      <c r="B49" s="57"/>
      <c r="C49" s="60" t="s">
        <v>1023</v>
      </c>
      <c r="D49" s="61" t="s">
        <v>1825</v>
      </c>
      <c r="E49" s="57" t="s">
        <v>13</v>
      </c>
      <c r="F49" s="57" t="s">
        <v>1855</v>
      </c>
      <c r="G49" s="60" t="s">
        <v>1856</v>
      </c>
      <c r="H49" s="52"/>
      <c r="I49" s="52"/>
      <c r="J49" s="52"/>
      <c r="K49" s="52"/>
      <c r="L49" s="52"/>
      <c r="M49" s="52"/>
      <c r="N49" s="52"/>
      <c r="O49" s="52"/>
      <c r="P49" s="52"/>
      <c r="Q49" s="52"/>
      <c r="R49" s="52"/>
      <c r="S49" s="52"/>
      <c r="T49" s="52"/>
      <c r="U49" s="52"/>
      <c r="V49" s="52"/>
      <c r="W49" s="52"/>
      <c r="X49" s="52"/>
      <c r="Y49" s="52"/>
      <c r="Z49" s="52"/>
    </row>
    <row r="50" spans="1:26" ht="27.75" customHeight="1">
      <c r="A50" s="61">
        <v>42</v>
      </c>
      <c r="B50" s="57"/>
      <c r="C50" s="60" t="s">
        <v>1036</v>
      </c>
      <c r="D50" s="61" t="s">
        <v>1826</v>
      </c>
      <c r="E50" s="57" t="s">
        <v>1301</v>
      </c>
      <c r="F50" s="57" t="s">
        <v>1855</v>
      </c>
      <c r="G50" s="60" t="s">
        <v>1856</v>
      </c>
      <c r="H50" s="52"/>
      <c r="I50" s="52"/>
      <c r="J50" s="52"/>
      <c r="K50" s="52"/>
      <c r="L50" s="52"/>
      <c r="M50" s="52"/>
      <c r="N50" s="52"/>
      <c r="O50" s="52"/>
      <c r="P50" s="52"/>
      <c r="Q50" s="52"/>
      <c r="R50" s="52"/>
      <c r="S50" s="52"/>
      <c r="T50" s="52"/>
      <c r="U50" s="52"/>
      <c r="V50" s="52"/>
      <c r="W50" s="52"/>
      <c r="X50" s="52"/>
      <c r="Y50" s="52"/>
      <c r="Z50" s="52"/>
    </row>
    <row r="51" spans="1:26" ht="27.75" customHeight="1">
      <c r="A51" s="57">
        <v>43</v>
      </c>
      <c r="B51" s="57"/>
      <c r="C51" s="60" t="s">
        <v>1043</v>
      </c>
      <c r="D51" s="61" t="s">
        <v>1827</v>
      </c>
      <c r="E51" s="57" t="s">
        <v>1295</v>
      </c>
      <c r="F51" s="57" t="s">
        <v>1855</v>
      </c>
      <c r="G51" s="60" t="s">
        <v>1856</v>
      </c>
      <c r="H51" s="52"/>
      <c r="I51" s="52"/>
      <c r="J51" s="52"/>
      <c r="K51" s="52"/>
      <c r="L51" s="52"/>
      <c r="M51" s="52"/>
      <c r="N51" s="52"/>
      <c r="O51" s="52"/>
      <c r="P51" s="52"/>
      <c r="Q51" s="52"/>
      <c r="R51" s="52"/>
      <c r="S51" s="52"/>
      <c r="T51" s="52"/>
      <c r="U51" s="52"/>
      <c r="V51" s="52"/>
      <c r="W51" s="52"/>
      <c r="X51" s="52"/>
      <c r="Y51" s="52"/>
      <c r="Z51" s="52"/>
    </row>
    <row r="52" spans="1:26" ht="27.75" customHeight="1">
      <c r="A52" s="61">
        <v>44</v>
      </c>
      <c r="B52" s="57"/>
      <c r="C52" s="60" t="s">
        <v>1050</v>
      </c>
      <c r="D52" s="61" t="s">
        <v>1828</v>
      </c>
      <c r="E52" s="57" t="s">
        <v>13</v>
      </c>
      <c r="F52" s="57" t="s">
        <v>1855</v>
      </c>
      <c r="G52" s="60" t="s">
        <v>1856</v>
      </c>
      <c r="H52" s="52"/>
      <c r="I52" s="52"/>
      <c r="J52" s="52"/>
      <c r="K52" s="52"/>
      <c r="L52" s="52"/>
      <c r="M52" s="52"/>
      <c r="N52" s="52"/>
      <c r="O52" s="52"/>
      <c r="P52" s="52"/>
      <c r="Q52" s="52"/>
      <c r="R52" s="52"/>
      <c r="S52" s="52"/>
      <c r="T52" s="52"/>
      <c r="U52" s="52"/>
      <c r="V52" s="52"/>
      <c r="W52" s="52"/>
      <c r="X52" s="52"/>
      <c r="Y52" s="52"/>
      <c r="Z52" s="52"/>
    </row>
    <row r="53" spans="1:26" ht="27.75" customHeight="1">
      <c r="A53" s="57">
        <v>45</v>
      </c>
      <c r="B53" s="57"/>
      <c r="C53" s="60" t="s">
        <v>1059</v>
      </c>
      <c r="D53" s="61" t="s">
        <v>1829</v>
      </c>
      <c r="E53" s="57" t="s">
        <v>13</v>
      </c>
      <c r="F53" s="57" t="s">
        <v>1855</v>
      </c>
      <c r="G53" s="60" t="s">
        <v>1856</v>
      </c>
      <c r="H53" s="52"/>
      <c r="I53" s="52"/>
      <c r="J53" s="52"/>
      <c r="K53" s="52"/>
      <c r="L53" s="52"/>
      <c r="M53" s="52"/>
      <c r="N53" s="52"/>
      <c r="O53" s="52"/>
      <c r="P53" s="52"/>
      <c r="Q53" s="52"/>
      <c r="R53" s="52"/>
      <c r="S53" s="52"/>
      <c r="T53" s="52"/>
      <c r="U53" s="52"/>
      <c r="V53" s="52"/>
      <c r="W53" s="52"/>
      <c r="X53" s="52"/>
      <c r="Y53" s="52"/>
      <c r="Z53" s="52"/>
    </row>
    <row r="54" spans="1:26" ht="27.75" customHeight="1">
      <c r="A54" s="61">
        <v>46</v>
      </c>
      <c r="B54" s="57"/>
      <c r="C54" s="60" t="s">
        <v>1085</v>
      </c>
      <c r="D54" s="61" t="s">
        <v>1830</v>
      </c>
      <c r="E54" s="57" t="s">
        <v>13</v>
      </c>
      <c r="F54" s="57" t="s">
        <v>1855</v>
      </c>
      <c r="G54" s="60" t="s">
        <v>1856</v>
      </c>
      <c r="H54" s="52"/>
      <c r="I54" s="52"/>
      <c r="J54" s="52"/>
      <c r="K54" s="52"/>
      <c r="L54" s="52"/>
      <c r="M54" s="52"/>
      <c r="N54" s="52"/>
      <c r="O54" s="52"/>
      <c r="P54" s="52"/>
      <c r="Q54" s="52"/>
      <c r="R54" s="52"/>
      <c r="S54" s="52"/>
      <c r="T54" s="52"/>
      <c r="U54" s="52"/>
      <c r="V54" s="52"/>
      <c r="W54" s="52"/>
      <c r="X54" s="52"/>
      <c r="Y54" s="52"/>
      <c r="Z54" s="52"/>
    </row>
    <row r="55" spans="1:26" ht="27.75" customHeight="1">
      <c r="A55" s="57">
        <v>47</v>
      </c>
      <c r="B55" s="57"/>
      <c r="C55" s="60" t="s">
        <v>1094</v>
      </c>
      <c r="D55" s="61" t="s">
        <v>1831</v>
      </c>
      <c r="E55" s="57" t="s">
        <v>13</v>
      </c>
      <c r="F55" s="57" t="s">
        <v>1855</v>
      </c>
      <c r="G55" s="60" t="s">
        <v>1856</v>
      </c>
      <c r="H55" s="52"/>
      <c r="I55" s="52"/>
      <c r="J55" s="52"/>
      <c r="K55" s="52"/>
      <c r="L55" s="52"/>
      <c r="M55" s="52"/>
      <c r="N55" s="52"/>
      <c r="O55" s="52"/>
      <c r="P55" s="52"/>
      <c r="Q55" s="52"/>
      <c r="R55" s="52"/>
      <c r="S55" s="52"/>
      <c r="T55" s="52"/>
      <c r="U55" s="52"/>
      <c r="V55" s="52"/>
      <c r="W55" s="52"/>
      <c r="X55" s="52"/>
      <c r="Y55" s="52"/>
      <c r="Z55" s="52"/>
    </row>
    <row r="56" spans="1:26" ht="27.75" customHeight="1">
      <c r="A56" s="61">
        <v>48</v>
      </c>
      <c r="B56" s="57"/>
      <c r="C56" s="60" t="s">
        <v>1105</v>
      </c>
      <c r="D56" s="61" t="s">
        <v>1832</v>
      </c>
      <c r="E56" s="57" t="s">
        <v>13</v>
      </c>
      <c r="F56" s="57" t="s">
        <v>1855</v>
      </c>
      <c r="G56" s="60" t="s">
        <v>1856</v>
      </c>
      <c r="H56" s="52"/>
      <c r="I56" s="52"/>
      <c r="J56" s="52"/>
      <c r="K56" s="52"/>
      <c r="L56" s="52"/>
      <c r="M56" s="52"/>
      <c r="N56" s="52"/>
      <c r="O56" s="52"/>
      <c r="P56" s="52"/>
      <c r="Q56" s="52"/>
      <c r="R56" s="52"/>
      <c r="S56" s="52"/>
      <c r="T56" s="52"/>
      <c r="U56" s="52"/>
      <c r="V56" s="52"/>
      <c r="W56" s="52"/>
      <c r="X56" s="52"/>
      <c r="Y56" s="52"/>
      <c r="Z56" s="52"/>
    </row>
    <row r="57" spans="1:26" ht="27.75" customHeight="1">
      <c r="A57" s="57">
        <v>49</v>
      </c>
      <c r="B57" s="57"/>
      <c r="C57" s="60" t="s">
        <v>1116</v>
      </c>
      <c r="D57" s="61" t="s">
        <v>1834</v>
      </c>
      <c r="E57" s="57" t="s">
        <v>1301</v>
      </c>
      <c r="F57" s="57" t="s">
        <v>1855</v>
      </c>
      <c r="G57" s="60" t="s">
        <v>1856</v>
      </c>
      <c r="H57" s="52"/>
      <c r="I57" s="52"/>
      <c r="J57" s="52"/>
      <c r="K57" s="52"/>
      <c r="L57" s="52"/>
      <c r="M57" s="52"/>
      <c r="N57" s="52"/>
      <c r="O57" s="52"/>
      <c r="P57" s="52"/>
      <c r="Q57" s="52"/>
      <c r="R57" s="52"/>
      <c r="S57" s="52"/>
      <c r="T57" s="52"/>
      <c r="U57" s="52"/>
      <c r="V57" s="52"/>
      <c r="W57" s="52"/>
      <c r="X57" s="52"/>
      <c r="Y57" s="52"/>
      <c r="Z57" s="52"/>
    </row>
    <row r="58" spans="1:26" ht="27.75" customHeight="1">
      <c r="A58" s="61">
        <v>50</v>
      </c>
      <c r="B58" s="57"/>
      <c r="C58" s="60" t="s">
        <v>1119</v>
      </c>
      <c r="D58" s="61" t="s">
        <v>1836</v>
      </c>
      <c r="E58" s="57" t="s">
        <v>1313</v>
      </c>
      <c r="F58" s="57" t="s">
        <v>1855</v>
      </c>
      <c r="G58" s="60" t="s">
        <v>1856</v>
      </c>
      <c r="H58" s="52"/>
      <c r="I58" s="52"/>
      <c r="J58" s="52"/>
      <c r="K58" s="52"/>
      <c r="L58" s="52"/>
      <c r="M58" s="52"/>
      <c r="N58" s="52"/>
      <c r="O58" s="52"/>
      <c r="P58" s="52"/>
      <c r="Q58" s="52"/>
      <c r="R58" s="52"/>
      <c r="S58" s="52"/>
      <c r="T58" s="52"/>
      <c r="U58" s="52"/>
      <c r="V58" s="52"/>
      <c r="W58" s="52"/>
      <c r="X58" s="52"/>
      <c r="Y58" s="52"/>
      <c r="Z58" s="52"/>
    </row>
    <row r="59" spans="1:26" ht="27.75" customHeight="1">
      <c r="A59" s="57">
        <v>51</v>
      </c>
      <c r="B59" s="57"/>
      <c r="C59" s="60" t="s">
        <v>1124</v>
      </c>
      <c r="D59" s="61" t="s">
        <v>1837</v>
      </c>
      <c r="E59" s="57" t="s">
        <v>13</v>
      </c>
      <c r="F59" s="57" t="s">
        <v>1855</v>
      </c>
      <c r="G59" s="60" t="s">
        <v>1856</v>
      </c>
      <c r="H59" s="52"/>
      <c r="I59" s="52"/>
      <c r="J59" s="52"/>
      <c r="K59" s="52"/>
      <c r="L59" s="52"/>
      <c r="M59" s="52"/>
      <c r="N59" s="52"/>
      <c r="O59" s="52"/>
      <c r="P59" s="52"/>
      <c r="Q59" s="52"/>
      <c r="R59" s="52"/>
      <c r="S59" s="52"/>
      <c r="T59" s="52"/>
      <c r="U59" s="52"/>
      <c r="V59" s="52"/>
      <c r="W59" s="52"/>
      <c r="X59" s="52"/>
      <c r="Y59" s="52"/>
      <c r="Z59" s="52"/>
    </row>
    <row r="60" spans="1:26" ht="27.75" customHeight="1">
      <c r="A60" s="61">
        <v>52</v>
      </c>
      <c r="B60" s="57"/>
      <c r="C60" s="60" t="s">
        <v>1132</v>
      </c>
      <c r="D60" s="61" t="s">
        <v>1838</v>
      </c>
      <c r="E60" s="57" t="s">
        <v>1291</v>
      </c>
      <c r="F60" s="57" t="s">
        <v>1855</v>
      </c>
      <c r="G60" s="60" t="s">
        <v>1856</v>
      </c>
      <c r="H60" s="52"/>
      <c r="I60" s="52"/>
      <c r="J60" s="52"/>
      <c r="K60" s="52"/>
      <c r="L60" s="52"/>
      <c r="M60" s="52"/>
      <c r="N60" s="52"/>
      <c r="O60" s="52"/>
      <c r="P60" s="52"/>
      <c r="Q60" s="52"/>
      <c r="R60" s="52"/>
      <c r="S60" s="52"/>
      <c r="T60" s="52"/>
      <c r="U60" s="52"/>
      <c r="V60" s="52"/>
      <c r="W60" s="52"/>
      <c r="X60" s="52"/>
      <c r="Y60" s="52"/>
      <c r="Z60" s="52"/>
    </row>
    <row r="61" spans="1:26" ht="27.75" customHeight="1">
      <c r="A61" s="57">
        <v>53</v>
      </c>
      <c r="B61" s="57">
        <v>1</v>
      </c>
      <c r="C61" s="60" t="s">
        <v>337</v>
      </c>
      <c r="D61" s="61" t="s">
        <v>338</v>
      </c>
      <c r="E61" s="57" t="s">
        <v>130</v>
      </c>
      <c r="F61" s="57" t="s">
        <v>1855</v>
      </c>
      <c r="G61" s="60" t="s">
        <v>1856</v>
      </c>
      <c r="H61" s="52"/>
      <c r="I61" s="52"/>
      <c r="J61" s="52"/>
      <c r="K61" s="52"/>
      <c r="L61" s="52"/>
      <c r="M61" s="52"/>
      <c r="N61" s="52"/>
      <c r="O61" s="52"/>
      <c r="P61" s="52"/>
      <c r="Q61" s="52"/>
      <c r="R61" s="52"/>
      <c r="S61" s="52"/>
      <c r="T61" s="52"/>
      <c r="U61" s="52"/>
      <c r="V61" s="52"/>
      <c r="W61" s="52"/>
      <c r="X61" s="52"/>
      <c r="Y61" s="52"/>
      <c r="Z61" s="52"/>
    </row>
    <row r="62" spans="1:26" ht="27.75" customHeight="1">
      <c r="A62" s="61">
        <v>54</v>
      </c>
      <c r="B62" s="57">
        <v>1</v>
      </c>
      <c r="C62" s="62" t="s">
        <v>339</v>
      </c>
      <c r="D62" s="61" t="s">
        <v>340</v>
      </c>
      <c r="E62" s="61" t="s">
        <v>341</v>
      </c>
      <c r="F62" s="57" t="s">
        <v>1855</v>
      </c>
      <c r="G62" s="60" t="s">
        <v>1856</v>
      </c>
      <c r="H62" s="47"/>
      <c r="I62" s="47"/>
      <c r="J62" s="47"/>
      <c r="K62" s="47"/>
      <c r="L62" s="47"/>
      <c r="M62" s="47"/>
      <c r="N62" s="47"/>
      <c r="O62" s="47"/>
      <c r="P62" s="47"/>
      <c r="Q62" s="47"/>
      <c r="R62" s="47"/>
      <c r="S62" s="47"/>
      <c r="T62" s="47"/>
      <c r="U62" s="47"/>
      <c r="V62" s="47"/>
      <c r="W62" s="47"/>
      <c r="X62" s="47"/>
      <c r="Y62" s="47"/>
      <c r="Z62" s="47"/>
    </row>
    <row r="63" spans="1:26" ht="27.75" customHeight="1">
      <c r="A63" s="57">
        <v>55</v>
      </c>
      <c r="B63" s="57">
        <v>1</v>
      </c>
      <c r="C63" s="58" t="s">
        <v>342</v>
      </c>
      <c r="D63" s="57" t="s">
        <v>343</v>
      </c>
      <c r="E63" s="57" t="s">
        <v>341</v>
      </c>
      <c r="F63" s="57" t="s">
        <v>1855</v>
      </c>
      <c r="G63" s="60" t="s">
        <v>1856</v>
      </c>
      <c r="H63" s="52"/>
      <c r="I63" s="52"/>
      <c r="J63" s="57"/>
      <c r="K63" s="52"/>
      <c r="L63" s="52"/>
      <c r="M63" s="52"/>
      <c r="N63" s="52"/>
      <c r="O63" s="52"/>
      <c r="P63" s="52"/>
      <c r="Q63" s="52"/>
      <c r="R63" s="52"/>
      <c r="S63" s="52"/>
      <c r="T63" s="52"/>
      <c r="U63" s="52"/>
      <c r="V63" s="52"/>
      <c r="W63" s="52"/>
      <c r="X63" s="52"/>
      <c r="Y63" s="52"/>
      <c r="Z63" s="52"/>
    </row>
    <row r="64" spans="1:26" ht="27.75" customHeight="1">
      <c r="A64" s="61">
        <v>56</v>
      </c>
      <c r="B64" s="57">
        <v>1</v>
      </c>
      <c r="C64" s="60" t="s">
        <v>344</v>
      </c>
      <c r="D64" s="61" t="s">
        <v>345</v>
      </c>
      <c r="E64" s="57" t="s">
        <v>346</v>
      </c>
      <c r="F64" s="57" t="s">
        <v>1855</v>
      </c>
      <c r="G64" s="60" t="s">
        <v>1856</v>
      </c>
      <c r="H64" s="52"/>
      <c r="I64" s="52"/>
      <c r="J64" s="52"/>
      <c r="K64" s="52"/>
      <c r="L64" s="52"/>
      <c r="M64" s="52"/>
      <c r="N64" s="52"/>
      <c r="O64" s="52"/>
      <c r="P64" s="52"/>
      <c r="Q64" s="52"/>
      <c r="R64" s="52"/>
      <c r="S64" s="52"/>
      <c r="T64" s="52"/>
      <c r="U64" s="52"/>
      <c r="V64" s="52"/>
      <c r="W64" s="52"/>
      <c r="X64" s="52"/>
      <c r="Y64" s="52"/>
      <c r="Z64" s="52"/>
    </row>
    <row r="65" spans="1:26" ht="27.75" customHeight="1">
      <c r="A65" s="57">
        <v>57</v>
      </c>
      <c r="B65" s="57">
        <v>1</v>
      </c>
      <c r="C65" s="60" t="s">
        <v>347</v>
      </c>
      <c r="D65" s="61" t="s">
        <v>348</v>
      </c>
      <c r="E65" s="57" t="s">
        <v>349</v>
      </c>
      <c r="F65" s="57" t="s">
        <v>1855</v>
      </c>
      <c r="G65" s="60" t="s">
        <v>1856</v>
      </c>
      <c r="H65" s="52"/>
      <c r="I65" s="52"/>
      <c r="J65" s="52"/>
      <c r="K65" s="52"/>
      <c r="L65" s="52"/>
      <c r="M65" s="52"/>
      <c r="N65" s="52"/>
      <c r="O65" s="52"/>
      <c r="P65" s="52"/>
      <c r="Q65" s="52"/>
      <c r="R65" s="52"/>
      <c r="S65" s="52"/>
      <c r="T65" s="52"/>
      <c r="U65" s="52"/>
      <c r="V65" s="52"/>
      <c r="W65" s="52"/>
      <c r="X65" s="52"/>
      <c r="Y65" s="52"/>
      <c r="Z65" s="52"/>
    </row>
    <row r="66" spans="1:26" ht="27.75" customHeight="1">
      <c r="A66" s="61">
        <v>58</v>
      </c>
      <c r="B66" s="57">
        <v>1</v>
      </c>
      <c r="C66" s="62" t="s">
        <v>350</v>
      </c>
      <c r="D66" s="61" t="s">
        <v>351</v>
      </c>
      <c r="E66" s="61" t="s">
        <v>349</v>
      </c>
      <c r="F66" s="57" t="s">
        <v>1855</v>
      </c>
      <c r="G66" s="60" t="s">
        <v>1856</v>
      </c>
      <c r="H66" s="47"/>
      <c r="I66" s="47"/>
      <c r="J66" s="47"/>
      <c r="K66" s="47"/>
      <c r="L66" s="47"/>
      <c r="M66" s="47"/>
      <c r="N66" s="47"/>
      <c r="O66" s="47"/>
      <c r="P66" s="47"/>
      <c r="Q66" s="47"/>
      <c r="R66" s="47"/>
      <c r="S66" s="47"/>
      <c r="T66" s="47"/>
      <c r="U66" s="47"/>
      <c r="V66" s="47"/>
      <c r="W66" s="47"/>
      <c r="X66" s="47"/>
      <c r="Y66" s="47"/>
      <c r="Z66" s="47"/>
    </row>
    <row r="67" spans="1:26" ht="27.75" customHeight="1">
      <c r="A67" s="57">
        <v>59</v>
      </c>
      <c r="B67" s="57">
        <v>1</v>
      </c>
      <c r="C67" s="58" t="s">
        <v>352</v>
      </c>
      <c r="D67" s="57" t="s">
        <v>353</v>
      </c>
      <c r="E67" s="57" t="s">
        <v>346</v>
      </c>
      <c r="F67" s="61" t="s">
        <v>1857</v>
      </c>
      <c r="G67" s="60" t="s">
        <v>1856</v>
      </c>
      <c r="H67" s="52"/>
      <c r="I67" s="52"/>
      <c r="J67" s="52"/>
      <c r="K67" s="52"/>
      <c r="L67" s="52"/>
      <c r="M67" s="52"/>
      <c r="N67" s="52"/>
      <c r="O67" s="52"/>
      <c r="P67" s="52"/>
      <c r="Q67" s="52"/>
      <c r="R67" s="52"/>
      <c r="S67" s="52"/>
      <c r="T67" s="52"/>
      <c r="U67" s="52"/>
      <c r="V67" s="52"/>
      <c r="W67" s="52"/>
      <c r="X67" s="52"/>
      <c r="Y67" s="52"/>
      <c r="Z67" s="52"/>
    </row>
    <row r="68" spans="1:26" ht="27.75" customHeight="1">
      <c r="A68" s="61">
        <v>60</v>
      </c>
      <c r="B68" s="57">
        <v>1</v>
      </c>
      <c r="C68" s="60" t="s">
        <v>354</v>
      </c>
      <c r="D68" s="61" t="s">
        <v>353</v>
      </c>
      <c r="E68" s="57" t="s">
        <v>346</v>
      </c>
      <c r="F68" s="61" t="s">
        <v>1857</v>
      </c>
      <c r="G68" s="60" t="s">
        <v>1856</v>
      </c>
      <c r="H68" s="52"/>
      <c r="I68" s="52"/>
      <c r="J68" s="52"/>
      <c r="K68" s="52"/>
      <c r="L68" s="52"/>
      <c r="M68" s="52"/>
      <c r="N68" s="52"/>
      <c r="O68" s="52"/>
      <c r="P68" s="52"/>
      <c r="Q68" s="52"/>
      <c r="R68" s="52"/>
      <c r="S68" s="52"/>
      <c r="T68" s="52"/>
      <c r="U68" s="52"/>
      <c r="V68" s="52"/>
      <c r="W68" s="52"/>
      <c r="X68" s="52"/>
      <c r="Y68" s="52"/>
      <c r="Z68" s="52"/>
    </row>
    <row r="69" spans="1:26" ht="27.75" customHeight="1">
      <c r="A69" s="57">
        <v>61</v>
      </c>
      <c r="B69" s="57">
        <v>1</v>
      </c>
      <c r="C69" s="60" t="s">
        <v>1842</v>
      </c>
      <c r="D69" s="61" t="s">
        <v>353</v>
      </c>
      <c r="E69" s="57" t="s">
        <v>349</v>
      </c>
      <c r="F69" s="61" t="s">
        <v>1857</v>
      </c>
      <c r="G69" s="60" t="s">
        <v>1856</v>
      </c>
      <c r="H69" s="52"/>
      <c r="I69" s="52"/>
      <c r="J69" s="52"/>
      <c r="K69" s="52"/>
      <c r="L69" s="52"/>
      <c r="M69" s="52"/>
      <c r="N69" s="52"/>
      <c r="O69" s="52"/>
      <c r="P69" s="52"/>
      <c r="Q69" s="52"/>
      <c r="R69" s="52"/>
      <c r="S69" s="52"/>
      <c r="T69" s="52"/>
      <c r="U69" s="52"/>
      <c r="V69" s="52"/>
      <c r="W69" s="52"/>
      <c r="X69" s="52"/>
      <c r="Y69" s="52"/>
      <c r="Z69" s="52"/>
    </row>
    <row r="70" spans="1:26" ht="15.75" customHeight="1">
      <c r="A70" s="61">
        <v>62</v>
      </c>
      <c r="B70" s="54"/>
      <c r="C70" s="62" t="s">
        <v>56</v>
      </c>
      <c r="D70" s="61" t="s">
        <v>1844</v>
      </c>
      <c r="E70" s="61" t="s">
        <v>13</v>
      </c>
      <c r="F70" s="61" t="s">
        <v>1855</v>
      </c>
      <c r="G70" s="60" t="s">
        <v>1856</v>
      </c>
      <c r="H70" s="47"/>
      <c r="I70" s="47"/>
      <c r="J70" s="47"/>
      <c r="K70" s="47"/>
      <c r="L70" s="47"/>
      <c r="M70" s="47"/>
      <c r="N70" s="47"/>
      <c r="O70" s="47"/>
      <c r="P70" s="47"/>
      <c r="Q70" s="47"/>
      <c r="R70" s="47"/>
      <c r="S70" s="47"/>
      <c r="T70" s="47"/>
      <c r="U70" s="47"/>
      <c r="V70" s="47"/>
      <c r="W70" s="47"/>
      <c r="X70" s="47"/>
      <c r="Y70" s="47"/>
      <c r="Z70" s="47"/>
    </row>
    <row r="71" spans="1:26" ht="15.75" customHeight="1">
      <c r="A71" s="47"/>
      <c r="B71" s="54"/>
      <c r="C71" s="47"/>
      <c r="D71" s="55"/>
      <c r="E71" s="55"/>
      <c r="F71" s="47"/>
      <c r="G71" s="47"/>
      <c r="H71" s="47"/>
      <c r="I71" s="47"/>
      <c r="J71" s="47"/>
      <c r="K71" s="47"/>
      <c r="L71" s="47"/>
      <c r="M71" s="47"/>
      <c r="N71" s="47"/>
      <c r="O71" s="47"/>
      <c r="P71" s="47"/>
      <c r="Q71" s="47"/>
      <c r="R71" s="47"/>
      <c r="S71" s="47"/>
      <c r="T71" s="47"/>
      <c r="U71" s="47"/>
      <c r="V71" s="47"/>
      <c r="W71" s="47"/>
      <c r="X71" s="47"/>
      <c r="Y71" s="47"/>
      <c r="Z71" s="47"/>
    </row>
    <row r="72" spans="1:26" ht="15.75" customHeight="1">
      <c r="A72" s="47"/>
      <c r="B72" s="54"/>
      <c r="C72" s="47"/>
      <c r="D72" s="55"/>
      <c r="E72" s="55"/>
      <c r="F72" s="47"/>
      <c r="G72" s="47"/>
      <c r="H72" s="47"/>
      <c r="I72" s="47"/>
      <c r="J72" s="47"/>
      <c r="K72" s="47"/>
      <c r="L72" s="47"/>
      <c r="M72" s="47"/>
      <c r="N72" s="47"/>
      <c r="O72" s="47"/>
      <c r="P72" s="47"/>
      <c r="Q72" s="47"/>
      <c r="R72" s="47"/>
      <c r="S72" s="47"/>
      <c r="T72" s="47"/>
      <c r="U72" s="47"/>
      <c r="V72" s="47"/>
      <c r="W72" s="47"/>
      <c r="X72" s="47"/>
      <c r="Y72" s="47"/>
      <c r="Z72" s="47"/>
    </row>
    <row r="73" spans="1:26" ht="15.75" customHeight="1">
      <c r="A73" s="47"/>
      <c r="B73" s="54"/>
      <c r="C73" s="47"/>
      <c r="D73" s="55"/>
      <c r="E73" s="55"/>
      <c r="F73" s="47"/>
      <c r="G73" s="47"/>
      <c r="H73" s="47"/>
      <c r="I73" s="47"/>
      <c r="J73" s="47"/>
      <c r="K73" s="47"/>
      <c r="L73" s="47"/>
      <c r="M73" s="47"/>
      <c r="N73" s="47"/>
      <c r="O73" s="47"/>
      <c r="P73" s="47"/>
      <c r="Q73" s="47"/>
      <c r="R73" s="47"/>
      <c r="S73" s="47"/>
      <c r="T73" s="47"/>
      <c r="U73" s="47"/>
      <c r="V73" s="47"/>
      <c r="W73" s="47"/>
      <c r="X73" s="47"/>
      <c r="Y73" s="47"/>
      <c r="Z73" s="47"/>
    </row>
    <row r="74" spans="1:26" ht="15.75" customHeight="1">
      <c r="A74" s="47"/>
      <c r="B74" s="54"/>
      <c r="C74" s="47"/>
      <c r="D74" s="55"/>
      <c r="E74" s="55"/>
      <c r="F74" s="47"/>
      <c r="G74" s="47"/>
      <c r="H74" s="47"/>
      <c r="I74" s="47"/>
      <c r="J74" s="47"/>
      <c r="K74" s="47"/>
      <c r="L74" s="47"/>
      <c r="M74" s="47"/>
      <c r="N74" s="47"/>
      <c r="O74" s="47"/>
      <c r="P74" s="47"/>
      <c r="Q74" s="47"/>
      <c r="R74" s="47"/>
      <c r="S74" s="47"/>
      <c r="T74" s="47"/>
      <c r="U74" s="47"/>
      <c r="V74" s="47"/>
      <c r="W74" s="47"/>
      <c r="X74" s="47"/>
      <c r="Y74" s="47"/>
      <c r="Z74" s="47"/>
    </row>
    <row r="75" spans="1:26" ht="15.75" customHeight="1">
      <c r="A75" s="47"/>
      <c r="B75" s="54"/>
      <c r="C75" s="47"/>
      <c r="D75" s="55"/>
      <c r="E75" s="55"/>
      <c r="F75" s="47"/>
      <c r="G75" s="47"/>
      <c r="H75" s="47"/>
      <c r="I75" s="47"/>
      <c r="J75" s="47"/>
      <c r="K75" s="47"/>
      <c r="L75" s="47"/>
      <c r="M75" s="47"/>
      <c r="N75" s="47"/>
      <c r="O75" s="47"/>
      <c r="P75" s="47"/>
      <c r="Q75" s="47"/>
      <c r="R75" s="47"/>
      <c r="S75" s="47"/>
      <c r="T75" s="47"/>
      <c r="U75" s="47"/>
      <c r="V75" s="47"/>
      <c r="W75" s="47"/>
      <c r="X75" s="47"/>
      <c r="Y75" s="47"/>
      <c r="Z75" s="47"/>
    </row>
    <row r="76" spans="1:26" ht="15.75" customHeight="1">
      <c r="A76" s="47"/>
      <c r="B76" s="54"/>
      <c r="C76" s="47"/>
      <c r="D76" s="55"/>
      <c r="E76" s="55"/>
      <c r="F76" s="47"/>
      <c r="G76" s="47"/>
      <c r="H76" s="47"/>
      <c r="I76" s="47"/>
      <c r="J76" s="47"/>
      <c r="K76" s="47"/>
      <c r="L76" s="47"/>
      <c r="M76" s="47"/>
      <c r="N76" s="47"/>
      <c r="O76" s="47"/>
      <c r="P76" s="47"/>
      <c r="Q76" s="47"/>
      <c r="R76" s="47"/>
      <c r="S76" s="47"/>
      <c r="T76" s="47"/>
      <c r="U76" s="47"/>
      <c r="V76" s="47"/>
      <c r="W76" s="47"/>
      <c r="X76" s="47"/>
      <c r="Y76" s="47"/>
      <c r="Z76" s="47"/>
    </row>
    <row r="77" spans="1:26" ht="15.75" customHeight="1">
      <c r="A77" s="47"/>
      <c r="B77" s="54"/>
      <c r="C77" s="47"/>
      <c r="D77" s="55"/>
      <c r="E77" s="55"/>
      <c r="F77" s="47"/>
      <c r="G77" s="47"/>
      <c r="H77" s="47"/>
      <c r="I77" s="47"/>
      <c r="J77" s="47"/>
      <c r="K77" s="47"/>
      <c r="L77" s="47"/>
      <c r="M77" s="47"/>
      <c r="N77" s="47"/>
      <c r="O77" s="47"/>
      <c r="P77" s="47"/>
      <c r="Q77" s="47"/>
      <c r="R77" s="47"/>
      <c r="S77" s="47"/>
      <c r="T77" s="47"/>
      <c r="U77" s="47"/>
      <c r="V77" s="47"/>
      <c r="W77" s="47"/>
      <c r="X77" s="47"/>
      <c r="Y77" s="47"/>
      <c r="Z77" s="47"/>
    </row>
    <row r="78" spans="1:26" ht="15.75" customHeight="1">
      <c r="A78" s="47"/>
      <c r="B78" s="54"/>
      <c r="C78" s="47"/>
      <c r="D78" s="55"/>
      <c r="E78" s="55"/>
      <c r="F78" s="47"/>
      <c r="G78" s="47"/>
      <c r="H78" s="47"/>
      <c r="I78" s="47"/>
      <c r="J78" s="47"/>
      <c r="K78" s="47"/>
      <c r="L78" s="47"/>
      <c r="M78" s="47"/>
      <c r="N78" s="47"/>
      <c r="O78" s="47"/>
      <c r="P78" s="47"/>
      <c r="Q78" s="47"/>
      <c r="R78" s="47"/>
      <c r="S78" s="47"/>
      <c r="T78" s="47"/>
      <c r="U78" s="47"/>
      <c r="V78" s="47"/>
      <c r="W78" s="47"/>
      <c r="X78" s="47"/>
      <c r="Y78" s="47"/>
      <c r="Z78" s="47"/>
    </row>
    <row r="79" spans="1:26" ht="15.75" customHeight="1">
      <c r="A79" s="47"/>
      <c r="B79" s="54"/>
      <c r="C79" s="47"/>
      <c r="D79" s="55"/>
      <c r="E79" s="55"/>
      <c r="F79" s="47"/>
      <c r="G79" s="47"/>
      <c r="H79" s="47"/>
      <c r="I79" s="47"/>
      <c r="J79" s="47"/>
      <c r="K79" s="47"/>
      <c r="L79" s="47"/>
      <c r="M79" s="47"/>
      <c r="N79" s="47"/>
      <c r="O79" s="47"/>
      <c r="P79" s="47"/>
      <c r="Q79" s="47"/>
      <c r="R79" s="47"/>
      <c r="S79" s="47"/>
      <c r="T79" s="47"/>
      <c r="U79" s="47"/>
      <c r="V79" s="47"/>
      <c r="W79" s="47"/>
      <c r="X79" s="47"/>
      <c r="Y79" s="47"/>
      <c r="Z79" s="47"/>
    </row>
    <row r="80" spans="1:26" ht="15.75" customHeight="1">
      <c r="A80" s="47"/>
      <c r="B80" s="54"/>
      <c r="C80" s="47"/>
      <c r="D80" s="55"/>
      <c r="E80" s="55"/>
      <c r="F80" s="47"/>
      <c r="G80" s="47"/>
      <c r="H80" s="47"/>
      <c r="I80" s="47"/>
      <c r="J80" s="47"/>
      <c r="K80" s="47"/>
      <c r="L80" s="47"/>
      <c r="M80" s="47"/>
      <c r="N80" s="47"/>
      <c r="O80" s="47"/>
      <c r="P80" s="47"/>
      <c r="Q80" s="47"/>
      <c r="R80" s="47"/>
      <c r="S80" s="47"/>
      <c r="T80" s="47"/>
      <c r="U80" s="47"/>
      <c r="V80" s="47"/>
      <c r="W80" s="47"/>
      <c r="X80" s="47"/>
      <c r="Y80" s="47"/>
      <c r="Z80" s="47"/>
    </row>
    <row r="81" spans="1:26" ht="15.75" customHeight="1">
      <c r="A81" s="47"/>
      <c r="B81" s="54"/>
      <c r="C81" s="47"/>
      <c r="D81" s="55"/>
      <c r="E81" s="55"/>
      <c r="F81" s="47"/>
      <c r="G81" s="47"/>
      <c r="H81" s="47"/>
      <c r="I81" s="47"/>
      <c r="J81" s="47"/>
      <c r="K81" s="47"/>
      <c r="L81" s="47"/>
      <c r="M81" s="47"/>
      <c r="N81" s="47"/>
      <c r="O81" s="47"/>
      <c r="P81" s="47"/>
      <c r="Q81" s="47"/>
      <c r="R81" s="47"/>
      <c r="S81" s="47"/>
      <c r="T81" s="47"/>
      <c r="U81" s="47"/>
      <c r="V81" s="47"/>
      <c r="W81" s="47"/>
      <c r="X81" s="47"/>
      <c r="Y81" s="47"/>
      <c r="Z81" s="47"/>
    </row>
    <row r="82" spans="1:26" ht="15.75" customHeight="1">
      <c r="A82" s="47"/>
      <c r="B82" s="54"/>
      <c r="C82" s="47"/>
      <c r="D82" s="55"/>
      <c r="E82" s="55"/>
      <c r="F82" s="47"/>
      <c r="G82" s="47"/>
      <c r="H82" s="47"/>
      <c r="I82" s="47"/>
      <c r="J82" s="47"/>
      <c r="K82" s="47"/>
      <c r="L82" s="47"/>
      <c r="M82" s="47"/>
      <c r="N82" s="47"/>
      <c r="O82" s="47"/>
      <c r="P82" s="47"/>
      <c r="Q82" s="47"/>
      <c r="R82" s="47"/>
      <c r="S82" s="47"/>
      <c r="T82" s="47"/>
      <c r="U82" s="47"/>
      <c r="V82" s="47"/>
      <c r="W82" s="47"/>
      <c r="X82" s="47"/>
      <c r="Y82" s="47"/>
      <c r="Z82" s="47"/>
    </row>
    <row r="83" spans="1:26" ht="15.75" customHeight="1">
      <c r="A83" s="47"/>
      <c r="B83" s="54"/>
      <c r="C83" s="47"/>
      <c r="D83" s="55"/>
      <c r="E83" s="55"/>
      <c r="F83" s="47"/>
      <c r="G83" s="47"/>
      <c r="H83" s="47"/>
      <c r="I83" s="47"/>
      <c r="J83" s="47"/>
      <c r="K83" s="47"/>
      <c r="L83" s="47"/>
      <c r="M83" s="47"/>
      <c r="N83" s="47"/>
      <c r="O83" s="47"/>
      <c r="P83" s="47"/>
      <c r="Q83" s="47"/>
      <c r="R83" s="47"/>
      <c r="S83" s="47"/>
      <c r="T83" s="47"/>
      <c r="U83" s="47"/>
      <c r="V83" s="47"/>
      <c r="W83" s="47"/>
      <c r="X83" s="47"/>
      <c r="Y83" s="47"/>
      <c r="Z83" s="47"/>
    </row>
    <row r="84" spans="1:26" ht="15.75" customHeight="1">
      <c r="A84" s="47"/>
      <c r="B84" s="54"/>
      <c r="C84" s="47"/>
      <c r="D84" s="55"/>
      <c r="E84" s="55"/>
      <c r="F84" s="47"/>
      <c r="G84" s="47"/>
      <c r="H84" s="47"/>
      <c r="I84" s="47"/>
      <c r="J84" s="47"/>
      <c r="K84" s="47"/>
      <c r="L84" s="47"/>
      <c r="M84" s="47"/>
      <c r="N84" s="47"/>
      <c r="O84" s="47"/>
      <c r="P84" s="47"/>
      <c r="Q84" s="47"/>
      <c r="R84" s="47"/>
      <c r="S84" s="47"/>
      <c r="T84" s="47"/>
      <c r="U84" s="47"/>
      <c r="V84" s="47"/>
      <c r="W84" s="47"/>
      <c r="X84" s="47"/>
      <c r="Y84" s="47"/>
      <c r="Z84" s="47"/>
    </row>
    <row r="85" spans="1:26" ht="15.75" customHeight="1">
      <c r="A85" s="47"/>
      <c r="B85" s="54"/>
      <c r="C85" s="47"/>
      <c r="D85" s="55"/>
      <c r="E85" s="55"/>
      <c r="F85" s="47"/>
      <c r="G85" s="47"/>
      <c r="H85" s="47"/>
      <c r="I85" s="47"/>
      <c r="J85" s="47"/>
      <c r="K85" s="47"/>
      <c r="L85" s="47"/>
      <c r="M85" s="47"/>
      <c r="N85" s="47"/>
      <c r="O85" s="47"/>
      <c r="P85" s="47"/>
      <c r="Q85" s="47"/>
      <c r="R85" s="47"/>
      <c r="S85" s="47"/>
      <c r="T85" s="47"/>
      <c r="U85" s="47"/>
      <c r="V85" s="47"/>
      <c r="W85" s="47"/>
      <c r="X85" s="47"/>
      <c r="Y85" s="47"/>
      <c r="Z85" s="47"/>
    </row>
    <row r="86" spans="1:26" ht="15.75" customHeight="1">
      <c r="A86" s="47"/>
      <c r="B86" s="54"/>
      <c r="C86" s="47"/>
      <c r="D86" s="55"/>
      <c r="E86" s="55"/>
      <c r="F86" s="47"/>
      <c r="G86" s="47"/>
      <c r="H86" s="47"/>
      <c r="I86" s="47"/>
      <c r="J86" s="47"/>
      <c r="K86" s="47"/>
      <c r="L86" s="47"/>
      <c r="M86" s="47"/>
      <c r="N86" s="47"/>
      <c r="O86" s="47"/>
      <c r="P86" s="47"/>
      <c r="Q86" s="47"/>
      <c r="R86" s="47"/>
      <c r="S86" s="47"/>
      <c r="T86" s="47"/>
      <c r="U86" s="47"/>
      <c r="V86" s="47"/>
      <c r="W86" s="47"/>
      <c r="X86" s="47"/>
      <c r="Y86" s="47"/>
      <c r="Z86" s="47"/>
    </row>
    <row r="87" spans="1:26" ht="15.75" customHeight="1">
      <c r="A87" s="47"/>
      <c r="B87" s="54"/>
      <c r="C87" s="47"/>
      <c r="D87" s="55"/>
      <c r="E87" s="55"/>
      <c r="F87" s="47"/>
      <c r="G87" s="47"/>
      <c r="H87" s="47"/>
      <c r="I87" s="47"/>
      <c r="J87" s="47"/>
      <c r="K87" s="47"/>
      <c r="L87" s="47"/>
      <c r="M87" s="47"/>
      <c r="N87" s="47"/>
      <c r="O87" s="47"/>
      <c r="P87" s="47"/>
      <c r="Q87" s="47"/>
      <c r="R87" s="47"/>
      <c r="S87" s="47"/>
      <c r="T87" s="47"/>
      <c r="U87" s="47"/>
      <c r="V87" s="47"/>
      <c r="W87" s="47"/>
      <c r="X87" s="47"/>
      <c r="Y87" s="47"/>
      <c r="Z87" s="47"/>
    </row>
    <row r="88" spans="1:26" ht="15.75" customHeight="1">
      <c r="A88" s="47"/>
      <c r="B88" s="54"/>
      <c r="C88" s="47"/>
      <c r="D88" s="55"/>
      <c r="E88" s="55"/>
      <c r="F88" s="47"/>
      <c r="G88" s="47"/>
      <c r="H88" s="47"/>
      <c r="I88" s="47"/>
      <c r="J88" s="47"/>
      <c r="K88" s="47"/>
      <c r="L88" s="47"/>
      <c r="M88" s="47"/>
      <c r="N88" s="47"/>
      <c r="O88" s="47"/>
      <c r="P88" s="47"/>
      <c r="Q88" s="47"/>
      <c r="R88" s="47"/>
      <c r="S88" s="47"/>
      <c r="T88" s="47"/>
      <c r="U88" s="47"/>
      <c r="V88" s="47"/>
      <c r="W88" s="47"/>
      <c r="X88" s="47"/>
      <c r="Y88" s="47"/>
      <c r="Z88" s="47"/>
    </row>
    <row r="89" spans="1:26" ht="15.75" customHeight="1">
      <c r="A89" s="47"/>
      <c r="B89" s="54"/>
      <c r="C89" s="47"/>
      <c r="D89" s="55"/>
      <c r="E89" s="55"/>
      <c r="F89" s="47"/>
      <c r="G89" s="47"/>
      <c r="H89" s="47"/>
      <c r="I89" s="47"/>
      <c r="J89" s="47"/>
      <c r="K89" s="47"/>
      <c r="L89" s="47"/>
      <c r="M89" s="47"/>
      <c r="N89" s="47"/>
      <c r="O89" s="47"/>
      <c r="P89" s="47"/>
      <c r="Q89" s="47"/>
      <c r="R89" s="47"/>
      <c r="S89" s="47"/>
      <c r="T89" s="47"/>
      <c r="U89" s="47"/>
      <c r="V89" s="47"/>
      <c r="W89" s="47"/>
      <c r="X89" s="47"/>
      <c r="Y89" s="47"/>
      <c r="Z89" s="47"/>
    </row>
    <row r="90" spans="1:26" ht="15.75" customHeight="1">
      <c r="A90" s="47"/>
      <c r="B90" s="54"/>
      <c r="C90" s="47"/>
      <c r="D90" s="55"/>
      <c r="E90" s="55"/>
      <c r="F90" s="47"/>
      <c r="G90" s="47"/>
      <c r="H90" s="47"/>
      <c r="I90" s="47"/>
      <c r="J90" s="47"/>
      <c r="K90" s="47"/>
      <c r="L90" s="47"/>
      <c r="M90" s="47"/>
      <c r="N90" s="47"/>
      <c r="O90" s="47"/>
      <c r="P90" s="47"/>
      <c r="Q90" s="47"/>
      <c r="R90" s="47"/>
      <c r="S90" s="47"/>
      <c r="T90" s="47"/>
      <c r="U90" s="47"/>
      <c r="V90" s="47"/>
      <c r="W90" s="47"/>
      <c r="X90" s="47"/>
      <c r="Y90" s="47"/>
      <c r="Z90" s="47"/>
    </row>
    <row r="91" spans="1:26" ht="15.75" customHeight="1">
      <c r="A91" s="47"/>
      <c r="B91" s="54"/>
      <c r="C91" s="47"/>
      <c r="D91" s="55"/>
      <c r="E91" s="55"/>
      <c r="F91" s="47"/>
      <c r="G91" s="47"/>
      <c r="H91" s="47"/>
      <c r="I91" s="47"/>
      <c r="J91" s="47"/>
      <c r="K91" s="47"/>
      <c r="L91" s="47"/>
      <c r="M91" s="47"/>
      <c r="N91" s="47"/>
      <c r="O91" s="47"/>
      <c r="P91" s="47"/>
      <c r="Q91" s="47"/>
      <c r="R91" s="47"/>
      <c r="S91" s="47"/>
      <c r="T91" s="47"/>
      <c r="U91" s="47"/>
      <c r="V91" s="47"/>
      <c r="W91" s="47"/>
      <c r="X91" s="47"/>
      <c r="Y91" s="47"/>
      <c r="Z91" s="47"/>
    </row>
    <row r="92" spans="1:26" ht="15.75" customHeight="1">
      <c r="A92" s="47"/>
      <c r="B92" s="54"/>
      <c r="C92" s="47"/>
      <c r="D92" s="55"/>
      <c r="E92" s="55"/>
      <c r="F92" s="47"/>
      <c r="G92" s="47"/>
      <c r="H92" s="47"/>
      <c r="I92" s="47"/>
      <c r="J92" s="47"/>
      <c r="K92" s="47"/>
      <c r="L92" s="47"/>
      <c r="M92" s="47"/>
      <c r="N92" s="47"/>
      <c r="O92" s="47"/>
      <c r="P92" s="47"/>
      <c r="Q92" s="47"/>
      <c r="R92" s="47"/>
      <c r="S92" s="47"/>
      <c r="T92" s="47"/>
      <c r="U92" s="47"/>
      <c r="V92" s="47"/>
      <c r="W92" s="47"/>
      <c r="X92" s="47"/>
      <c r="Y92" s="47"/>
      <c r="Z92" s="47"/>
    </row>
    <row r="93" spans="1:26" ht="15.75" customHeight="1">
      <c r="A93" s="47"/>
      <c r="B93" s="54"/>
      <c r="C93" s="47"/>
      <c r="D93" s="55"/>
      <c r="E93" s="55"/>
      <c r="F93" s="47"/>
      <c r="G93" s="47"/>
      <c r="H93" s="47"/>
      <c r="I93" s="47"/>
      <c r="J93" s="47"/>
      <c r="K93" s="47"/>
      <c r="L93" s="47"/>
      <c r="M93" s="47"/>
      <c r="N93" s="47"/>
      <c r="O93" s="47"/>
      <c r="P93" s="47"/>
      <c r="Q93" s="47"/>
      <c r="R93" s="47"/>
      <c r="S93" s="47"/>
      <c r="T93" s="47"/>
      <c r="U93" s="47"/>
      <c r="V93" s="47"/>
      <c r="W93" s="47"/>
      <c r="X93" s="47"/>
      <c r="Y93" s="47"/>
      <c r="Z93" s="47"/>
    </row>
    <row r="94" spans="1:26" ht="15.75" customHeight="1">
      <c r="A94" s="47"/>
      <c r="B94" s="54"/>
      <c r="C94" s="47"/>
      <c r="D94" s="55"/>
      <c r="E94" s="55"/>
      <c r="F94" s="47"/>
      <c r="G94" s="47"/>
      <c r="H94" s="47"/>
      <c r="I94" s="47"/>
      <c r="J94" s="47"/>
      <c r="K94" s="47"/>
      <c r="L94" s="47"/>
      <c r="M94" s="47"/>
      <c r="N94" s="47"/>
      <c r="O94" s="47"/>
      <c r="P94" s="47"/>
      <c r="Q94" s="47"/>
      <c r="R94" s="47"/>
      <c r="S94" s="47"/>
      <c r="T94" s="47"/>
      <c r="U94" s="47"/>
      <c r="V94" s="47"/>
      <c r="W94" s="47"/>
      <c r="X94" s="47"/>
      <c r="Y94" s="47"/>
      <c r="Z94" s="47"/>
    </row>
    <row r="95" spans="1:26" ht="15.75" customHeight="1">
      <c r="A95" s="47"/>
      <c r="B95" s="54"/>
      <c r="C95" s="47"/>
      <c r="D95" s="55"/>
      <c r="E95" s="55"/>
      <c r="F95" s="47"/>
      <c r="G95" s="47"/>
      <c r="H95" s="47"/>
      <c r="I95" s="47"/>
      <c r="J95" s="47"/>
      <c r="K95" s="47"/>
      <c r="L95" s="47"/>
      <c r="M95" s="47"/>
      <c r="N95" s="47"/>
      <c r="O95" s="47"/>
      <c r="P95" s="47"/>
      <c r="Q95" s="47"/>
      <c r="R95" s="47"/>
      <c r="S95" s="47"/>
      <c r="T95" s="47"/>
      <c r="U95" s="47"/>
      <c r="V95" s="47"/>
      <c r="W95" s="47"/>
      <c r="X95" s="47"/>
      <c r="Y95" s="47"/>
      <c r="Z95" s="47"/>
    </row>
    <row r="96" spans="1:26" ht="15.75" customHeight="1">
      <c r="A96" s="47"/>
      <c r="B96" s="54"/>
      <c r="C96" s="47"/>
      <c r="D96" s="55"/>
      <c r="E96" s="55"/>
      <c r="F96" s="47"/>
      <c r="G96" s="47"/>
      <c r="H96" s="47"/>
      <c r="I96" s="47"/>
      <c r="J96" s="47"/>
      <c r="K96" s="47"/>
      <c r="L96" s="47"/>
      <c r="M96" s="47"/>
      <c r="N96" s="47"/>
      <c r="O96" s="47"/>
      <c r="P96" s="47"/>
      <c r="Q96" s="47"/>
      <c r="R96" s="47"/>
      <c r="S96" s="47"/>
      <c r="T96" s="47"/>
      <c r="U96" s="47"/>
      <c r="V96" s="47"/>
      <c r="W96" s="47"/>
      <c r="X96" s="47"/>
      <c r="Y96" s="47"/>
      <c r="Z96" s="47"/>
    </row>
    <row r="97" spans="1:26" ht="15.75" customHeight="1">
      <c r="A97" s="47"/>
      <c r="B97" s="54"/>
      <c r="C97" s="47"/>
      <c r="D97" s="55"/>
      <c r="E97" s="55"/>
      <c r="F97" s="47"/>
      <c r="G97" s="47"/>
      <c r="H97" s="47"/>
      <c r="I97" s="47"/>
      <c r="J97" s="47"/>
      <c r="K97" s="47"/>
      <c r="L97" s="47"/>
      <c r="M97" s="47"/>
      <c r="N97" s="47"/>
      <c r="O97" s="47"/>
      <c r="P97" s="47"/>
      <c r="Q97" s="47"/>
      <c r="R97" s="47"/>
      <c r="S97" s="47"/>
      <c r="T97" s="47"/>
      <c r="U97" s="47"/>
      <c r="V97" s="47"/>
      <c r="W97" s="47"/>
      <c r="X97" s="47"/>
      <c r="Y97" s="47"/>
      <c r="Z97" s="47"/>
    </row>
    <row r="98" spans="1:26" ht="15.75" customHeight="1">
      <c r="A98" s="47"/>
      <c r="B98" s="54"/>
      <c r="C98" s="47"/>
      <c r="D98" s="55"/>
      <c r="E98" s="55"/>
      <c r="F98" s="47"/>
      <c r="G98" s="47"/>
      <c r="H98" s="47"/>
      <c r="I98" s="47"/>
      <c r="J98" s="47"/>
      <c r="K98" s="47"/>
      <c r="L98" s="47"/>
      <c r="M98" s="47"/>
      <c r="N98" s="47"/>
      <c r="O98" s="47"/>
      <c r="P98" s="47"/>
      <c r="Q98" s="47"/>
      <c r="R98" s="47"/>
      <c r="S98" s="47"/>
      <c r="T98" s="47"/>
      <c r="U98" s="47"/>
      <c r="V98" s="47"/>
      <c r="W98" s="47"/>
      <c r="X98" s="47"/>
      <c r="Y98" s="47"/>
      <c r="Z98" s="47"/>
    </row>
    <row r="99" spans="1:26" ht="15.75" customHeight="1">
      <c r="A99" s="47"/>
      <c r="B99" s="54"/>
      <c r="C99" s="47"/>
      <c r="D99" s="55"/>
      <c r="E99" s="55"/>
      <c r="F99" s="47"/>
      <c r="G99" s="47"/>
      <c r="H99" s="47"/>
      <c r="I99" s="47"/>
      <c r="J99" s="47"/>
      <c r="K99" s="47"/>
      <c r="L99" s="47"/>
      <c r="M99" s="47"/>
      <c r="N99" s="47"/>
      <c r="O99" s="47"/>
      <c r="P99" s="47"/>
      <c r="Q99" s="47"/>
      <c r="R99" s="47"/>
      <c r="S99" s="47"/>
      <c r="T99" s="47"/>
      <c r="U99" s="47"/>
      <c r="V99" s="47"/>
      <c r="W99" s="47"/>
      <c r="X99" s="47"/>
      <c r="Y99" s="47"/>
      <c r="Z99" s="47"/>
    </row>
    <row r="100" spans="1:26" ht="15.75" customHeight="1">
      <c r="A100" s="47"/>
      <c r="B100" s="54"/>
      <c r="C100" s="47"/>
      <c r="D100" s="55"/>
      <c r="E100" s="55"/>
      <c r="F100" s="47"/>
      <c r="G100" s="47"/>
      <c r="H100" s="47"/>
      <c r="I100" s="47"/>
      <c r="J100" s="47"/>
      <c r="K100" s="47"/>
      <c r="L100" s="47"/>
      <c r="M100" s="47"/>
      <c r="N100" s="47"/>
      <c r="O100" s="47"/>
      <c r="P100" s="47"/>
      <c r="Q100" s="47"/>
      <c r="R100" s="47"/>
      <c r="S100" s="47"/>
      <c r="T100" s="47"/>
      <c r="U100" s="47"/>
      <c r="V100" s="47"/>
      <c r="W100" s="47"/>
      <c r="X100" s="47"/>
      <c r="Y100" s="47"/>
      <c r="Z100" s="47"/>
    </row>
    <row r="101" spans="1:26" ht="15.75" customHeight="1">
      <c r="A101" s="47"/>
      <c r="B101" s="54"/>
      <c r="C101" s="47"/>
      <c r="D101" s="55"/>
      <c r="E101" s="55"/>
      <c r="F101" s="47"/>
      <c r="G101" s="47"/>
      <c r="H101" s="47"/>
      <c r="I101" s="47"/>
      <c r="J101" s="47"/>
      <c r="K101" s="47"/>
      <c r="L101" s="47"/>
      <c r="M101" s="47"/>
      <c r="N101" s="47"/>
      <c r="O101" s="47"/>
      <c r="P101" s="47"/>
      <c r="Q101" s="47"/>
      <c r="R101" s="47"/>
      <c r="S101" s="47"/>
      <c r="T101" s="47"/>
      <c r="U101" s="47"/>
      <c r="V101" s="47"/>
      <c r="W101" s="47"/>
      <c r="X101" s="47"/>
      <c r="Y101" s="47"/>
      <c r="Z101" s="47"/>
    </row>
    <row r="102" spans="1:26" ht="15.75" customHeight="1">
      <c r="A102" s="47"/>
      <c r="B102" s="54"/>
      <c r="C102" s="47"/>
      <c r="D102" s="55"/>
      <c r="E102" s="55"/>
      <c r="F102" s="47"/>
      <c r="G102" s="47"/>
      <c r="H102" s="47"/>
      <c r="I102" s="47"/>
      <c r="J102" s="47"/>
      <c r="K102" s="47"/>
      <c r="L102" s="47"/>
      <c r="M102" s="47"/>
      <c r="N102" s="47"/>
      <c r="O102" s="47"/>
      <c r="P102" s="47"/>
      <c r="Q102" s="47"/>
      <c r="R102" s="47"/>
      <c r="S102" s="47"/>
      <c r="T102" s="47"/>
      <c r="U102" s="47"/>
      <c r="V102" s="47"/>
      <c r="W102" s="47"/>
      <c r="X102" s="47"/>
      <c r="Y102" s="47"/>
      <c r="Z102" s="47"/>
    </row>
    <row r="103" spans="1:26" ht="15.75" customHeight="1">
      <c r="A103" s="47"/>
      <c r="B103" s="54"/>
      <c r="C103" s="47"/>
      <c r="D103" s="55"/>
      <c r="E103" s="55"/>
      <c r="F103" s="47"/>
      <c r="G103" s="47"/>
      <c r="H103" s="47"/>
      <c r="I103" s="47"/>
      <c r="J103" s="47"/>
      <c r="K103" s="47"/>
      <c r="L103" s="47"/>
      <c r="M103" s="47"/>
      <c r="N103" s="47"/>
      <c r="O103" s="47"/>
      <c r="P103" s="47"/>
      <c r="Q103" s="47"/>
      <c r="R103" s="47"/>
      <c r="S103" s="47"/>
      <c r="T103" s="47"/>
      <c r="U103" s="47"/>
      <c r="V103" s="47"/>
      <c r="W103" s="47"/>
      <c r="X103" s="47"/>
      <c r="Y103" s="47"/>
      <c r="Z103" s="47"/>
    </row>
    <row r="104" spans="1:26" ht="15.75" customHeight="1">
      <c r="A104" s="47"/>
      <c r="B104" s="54"/>
      <c r="C104" s="47"/>
      <c r="D104" s="55"/>
      <c r="E104" s="55"/>
      <c r="F104" s="47"/>
      <c r="G104" s="47"/>
      <c r="H104" s="47"/>
      <c r="I104" s="47"/>
      <c r="J104" s="47"/>
      <c r="K104" s="47"/>
      <c r="L104" s="47"/>
      <c r="M104" s="47"/>
      <c r="N104" s="47"/>
      <c r="O104" s="47"/>
      <c r="P104" s="47"/>
      <c r="Q104" s="47"/>
      <c r="R104" s="47"/>
      <c r="S104" s="47"/>
      <c r="T104" s="47"/>
      <c r="U104" s="47"/>
      <c r="V104" s="47"/>
      <c r="W104" s="47"/>
      <c r="X104" s="47"/>
      <c r="Y104" s="47"/>
      <c r="Z104" s="47"/>
    </row>
    <row r="105" spans="1:26" ht="15.75" customHeight="1">
      <c r="A105" s="47"/>
      <c r="B105" s="54"/>
      <c r="C105" s="47"/>
      <c r="D105" s="55"/>
      <c r="E105" s="55"/>
      <c r="F105" s="47"/>
      <c r="G105" s="47"/>
      <c r="H105" s="47"/>
      <c r="I105" s="47"/>
      <c r="J105" s="47"/>
      <c r="K105" s="47"/>
      <c r="L105" s="47"/>
      <c r="M105" s="47"/>
      <c r="N105" s="47"/>
      <c r="O105" s="47"/>
      <c r="P105" s="47"/>
      <c r="Q105" s="47"/>
      <c r="R105" s="47"/>
      <c r="S105" s="47"/>
      <c r="T105" s="47"/>
      <c r="U105" s="47"/>
      <c r="V105" s="47"/>
      <c r="W105" s="47"/>
      <c r="X105" s="47"/>
      <c r="Y105" s="47"/>
      <c r="Z105" s="47"/>
    </row>
    <row r="106" spans="1:26" ht="15.75" customHeight="1">
      <c r="A106" s="47"/>
      <c r="B106" s="54"/>
      <c r="C106" s="47"/>
      <c r="D106" s="55"/>
      <c r="E106" s="55"/>
      <c r="F106" s="47"/>
      <c r="G106" s="47"/>
      <c r="H106" s="47"/>
      <c r="I106" s="47"/>
      <c r="J106" s="47"/>
      <c r="K106" s="47"/>
      <c r="L106" s="47"/>
      <c r="M106" s="47"/>
      <c r="N106" s="47"/>
      <c r="O106" s="47"/>
      <c r="P106" s="47"/>
      <c r="Q106" s="47"/>
      <c r="R106" s="47"/>
      <c r="S106" s="47"/>
      <c r="T106" s="47"/>
      <c r="U106" s="47"/>
      <c r="V106" s="47"/>
      <c r="W106" s="47"/>
      <c r="X106" s="47"/>
      <c r="Y106" s="47"/>
      <c r="Z106" s="47"/>
    </row>
    <row r="107" spans="1:26" ht="15.75" customHeight="1">
      <c r="A107" s="47"/>
      <c r="B107" s="54"/>
      <c r="C107" s="47"/>
      <c r="D107" s="55"/>
      <c r="E107" s="55"/>
      <c r="F107" s="47"/>
      <c r="G107" s="47"/>
      <c r="H107" s="47"/>
      <c r="I107" s="47"/>
      <c r="J107" s="47"/>
      <c r="K107" s="47"/>
      <c r="L107" s="47"/>
      <c r="M107" s="47"/>
      <c r="N107" s="47"/>
      <c r="O107" s="47"/>
      <c r="P107" s="47"/>
      <c r="Q107" s="47"/>
      <c r="R107" s="47"/>
      <c r="S107" s="47"/>
      <c r="T107" s="47"/>
      <c r="U107" s="47"/>
      <c r="V107" s="47"/>
      <c r="W107" s="47"/>
      <c r="X107" s="47"/>
      <c r="Y107" s="47"/>
      <c r="Z107" s="47"/>
    </row>
    <row r="108" spans="1:26" ht="15.75" customHeight="1">
      <c r="A108" s="47"/>
      <c r="B108" s="54"/>
      <c r="C108" s="47"/>
      <c r="D108" s="55"/>
      <c r="E108" s="55"/>
      <c r="F108" s="47"/>
      <c r="G108" s="47"/>
      <c r="H108" s="47"/>
      <c r="I108" s="47"/>
      <c r="J108" s="47"/>
      <c r="K108" s="47"/>
      <c r="L108" s="47"/>
      <c r="M108" s="47"/>
      <c r="N108" s="47"/>
      <c r="O108" s="47"/>
      <c r="P108" s="47"/>
      <c r="Q108" s="47"/>
      <c r="R108" s="47"/>
      <c r="S108" s="47"/>
      <c r="T108" s="47"/>
      <c r="U108" s="47"/>
      <c r="V108" s="47"/>
      <c r="W108" s="47"/>
      <c r="X108" s="47"/>
      <c r="Y108" s="47"/>
      <c r="Z108" s="47"/>
    </row>
    <row r="109" spans="1:26" ht="15.75" customHeight="1">
      <c r="A109" s="47"/>
      <c r="B109" s="54"/>
      <c r="C109" s="47"/>
      <c r="D109" s="55"/>
      <c r="E109" s="55"/>
      <c r="F109" s="47"/>
      <c r="G109" s="47"/>
      <c r="H109" s="47"/>
      <c r="I109" s="47"/>
      <c r="J109" s="47"/>
      <c r="K109" s="47"/>
      <c r="L109" s="47"/>
      <c r="M109" s="47"/>
      <c r="N109" s="47"/>
      <c r="O109" s="47"/>
      <c r="P109" s="47"/>
      <c r="Q109" s="47"/>
      <c r="R109" s="47"/>
      <c r="S109" s="47"/>
      <c r="T109" s="47"/>
      <c r="U109" s="47"/>
      <c r="V109" s="47"/>
      <c r="W109" s="47"/>
      <c r="X109" s="47"/>
      <c r="Y109" s="47"/>
      <c r="Z109" s="47"/>
    </row>
    <row r="110" spans="1:26" ht="15.75" customHeight="1">
      <c r="A110" s="47"/>
      <c r="B110" s="54"/>
      <c r="C110" s="47"/>
      <c r="D110" s="55"/>
      <c r="E110" s="55"/>
      <c r="F110" s="47"/>
      <c r="G110" s="47"/>
      <c r="H110" s="47"/>
      <c r="I110" s="47"/>
      <c r="J110" s="47"/>
      <c r="K110" s="47"/>
      <c r="L110" s="47"/>
      <c r="M110" s="47"/>
      <c r="N110" s="47"/>
      <c r="O110" s="47"/>
      <c r="P110" s="47"/>
      <c r="Q110" s="47"/>
      <c r="R110" s="47"/>
      <c r="S110" s="47"/>
      <c r="T110" s="47"/>
      <c r="U110" s="47"/>
      <c r="V110" s="47"/>
      <c r="W110" s="47"/>
      <c r="X110" s="47"/>
      <c r="Y110" s="47"/>
      <c r="Z110" s="47"/>
    </row>
    <row r="111" spans="1:26" ht="15.75" customHeight="1">
      <c r="A111" s="47"/>
      <c r="B111" s="54"/>
      <c r="C111" s="47"/>
      <c r="D111" s="55"/>
      <c r="E111" s="55"/>
      <c r="F111" s="47"/>
      <c r="G111" s="47"/>
      <c r="H111" s="47"/>
      <c r="I111" s="47"/>
      <c r="J111" s="47"/>
      <c r="K111" s="47"/>
      <c r="L111" s="47"/>
      <c r="M111" s="47"/>
      <c r="N111" s="47"/>
      <c r="O111" s="47"/>
      <c r="P111" s="47"/>
      <c r="Q111" s="47"/>
      <c r="R111" s="47"/>
      <c r="S111" s="47"/>
      <c r="T111" s="47"/>
      <c r="U111" s="47"/>
      <c r="V111" s="47"/>
      <c r="W111" s="47"/>
      <c r="X111" s="47"/>
      <c r="Y111" s="47"/>
      <c r="Z111" s="47"/>
    </row>
    <row r="112" spans="1:26" ht="15.75" customHeight="1">
      <c r="A112" s="47"/>
      <c r="B112" s="54"/>
      <c r="C112" s="47"/>
      <c r="D112" s="55"/>
      <c r="E112" s="55"/>
      <c r="F112" s="47"/>
      <c r="G112" s="47"/>
      <c r="H112" s="47"/>
      <c r="I112" s="47"/>
      <c r="J112" s="47"/>
      <c r="K112" s="47"/>
      <c r="L112" s="47"/>
      <c r="M112" s="47"/>
      <c r="N112" s="47"/>
      <c r="O112" s="47"/>
      <c r="P112" s="47"/>
      <c r="Q112" s="47"/>
      <c r="R112" s="47"/>
      <c r="S112" s="47"/>
      <c r="T112" s="47"/>
      <c r="U112" s="47"/>
      <c r="V112" s="47"/>
      <c r="W112" s="47"/>
      <c r="X112" s="47"/>
      <c r="Y112" s="47"/>
      <c r="Z112" s="47"/>
    </row>
    <row r="113" spans="1:26" ht="15.75" customHeight="1">
      <c r="A113" s="47"/>
      <c r="B113" s="54"/>
      <c r="C113" s="47"/>
      <c r="D113" s="55"/>
      <c r="E113" s="55"/>
      <c r="F113" s="47"/>
      <c r="G113" s="47"/>
      <c r="H113" s="47"/>
      <c r="I113" s="47"/>
      <c r="J113" s="47"/>
      <c r="K113" s="47"/>
      <c r="L113" s="47"/>
      <c r="M113" s="47"/>
      <c r="N113" s="47"/>
      <c r="O113" s="47"/>
      <c r="P113" s="47"/>
      <c r="Q113" s="47"/>
      <c r="R113" s="47"/>
      <c r="S113" s="47"/>
      <c r="T113" s="47"/>
      <c r="U113" s="47"/>
      <c r="V113" s="47"/>
      <c r="W113" s="47"/>
      <c r="X113" s="47"/>
      <c r="Y113" s="47"/>
      <c r="Z113" s="47"/>
    </row>
    <row r="114" spans="1:26" ht="15.75" customHeight="1">
      <c r="A114" s="47"/>
      <c r="B114" s="54"/>
      <c r="C114" s="47"/>
      <c r="D114" s="55"/>
      <c r="E114" s="55"/>
      <c r="F114" s="47"/>
      <c r="G114" s="47"/>
      <c r="H114" s="47"/>
      <c r="I114" s="47"/>
      <c r="J114" s="47"/>
      <c r="K114" s="47"/>
      <c r="L114" s="47"/>
      <c r="M114" s="47"/>
      <c r="N114" s="47"/>
      <c r="O114" s="47"/>
      <c r="P114" s="47"/>
      <c r="Q114" s="47"/>
      <c r="R114" s="47"/>
      <c r="S114" s="47"/>
      <c r="T114" s="47"/>
      <c r="U114" s="47"/>
      <c r="V114" s="47"/>
      <c r="W114" s="47"/>
      <c r="X114" s="47"/>
      <c r="Y114" s="47"/>
      <c r="Z114" s="47"/>
    </row>
    <row r="115" spans="1:26" ht="15.75" customHeight="1">
      <c r="A115" s="47"/>
      <c r="B115" s="54"/>
      <c r="C115" s="47"/>
      <c r="D115" s="55"/>
      <c r="E115" s="55"/>
      <c r="F115" s="47"/>
      <c r="G115" s="47"/>
      <c r="H115" s="47"/>
      <c r="I115" s="47"/>
      <c r="J115" s="47"/>
      <c r="K115" s="47"/>
      <c r="L115" s="47"/>
      <c r="M115" s="47"/>
      <c r="N115" s="47"/>
      <c r="O115" s="47"/>
      <c r="P115" s="47"/>
      <c r="Q115" s="47"/>
      <c r="R115" s="47"/>
      <c r="S115" s="47"/>
      <c r="T115" s="47"/>
      <c r="U115" s="47"/>
      <c r="V115" s="47"/>
      <c r="W115" s="47"/>
      <c r="X115" s="47"/>
      <c r="Y115" s="47"/>
      <c r="Z115" s="47"/>
    </row>
    <row r="116" spans="1:26" ht="15.75" customHeight="1">
      <c r="A116" s="47"/>
      <c r="B116" s="54"/>
      <c r="C116" s="47"/>
      <c r="D116" s="55"/>
      <c r="E116" s="55"/>
      <c r="F116" s="47"/>
      <c r="G116" s="47"/>
      <c r="H116" s="47"/>
      <c r="I116" s="47"/>
      <c r="J116" s="47"/>
      <c r="K116" s="47"/>
      <c r="L116" s="47"/>
      <c r="M116" s="47"/>
      <c r="N116" s="47"/>
      <c r="O116" s="47"/>
      <c r="P116" s="47"/>
      <c r="Q116" s="47"/>
      <c r="R116" s="47"/>
      <c r="S116" s="47"/>
      <c r="T116" s="47"/>
      <c r="U116" s="47"/>
      <c r="V116" s="47"/>
      <c r="W116" s="47"/>
      <c r="X116" s="47"/>
      <c r="Y116" s="47"/>
      <c r="Z116" s="47"/>
    </row>
    <row r="117" spans="1:26" ht="15.75" customHeight="1">
      <c r="A117" s="47"/>
      <c r="B117" s="54"/>
      <c r="C117" s="47"/>
      <c r="D117" s="55"/>
      <c r="E117" s="55"/>
      <c r="F117" s="47"/>
      <c r="G117" s="47"/>
      <c r="H117" s="47"/>
      <c r="I117" s="47"/>
      <c r="J117" s="47"/>
      <c r="K117" s="47"/>
      <c r="L117" s="47"/>
      <c r="M117" s="47"/>
      <c r="N117" s="47"/>
      <c r="O117" s="47"/>
      <c r="P117" s="47"/>
      <c r="Q117" s="47"/>
      <c r="R117" s="47"/>
      <c r="S117" s="47"/>
      <c r="T117" s="47"/>
      <c r="U117" s="47"/>
      <c r="V117" s="47"/>
      <c r="W117" s="47"/>
      <c r="X117" s="47"/>
      <c r="Y117" s="47"/>
      <c r="Z117" s="47"/>
    </row>
    <row r="118" spans="1:26" ht="15.75" customHeight="1">
      <c r="A118" s="47"/>
      <c r="B118" s="54"/>
      <c r="C118" s="47"/>
      <c r="D118" s="55"/>
      <c r="E118" s="55"/>
      <c r="F118" s="47"/>
      <c r="G118" s="47"/>
      <c r="H118" s="47"/>
      <c r="I118" s="47"/>
      <c r="J118" s="47"/>
      <c r="K118" s="47"/>
      <c r="L118" s="47"/>
      <c r="M118" s="47"/>
      <c r="N118" s="47"/>
      <c r="O118" s="47"/>
      <c r="P118" s="47"/>
      <c r="Q118" s="47"/>
      <c r="R118" s="47"/>
      <c r="S118" s="47"/>
      <c r="T118" s="47"/>
      <c r="U118" s="47"/>
      <c r="V118" s="47"/>
      <c r="W118" s="47"/>
      <c r="X118" s="47"/>
      <c r="Y118" s="47"/>
      <c r="Z118" s="47"/>
    </row>
    <row r="119" spans="1:26" ht="15.75" customHeight="1">
      <c r="A119" s="47"/>
      <c r="B119" s="54"/>
      <c r="C119" s="47"/>
      <c r="D119" s="55"/>
      <c r="E119" s="55"/>
      <c r="F119" s="47"/>
      <c r="G119" s="47"/>
      <c r="H119" s="47"/>
      <c r="I119" s="47"/>
      <c r="J119" s="47"/>
      <c r="K119" s="47"/>
      <c r="L119" s="47"/>
      <c r="M119" s="47"/>
      <c r="N119" s="47"/>
      <c r="O119" s="47"/>
      <c r="P119" s="47"/>
      <c r="Q119" s="47"/>
      <c r="R119" s="47"/>
      <c r="S119" s="47"/>
      <c r="T119" s="47"/>
      <c r="U119" s="47"/>
      <c r="V119" s="47"/>
      <c r="W119" s="47"/>
      <c r="X119" s="47"/>
      <c r="Y119" s="47"/>
      <c r="Z119" s="47"/>
    </row>
    <row r="120" spans="1:26" ht="15.75" customHeight="1">
      <c r="A120" s="47"/>
      <c r="B120" s="54"/>
      <c r="C120" s="47"/>
      <c r="D120" s="55"/>
      <c r="E120" s="55"/>
      <c r="F120" s="47"/>
      <c r="G120" s="47"/>
      <c r="H120" s="47"/>
      <c r="I120" s="47"/>
      <c r="J120" s="47"/>
      <c r="K120" s="47"/>
      <c r="L120" s="47"/>
      <c r="M120" s="47"/>
      <c r="N120" s="47"/>
      <c r="O120" s="47"/>
      <c r="P120" s="47"/>
      <c r="Q120" s="47"/>
      <c r="R120" s="47"/>
      <c r="S120" s="47"/>
      <c r="T120" s="47"/>
      <c r="U120" s="47"/>
      <c r="V120" s="47"/>
      <c r="W120" s="47"/>
      <c r="X120" s="47"/>
      <c r="Y120" s="47"/>
      <c r="Z120" s="47"/>
    </row>
    <row r="121" spans="1:26" ht="15.75" customHeight="1">
      <c r="A121" s="47"/>
      <c r="B121" s="54"/>
      <c r="C121" s="47"/>
      <c r="D121" s="55"/>
      <c r="E121" s="55"/>
      <c r="F121" s="47"/>
      <c r="G121" s="47"/>
      <c r="H121" s="47"/>
      <c r="I121" s="47"/>
      <c r="J121" s="47"/>
      <c r="K121" s="47"/>
      <c r="L121" s="47"/>
      <c r="M121" s="47"/>
      <c r="N121" s="47"/>
      <c r="O121" s="47"/>
      <c r="P121" s="47"/>
      <c r="Q121" s="47"/>
      <c r="R121" s="47"/>
      <c r="S121" s="47"/>
      <c r="T121" s="47"/>
      <c r="U121" s="47"/>
      <c r="V121" s="47"/>
      <c r="W121" s="47"/>
      <c r="X121" s="47"/>
      <c r="Y121" s="47"/>
      <c r="Z121" s="47"/>
    </row>
    <row r="122" spans="1:26" ht="15.75" customHeight="1">
      <c r="A122" s="47"/>
      <c r="B122" s="54"/>
      <c r="C122" s="47"/>
      <c r="D122" s="55"/>
      <c r="E122" s="55"/>
      <c r="F122" s="47"/>
      <c r="G122" s="47"/>
      <c r="H122" s="47"/>
      <c r="I122" s="47"/>
      <c r="J122" s="47"/>
      <c r="K122" s="47"/>
      <c r="L122" s="47"/>
      <c r="M122" s="47"/>
      <c r="N122" s="47"/>
      <c r="O122" s="47"/>
      <c r="P122" s="47"/>
      <c r="Q122" s="47"/>
      <c r="R122" s="47"/>
      <c r="S122" s="47"/>
      <c r="T122" s="47"/>
      <c r="U122" s="47"/>
      <c r="V122" s="47"/>
      <c r="W122" s="47"/>
      <c r="X122" s="47"/>
      <c r="Y122" s="47"/>
      <c r="Z122" s="47"/>
    </row>
    <row r="123" spans="1:26" ht="15.75" customHeight="1">
      <c r="A123" s="47"/>
      <c r="B123" s="54"/>
      <c r="C123" s="47"/>
      <c r="D123" s="55"/>
      <c r="E123" s="55"/>
      <c r="F123" s="47"/>
      <c r="G123" s="47"/>
      <c r="H123" s="47"/>
      <c r="I123" s="47"/>
      <c r="J123" s="47"/>
      <c r="K123" s="47"/>
      <c r="L123" s="47"/>
      <c r="M123" s="47"/>
      <c r="N123" s="47"/>
      <c r="O123" s="47"/>
      <c r="P123" s="47"/>
      <c r="Q123" s="47"/>
      <c r="R123" s="47"/>
      <c r="S123" s="47"/>
      <c r="T123" s="47"/>
      <c r="U123" s="47"/>
      <c r="V123" s="47"/>
      <c r="W123" s="47"/>
      <c r="X123" s="47"/>
      <c r="Y123" s="47"/>
      <c r="Z123" s="47"/>
    </row>
    <row r="124" spans="1:26" ht="15.75" customHeight="1">
      <c r="A124" s="47"/>
      <c r="B124" s="54"/>
      <c r="C124" s="47"/>
      <c r="D124" s="55"/>
      <c r="E124" s="55"/>
      <c r="F124" s="47"/>
      <c r="G124" s="47"/>
      <c r="H124" s="47"/>
      <c r="I124" s="47"/>
      <c r="J124" s="47"/>
      <c r="K124" s="47"/>
      <c r="L124" s="47"/>
      <c r="M124" s="47"/>
      <c r="N124" s="47"/>
      <c r="O124" s="47"/>
      <c r="P124" s="47"/>
      <c r="Q124" s="47"/>
      <c r="R124" s="47"/>
      <c r="S124" s="47"/>
      <c r="T124" s="47"/>
      <c r="U124" s="47"/>
      <c r="V124" s="47"/>
      <c r="W124" s="47"/>
      <c r="X124" s="47"/>
      <c r="Y124" s="47"/>
      <c r="Z124" s="47"/>
    </row>
    <row r="125" spans="1:26" ht="15.75" customHeight="1">
      <c r="A125" s="47"/>
      <c r="B125" s="54"/>
      <c r="C125" s="47"/>
      <c r="D125" s="55"/>
      <c r="E125" s="55"/>
      <c r="F125" s="47"/>
      <c r="G125" s="47"/>
      <c r="H125" s="47"/>
      <c r="I125" s="47"/>
      <c r="J125" s="47"/>
      <c r="K125" s="47"/>
      <c r="L125" s="47"/>
      <c r="M125" s="47"/>
      <c r="N125" s="47"/>
      <c r="O125" s="47"/>
      <c r="P125" s="47"/>
      <c r="Q125" s="47"/>
      <c r="R125" s="47"/>
      <c r="S125" s="47"/>
      <c r="T125" s="47"/>
      <c r="U125" s="47"/>
      <c r="V125" s="47"/>
      <c r="W125" s="47"/>
      <c r="X125" s="47"/>
      <c r="Y125" s="47"/>
      <c r="Z125" s="47"/>
    </row>
    <row r="126" spans="1:26" ht="15.75" customHeight="1">
      <c r="A126" s="47"/>
      <c r="B126" s="54"/>
      <c r="C126" s="47"/>
      <c r="D126" s="55"/>
      <c r="E126" s="55"/>
      <c r="F126" s="47"/>
      <c r="G126" s="47"/>
      <c r="H126" s="47"/>
      <c r="I126" s="47"/>
      <c r="J126" s="47"/>
      <c r="K126" s="47"/>
      <c r="L126" s="47"/>
      <c r="M126" s="47"/>
      <c r="N126" s="47"/>
      <c r="O126" s="47"/>
      <c r="P126" s="47"/>
      <c r="Q126" s="47"/>
      <c r="R126" s="47"/>
      <c r="S126" s="47"/>
      <c r="T126" s="47"/>
      <c r="U126" s="47"/>
      <c r="V126" s="47"/>
      <c r="W126" s="47"/>
      <c r="X126" s="47"/>
      <c r="Y126" s="47"/>
      <c r="Z126" s="47"/>
    </row>
    <row r="127" spans="1:26" ht="15.75" customHeight="1">
      <c r="A127" s="47"/>
      <c r="B127" s="54"/>
      <c r="C127" s="47"/>
      <c r="D127" s="55"/>
      <c r="E127" s="55"/>
      <c r="F127" s="47"/>
      <c r="G127" s="47"/>
      <c r="H127" s="47"/>
      <c r="I127" s="47"/>
      <c r="J127" s="47"/>
      <c r="K127" s="47"/>
      <c r="L127" s="47"/>
      <c r="M127" s="47"/>
      <c r="N127" s="47"/>
      <c r="O127" s="47"/>
      <c r="P127" s="47"/>
      <c r="Q127" s="47"/>
      <c r="R127" s="47"/>
      <c r="S127" s="47"/>
      <c r="T127" s="47"/>
      <c r="U127" s="47"/>
      <c r="V127" s="47"/>
      <c r="W127" s="47"/>
      <c r="X127" s="47"/>
      <c r="Y127" s="47"/>
      <c r="Z127" s="47"/>
    </row>
    <row r="128" spans="1:26" ht="15.75" customHeight="1">
      <c r="A128" s="47"/>
      <c r="B128" s="54"/>
      <c r="C128" s="47"/>
      <c r="D128" s="55"/>
      <c r="E128" s="55"/>
      <c r="F128" s="47"/>
      <c r="G128" s="47"/>
      <c r="H128" s="47"/>
      <c r="I128" s="47"/>
      <c r="J128" s="47"/>
      <c r="K128" s="47"/>
      <c r="L128" s="47"/>
      <c r="M128" s="47"/>
      <c r="N128" s="47"/>
      <c r="O128" s="47"/>
      <c r="P128" s="47"/>
      <c r="Q128" s="47"/>
      <c r="R128" s="47"/>
      <c r="S128" s="47"/>
      <c r="T128" s="47"/>
      <c r="U128" s="47"/>
      <c r="V128" s="47"/>
      <c r="W128" s="47"/>
      <c r="X128" s="47"/>
      <c r="Y128" s="47"/>
      <c r="Z128" s="47"/>
    </row>
    <row r="129" spans="1:26" ht="15.75" customHeight="1">
      <c r="A129" s="47"/>
      <c r="B129" s="54"/>
      <c r="C129" s="47"/>
      <c r="D129" s="55"/>
      <c r="E129" s="55"/>
      <c r="F129" s="47"/>
      <c r="G129" s="47"/>
      <c r="H129" s="47"/>
      <c r="I129" s="47"/>
      <c r="J129" s="47"/>
      <c r="K129" s="47"/>
      <c r="L129" s="47"/>
      <c r="M129" s="47"/>
      <c r="N129" s="47"/>
      <c r="O129" s="47"/>
      <c r="P129" s="47"/>
      <c r="Q129" s="47"/>
      <c r="R129" s="47"/>
      <c r="S129" s="47"/>
      <c r="T129" s="47"/>
      <c r="U129" s="47"/>
      <c r="V129" s="47"/>
      <c r="W129" s="47"/>
      <c r="X129" s="47"/>
      <c r="Y129" s="47"/>
      <c r="Z129" s="47"/>
    </row>
    <row r="130" spans="1:26" ht="15.75" customHeight="1">
      <c r="A130" s="47"/>
      <c r="B130" s="54"/>
      <c r="C130" s="47"/>
      <c r="D130" s="55"/>
      <c r="E130" s="55"/>
      <c r="F130" s="47"/>
      <c r="G130" s="47"/>
      <c r="H130" s="47"/>
      <c r="I130" s="47"/>
      <c r="J130" s="47"/>
      <c r="K130" s="47"/>
      <c r="L130" s="47"/>
      <c r="M130" s="47"/>
      <c r="N130" s="47"/>
      <c r="O130" s="47"/>
      <c r="P130" s="47"/>
      <c r="Q130" s="47"/>
      <c r="R130" s="47"/>
      <c r="S130" s="47"/>
      <c r="T130" s="47"/>
      <c r="U130" s="47"/>
      <c r="V130" s="47"/>
      <c r="W130" s="47"/>
      <c r="X130" s="47"/>
      <c r="Y130" s="47"/>
      <c r="Z130" s="47"/>
    </row>
    <row r="131" spans="1:26" ht="15.75" customHeight="1">
      <c r="A131" s="47"/>
      <c r="B131" s="54"/>
      <c r="C131" s="47"/>
      <c r="D131" s="55"/>
      <c r="E131" s="55"/>
      <c r="F131" s="47"/>
      <c r="G131" s="47"/>
      <c r="H131" s="47"/>
      <c r="I131" s="47"/>
      <c r="J131" s="47"/>
      <c r="K131" s="47"/>
      <c r="L131" s="47"/>
      <c r="M131" s="47"/>
      <c r="N131" s="47"/>
      <c r="O131" s="47"/>
      <c r="P131" s="47"/>
      <c r="Q131" s="47"/>
      <c r="R131" s="47"/>
      <c r="S131" s="47"/>
      <c r="T131" s="47"/>
      <c r="U131" s="47"/>
      <c r="V131" s="47"/>
      <c r="W131" s="47"/>
      <c r="X131" s="47"/>
      <c r="Y131" s="47"/>
      <c r="Z131" s="47"/>
    </row>
    <row r="132" spans="1:26" ht="15.75" customHeight="1">
      <c r="A132" s="47"/>
      <c r="B132" s="54"/>
      <c r="C132" s="47"/>
      <c r="D132" s="55"/>
      <c r="E132" s="55"/>
      <c r="F132" s="47"/>
      <c r="G132" s="47"/>
      <c r="H132" s="47"/>
      <c r="I132" s="47"/>
      <c r="J132" s="47"/>
      <c r="K132" s="47"/>
      <c r="L132" s="47"/>
      <c r="M132" s="47"/>
      <c r="N132" s="47"/>
      <c r="O132" s="47"/>
      <c r="P132" s="47"/>
      <c r="Q132" s="47"/>
      <c r="R132" s="47"/>
      <c r="S132" s="47"/>
      <c r="T132" s="47"/>
      <c r="U132" s="47"/>
      <c r="V132" s="47"/>
      <c r="W132" s="47"/>
      <c r="X132" s="47"/>
      <c r="Y132" s="47"/>
      <c r="Z132" s="47"/>
    </row>
    <row r="133" spans="1:26" ht="15.75" customHeight="1">
      <c r="A133" s="47"/>
      <c r="B133" s="54"/>
      <c r="C133" s="47"/>
      <c r="D133" s="55"/>
      <c r="E133" s="55"/>
      <c r="F133" s="47"/>
      <c r="G133" s="47"/>
      <c r="H133" s="47"/>
      <c r="I133" s="47"/>
      <c r="J133" s="47"/>
      <c r="K133" s="47"/>
      <c r="L133" s="47"/>
      <c r="M133" s="47"/>
      <c r="N133" s="47"/>
      <c r="O133" s="47"/>
      <c r="P133" s="47"/>
      <c r="Q133" s="47"/>
      <c r="R133" s="47"/>
      <c r="S133" s="47"/>
      <c r="T133" s="47"/>
      <c r="U133" s="47"/>
      <c r="V133" s="47"/>
      <c r="W133" s="47"/>
      <c r="X133" s="47"/>
      <c r="Y133" s="47"/>
      <c r="Z133" s="47"/>
    </row>
    <row r="134" spans="1:26" ht="15.75" customHeight="1">
      <c r="A134" s="47"/>
      <c r="B134" s="54"/>
      <c r="C134" s="47"/>
      <c r="D134" s="55"/>
      <c r="E134" s="55"/>
      <c r="F134" s="47"/>
      <c r="G134" s="47"/>
      <c r="H134" s="47"/>
      <c r="I134" s="47"/>
      <c r="J134" s="47"/>
      <c r="K134" s="47"/>
      <c r="L134" s="47"/>
      <c r="M134" s="47"/>
      <c r="N134" s="47"/>
      <c r="O134" s="47"/>
      <c r="P134" s="47"/>
      <c r="Q134" s="47"/>
      <c r="R134" s="47"/>
      <c r="S134" s="47"/>
      <c r="T134" s="47"/>
      <c r="U134" s="47"/>
      <c r="V134" s="47"/>
      <c r="W134" s="47"/>
      <c r="X134" s="47"/>
      <c r="Y134" s="47"/>
      <c r="Z134" s="47"/>
    </row>
    <row r="135" spans="1:26" ht="15.75" customHeight="1">
      <c r="A135" s="47"/>
      <c r="B135" s="54"/>
      <c r="C135" s="47"/>
      <c r="D135" s="55"/>
      <c r="E135" s="55"/>
      <c r="F135" s="47"/>
      <c r="G135" s="47"/>
      <c r="H135" s="47"/>
      <c r="I135" s="47"/>
      <c r="J135" s="47"/>
      <c r="K135" s="47"/>
      <c r="L135" s="47"/>
      <c r="M135" s="47"/>
      <c r="N135" s="47"/>
      <c r="O135" s="47"/>
      <c r="P135" s="47"/>
      <c r="Q135" s="47"/>
      <c r="R135" s="47"/>
      <c r="S135" s="47"/>
      <c r="T135" s="47"/>
      <c r="U135" s="47"/>
      <c r="V135" s="47"/>
      <c r="W135" s="47"/>
      <c r="X135" s="47"/>
      <c r="Y135" s="47"/>
      <c r="Z135" s="47"/>
    </row>
    <row r="136" spans="1:26" ht="15.75" customHeight="1">
      <c r="A136" s="47"/>
      <c r="B136" s="54"/>
      <c r="C136" s="47"/>
      <c r="D136" s="55"/>
      <c r="E136" s="55"/>
      <c r="F136" s="47"/>
      <c r="G136" s="47"/>
      <c r="H136" s="47"/>
      <c r="I136" s="47"/>
      <c r="J136" s="47"/>
      <c r="K136" s="47"/>
      <c r="L136" s="47"/>
      <c r="M136" s="47"/>
      <c r="N136" s="47"/>
      <c r="O136" s="47"/>
      <c r="P136" s="47"/>
      <c r="Q136" s="47"/>
      <c r="R136" s="47"/>
      <c r="S136" s="47"/>
      <c r="T136" s="47"/>
      <c r="U136" s="47"/>
      <c r="V136" s="47"/>
      <c r="W136" s="47"/>
      <c r="X136" s="47"/>
      <c r="Y136" s="47"/>
      <c r="Z136" s="47"/>
    </row>
    <row r="137" spans="1:26" ht="15.75" customHeight="1">
      <c r="A137" s="47"/>
      <c r="B137" s="54"/>
      <c r="C137" s="47"/>
      <c r="D137" s="55"/>
      <c r="E137" s="55"/>
      <c r="F137" s="47"/>
      <c r="G137" s="47"/>
      <c r="H137" s="47"/>
      <c r="I137" s="47"/>
      <c r="J137" s="47"/>
      <c r="K137" s="47"/>
      <c r="L137" s="47"/>
      <c r="M137" s="47"/>
      <c r="N137" s="47"/>
      <c r="O137" s="47"/>
      <c r="P137" s="47"/>
      <c r="Q137" s="47"/>
      <c r="R137" s="47"/>
      <c r="S137" s="47"/>
      <c r="T137" s="47"/>
      <c r="U137" s="47"/>
      <c r="V137" s="47"/>
      <c r="W137" s="47"/>
      <c r="X137" s="47"/>
      <c r="Y137" s="47"/>
      <c r="Z137" s="47"/>
    </row>
    <row r="138" spans="1:26" ht="15.75" customHeight="1">
      <c r="A138" s="47"/>
      <c r="B138" s="54"/>
      <c r="C138" s="47"/>
      <c r="D138" s="55"/>
      <c r="E138" s="55"/>
      <c r="F138" s="47"/>
      <c r="G138" s="47"/>
      <c r="H138" s="47"/>
      <c r="I138" s="47"/>
      <c r="J138" s="47"/>
      <c r="K138" s="47"/>
      <c r="L138" s="47"/>
      <c r="M138" s="47"/>
      <c r="N138" s="47"/>
      <c r="O138" s="47"/>
      <c r="P138" s="47"/>
      <c r="Q138" s="47"/>
      <c r="R138" s="47"/>
      <c r="S138" s="47"/>
      <c r="T138" s="47"/>
      <c r="U138" s="47"/>
      <c r="V138" s="47"/>
      <c r="W138" s="47"/>
      <c r="X138" s="47"/>
      <c r="Y138" s="47"/>
      <c r="Z138" s="47"/>
    </row>
    <row r="139" spans="1:26" ht="15.75" customHeight="1">
      <c r="A139" s="47"/>
      <c r="B139" s="54"/>
      <c r="C139" s="47"/>
      <c r="D139" s="55"/>
      <c r="E139" s="55"/>
      <c r="F139" s="47"/>
      <c r="G139" s="47"/>
      <c r="H139" s="47"/>
      <c r="I139" s="47"/>
      <c r="J139" s="47"/>
      <c r="K139" s="47"/>
      <c r="L139" s="47"/>
      <c r="M139" s="47"/>
      <c r="N139" s="47"/>
      <c r="O139" s="47"/>
      <c r="P139" s="47"/>
      <c r="Q139" s="47"/>
      <c r="R139" s="47"/>
      <c r="S139" s="47"/>
      <c r="T139" s="47"/>
      <c r="U139" s="47"/>
      <c r="V139" s="47"/>
      <c r="W139" s="47"/>
      <c r="X139" s="47"/>
      <c r="Y139" s="47"/>
      <c r="Z139" s="47"/>
    </row>
    <row r="140" spans="1:26" ht="15.75" customHeight="1">
      <c r="A140" s="47"/>
      <c r="B140" s="54"/>
      <c r="C140" s="47"/>
      <c r="D140" s="55"/>
      <c r="E140" s="55"/>
      <c r="F140" s="47"/>
      <c r="G140" s="47"/>
      <c r="H140" s="47"/>
      <c r="I140" s="47"/>
      <c r="J140" s="47"/>
      <c r="K140" s="47"/>
      <c r="L140" s="47"/>
      <c r="M140" s="47"/>
      <c r="N140" s="47"/>
      <c r="O140" s="47"/>
      <c r="P140" s="47"/>
      <c r="Q140" s="47"/>
      <c r="R140" s="47"/>
      <c r="S140" s="47"/>
      <c r="T140" s="47"/>
      <c r="U140" s="47"/>
      <c r="V140" s="47"/>
      <c r="W140" s="47"/>
      <c r="X140" s="47"/>
      <c r="Y140" s="47"/>
      <c r="Z140" s="47"/>
    </row>
    <row r="141" spans="1:26" ht="15.75" customHeight="1">
      <c r="A141" s="47"/>
      <c r="B141" s="54"/>
      <c r="C141" s="47"/>
      <c r="D141" s="55"/>
      <c r="E141" s="55"/>
      <c r="F141" s="47"/>
      <c r="G141" s="47"/>
      <c r="H141" s="47"/>
      <c r="I141" s="47"/>
      <c r="J141" s="47"/>
      <c r="K141" s="47"/>
      <c r="L141" s="47"/>
      <c r="M141" s="47"/>
      <c r="N141" s="47"/>
      <c r="O141" s="47"/>
      <c r="P141" s="47"/>
      <c r="Q141" s="47"/>
      <c r="R141" s="47"/>
      <c r="S141" s="47"/>
      <c r="T141" s="47"/>
      <c r="U141" s="47"/>
      <c r="V141" s="47"/>
      <c r="W141" s="47"/>
      <c r="X141" s="47"/>
      <c r="Y141" s="47"/>
      <c r="Z141" s="47"/>
    </row>
    <row r="142" spans="1:26" ht="15.75" customHeight="1">
      <c r="A142" s="47"/>
      <c r="B142" s="54"/>
      <c r="C142" s="47"/>
      <c r="D142" s="55"/>
      <c r="E142" s="55"/>
      <c r="F142" s="47"/>
      <c r="G142" s="47"/>
      <c r="H142" s="47"/>
      <c r="I142" s="47"/>
      <c r="J142" s="47"/>
      <c r="K142" s="47"/>
      <c r="L142" s="47"/>
      <c r="M142" s="47"/>
      <c r="N142" s="47"/>
      <c r="O142" s="47"/>
      <c r="P142" s="47"/>
      <c r="Q142" s="47"/>
      <c r="R142" s="47"/>
      <c r="S142" s="47"/>
      <c r="T142" s="47"/>
      <c r="U142" s="47"/>
      <c r="V142" s="47"/>
      <c r="W142" s="47"/>
      <c r="X142" s="47"/>
      <c r="Y142" s="47"/>
      <c r="Z142" s="47"/>
    </row>
    <row r="143" spans="1:26" ht="15.75" customHeight="1">
      <c r="A143" s="47"/>
      <c r="B143" s="54"/>
      <c r="C143" s="47"/>
      <c r="D143" s="55"/>
      <c r="E143" s="55"/>
      <c r="F143" s="47"/>
      <c r="G143" s="47"/>
      <c r="H143" s="47"/>
      <c r="I143" s="47"/>
      <c r="J143" s="47"/>
      <c r="K143" s="47"/>
      <c r="L143" s="47"/>
      <c r="M143" s="47"/>
      <c r="N143" s="47"/>
      <c r="O143" s="47"/>
      <c r="P143" s="47"/>
      <c r="Q143" s="47"/>
      <c r="R143" s="47"/>
      <c r="S143" s="47"/>
      <c r="T143" s="47"/>
      <c r="U143" s="47"/>
      <c r="V143" s="47"/>
      <c r="W143" s="47"/>
      <c r="X143" s="47"/>
      <c r="Y143" s="47"/>
      <c r="Z143" s="47"/>
    </row>
    <row r="144" spans="1:26" ht="15.75" customHeight="1">
      <c r="A144" s="47"/>
      <c r="B144" s="54"/>
      <c r="C144" s="47"/>
      <c r="D144" s="55"/>
      <c r="E144" s="55"/>
      <c r="F144" s="47"/>
      <c r="G144" s="47"/>
      <c r="H144" s="47"/>
      <c r="I144" s="47"/>
      <c r="J144" s="47"/>
      <c r="K144" s="47"/>
      <c r="L144" s="47"/>
      <c r="M144" s="47"/>
      <c r="N144" s="47"/>
      <c r="O144" s="47"/>
      <c r="P144" s="47"/>
      <c r="Q144" s="47"/>
      <c r="R144" s="47"/>
      <c r="S144" s="47"/>
      <c r="T144" s="47"/>
      <c r="U144" s="47"/>
      <c r="V144" s="47"/>
      <c r="W144" s="47"/>
      <c r="X144" s="47"/>
      <c r="Y144" s="47"/>
      <c r="Z144" s="47"/>
    </row>
    <row r="145" spans="1:26" ht="15.75" customHeight="1">
      <c r="A145" s="47"/>
      <c r="B145" s="54"/>
      <c r="C145" s="47"/>
      <c r="D145" s="55"/>
      <c r="E145" s="55"/>
      <c r="F145" s="47"/>
      <c r="G145" s="47"/>
      <c r="H145" s="47"/>
      <c r="I145" s="47"/>
      <c r="J145" s="47"/>
      <c r="K145" s="47"/>
      <c r="L145" s="47"/>
      <c r="M145" s="47"/>
      <c r="N145" s="47"/>
      <c r="O145" s="47"/>
      <c r="P145" s="47"/>
      <c r="Q145" s="47"/>
      <c r="R145" s="47"/>
      <c r="S145" s="47"/>
      <c r="T145" s="47"/>
      <c r="U145" s="47"/>
      <c r="V145" s="47"/>
      <c r="W145" s="47"/>
      <c r="X145" s="47"/>
      <c r="Y145" s="47"/>
      <c r="Z145" s="47"/>
    </row>
    <row r="146" spans="1:26" ht="15.75" customHeight="1">
      <c r="A146" s="47"/>
      <c r="B146" s="54"/>
      <c r="C146" s="47"/>
      <c r="D146" s="55"/>
      <c r="E146" s="55"/>
      <c r="F146" s="47"/>
      <c r="G146" s="47"/>
      <c r="H146" s="47"/>
      <c r="I146" s="47"/>
      <c r="J146" s="47"/>
      <c r="K146" s="47"/>
      <c r="L146" s="47"/>
      <c r="M146" s="47"/>
      <c r="N146" s="47"/>
      <c r="O146" s="47"/>
      <c r="P146" s="47"/>
      <c r="Q146" s="47"/>
      <c r="R146" s="47"/>
      <c r="S146" s="47"/>
      <c r="T146" s="47"/>
      <c r="U146" s="47"/>
      <c r="V146" s="47"/>
      <c r="W146" s="47"/>
      <c r="X146" s="47"/>
      <c r="Y146" s="47"/>
      <c r="Z146" s="47"/>
    </row>
    <row r="147" spans="1:26" ht="15.75" customHeight="1">
      <c r="A147" s="47"/>
      <c r="B147" s="54"/>
      <c r="C147" s="47"/>
      <c r="D147" s="55"/>
      <c r="E147" s="55"/>
      <c r="F147" s="47"/>
      <c r="G147" s="47"/>
      <c r="H147" s="47"/>
      <c r="I147" s="47"/>
      <c r="J147" s="47"/>
      <c r="K147" s="47"/>
      <c r="L147" s="47"/>
      <c r="M147" s="47"/>
      <c r="N147" s="47"/>
      <c r="O147" s="47"/>
      <c r="P147" s="47"/>
      <c r="Q147" s="47"/>
      <c r="R147" s="47"/>
      <c r="S147" s="47"/>
      <c r="T147" s="47"/>
      <c r="U147" s="47"/>
      <c r="V147" s="47"/>
      <c r="W147" s="47"/>
      <c r="X147" s="47"/>
      <c r="Y147" s="47"/>
      <c r="Z147" s="47"/>
    </row>
    <row r="148" spans="1:26" ht="15.75" customHeight="1">
      <c r="A148" s="47"/>
      <c r="B148" s="54"/>
      <c r="C148" s="47"/>
      <c r="D148" s="55"/>
      <c r="E148" s="55"/>
      <c r="F148" s="47"/>
      <c r="G148" s="47"/>
      <c r="H148" s="47"/>
      <c r="I148" s="47"/>
      <c r="J148" s="47"/>
      <c r="K148" s="47"/>
      <c r="L148" s="47"/>
      <c r="M148" s="47"/>
      <c r="N148" s="47"/>
      <c r="O148" s="47"/>
      <c r="P148" s="47"/>
      <c r="Q148" s="47"/>
      <c r="R148" s="47"/>
      <c r="S148" s="47"/>
      <c r="T148" s="47"/>
      <c r="U148" s="47"/>
      <c r="V148" s="47"/>
      <c r="W148" s="47"/>
      <c r="X148" s="47"/>
      <c r="Y148" s="47"/>
      <c r="Z148" s="47"/>
    </row>
    <row r="149" spans="1:26" ht="15.75" customHeight="1">
      <c r="A149" s="47"/>
      <c r="B149" s="54"/>
      <c r="C149" s="47"/>
      <c r="D149" s="55"/>
      <c r="E149" s="55"/>
      <c r="F149" s="47"/>
      <c r="G149" s="47"/>
      <c r="H149" s="47"/>
      <c r="I149" s="47"/>
      <c r="J149" s="47"/>
      <c r="K149" s="47"/>
      <c r="L149" s="47"/>
      <c r="M149" s="47"/>
      <c r="N149" s="47"/>
      <c r="O149" s="47"/>
      <c r="P149" s="47"/>
      <c r="Q149" s="47"/>
      <c r="R149" s="47"/>
      <c r="S149" s="47"/>
      <c r="T149" s="47"/>
      <c r="U149" s="47"/>
      <c r="V149" s="47"/>
      <c r="W149" s="47"/>
      <c r="X149" s="47"/>
      <c r="Y149" s="47"/>
      <c r="Z149" s="47"/>
    </row>
    <row r="150" spans="1:26" ht="15.75" customHeight="1">
      <c r="A150" s="47"/>
      <c r="B150" s="54"/>
      <c r="C150" s="47"/>
      <c r="D150" s="55"/>
      <c r="E150" s="55"/>
      <c r="F150" s="47"/>
      <c r="G150" s="47"/>
      <c r="H150" s="47"/>
      <c r="I150" s="47"/>
      <c r="J150" s="47"/>
      <c r="K150" s="47"/>
      <c r="L150" s="47"/>
      <c r="M150" s="47"/>
      <c r="N150" s="47"/>
      <c r="O150" s="47"/>
      <c r="P150" s="47"/>
      <c r="Q150" s="47"/>
      <c r="R150" s="47"/>
      <c r="S150" s="47"/>
      <c r="T150" s="47"/>
      <c r="U150" s="47"/>
      <c r="V150" s="47"/>
      <c r="W150" s="47"/>
      <c r="X150" s="47"/>
      <c r="Y150" s="47"/>
      <c r="Z150" s="47"/>
    </row>
    <row r="151" spans="1:26" ht="15.75" customHeight="1">
      <c r="A151" s="47"/>
      <c r="B151" s="54"/>
      <c r="C151" s="47"/>
      <c r="D151" s="55"/>
      <c r="E151" s="55"/>
      <c r="F151" s="47"/>
      <c r="G151" s="47"/>
      <c r="H151" s="47"/>
      <c r="I151" s="47"/>
      <c r="J151" s="47"/>
      <c r="K151" s="47"/>
      <c r="L151" s="47"/>
      <c r="M151" s="47"/>
      <c r="N151" s="47"/>
      <c r="O151" s="47"/>
      <c r="P151" s="47"/>
      <c r="Q151" s="47"/>
      <c r="R151" s="47"/>
      <c r="S151" s="47"/>
      <c r="T151" s="47"/>
      <c r="U151" s="47"/>
      <c r="V151" s="47"/>
      <c r="W151" s="47"/>
      <c r="X151" s="47"/>
      <c r="Y151" s="47"/>
      <c r="Z151" s="47"/>
    </row>
    <row r="152" spans="1:26" ht="15.75" customHeight="1">
      <c r="A152" s="47"/>
      <c r="B152" s="54"/>
      <c r="C152" s="47"/>
      <c r="D152" s="55"/>
      <c r="E152" s="55"/>
      <c r="F152" s="47"/>
      <c r="G152" s="47"/>
      <c r="H152" s="47"/>
      <c r="I152" s="47"/>
      <c r="J152" s="47"/>
      <c r="K152" s="47"/>
      <c r="L152" s="47"/>
      <c r="M152" s="47"/>
      <c r="N152" s="47"/>
      <c r="O152" s="47"/>
      <c r="P152" s="47"/>
      <c r="Q152" s="47"/>
      <c r="R152" s="47"/>
      <c r="S152" s="47"/>
      <c r="T152" s="47"/>
      <c r="U152" s="47"/>
      <c r="V152" s="47"/>
      <c r="W152" s="47"/>
      <c r="X152" s="47"/>
      <c r="Y152" s="47"/>
      <c r="Z152" s="47"/>
    </row>
    <row r="153" spans="1:26" ht="15.75" customHeight="1">
      <c r="A153" s="47"/>
      <c r="B153" s="54"/>
      <c r="C153" s="47"/>
      <c r="D153" s="55"/>
      <c r="E153" s="55"/>
      <c r="F153" s="47"/>
      <c r="G153" s="47"/>
      <c r="H153" s="47"/>
      <c r="I153" s="47"/>
      <c r="J153" s="47"/>
      <c r="K153" s="47"/>
      <c r="L153" s="47"/>
      <c r="M153" s="47"/>
      <c r="N153" s="47"/>
      <c r="O153" s="47"/>
      <c r="P153" s="47"/>
      <c r="Q153" s="47"/>
      <c r="R153" s="47"/>
      <c r="S153" s="47"/>
      <c r="T153" s="47"/>
      <c r="U153" s="47"/>
      <c r="V153" s="47"/>
      <c r="W153" s="47"/>
      <c r="X153" s="47"/>
      <c r="Y153" s="47"/>
      <c r="Z153" s="47"/>
    </row>
    <row r="154" spans="1:26" ht="15.75" customHeight="1">
      <c r="A154" s="47"/>
      <c r="B154" s="54"/>
      <c r="C154" s="47"/>
      <c r="D154" s="55"/>
      <c r="E154" s="55"/>
      <c r="F154" s="47"/>
      <c r="G154" s="47"/>
      <c r="H154" s="47"/>
      <c r="I154" s="47"/>
      <c r="J154" s="47"/>
      <c r="K154" s="47"/>
      <c r="L154" s="47"/>
      <c r="M154" s="47"/>
      <c r="N154" s="47"/>
      <c r="O154" s="47"/>
      <c r="P154" s="47"/>
      <c r="Q154" s="47"/>
      <c r="R154" s="47"/>
      <c r="S154" s="47"/>
      <c r="T154" s="47"/>
      <c r="U154" s="47"/>
      <c r="V154" s="47"/>
      <c r="W154" s="47"/>
      <c r="X154" s="47"/>
      <c r="Y154" s="47"/>
      <c r="Z154" s="47"/>
    </row>
    <row r="155" spans="1:26" ht="15.75" customHeight="1">
      <c r="A155" s="47"/>
      <c r="B155" s="54"/>
      <c r="C155" s="47"/>
      <c r="D155" s="55"/>
      <c r="E155" s="55"/>
      <c r="F155" s="47"/>
      <c r="G155" s="47"/>
      <c r="H155" s="47"/>
      <c r="I155" s="47"/>
      <c r="J155" s="47"/>
      <c r="K155" s="47"/>
      <c r="L155" s="47"/>
      <c r="M155" s="47"/>
      <c r="N155" s="47"/>
      <c r="O155" s="47"/>
      <c r="P155" s="47"/>
      <c r="Q155" s="47"/>
      <c r="R155" s="47"/>
      <c r="S155" s="47"/>
      <c r="T155" s="47"/>
      <c r="U155" s="47"/>
      <c r="V155" s="47"/>
      <c r="W155" s="47"/>
      <c r="X155" s="47"/>
      <c r="Y155" s="47"/>
      <c r="Z155" s="47"/>
    </row>
    <row r="156" spans="1:26" ht="15.75" customHeight="1">
      <c r="A156" s="47"/>
      <c r="B156" s="54"/>
      <c r="C156" s="47"/>
      <c r="D156" s="55"/>
      <c r="E156" s="55"/>
      <c r="F156" s="47"/>
      <c r="G156" s="47"/>
      <c r="H156" s="47"/>
      <c r="I156" s="47"/>
      <c r="J156" s="47"/>
      <c r="K156" s="47"/>
      <c r="L156" s="47"/>
      <c r="M156" s="47"/>
      <c r="N156" s="47"/>
      <c r="O156" s="47"/>
      <c r="P156" s="47"/>
      <c r="Q156" s="47"/>
      <c r="R156" s="47"/>
      <c r="S156" s="47"/>
      <c r="T156" s="47"/>
      <c r="U156" s="47"/>
      <c r="V156" s="47"/>
      <c r="W156" s="47"/>
      <c r="X156" s="47"/>
      <c r="Y156" s="47"/>
      <c r="Z156" s="47"/>
    </row>
    <row r="157" spans="1:26" ht="15.75" customHeight="1">
      <c r="A157" s="47"/>
      <c r="B157" s="54"/>
      <c r="C157" s="47"/>
      <c r="D157" s="55"/>
      <c r="E157" s="55"/>
      <c r="F157" s="47"/>
      <c r="G157" s="47"/>
      <c r="H157" s="47"/>
      <c r="I157" s="47"/>
      <c r="J157" s="47"/>
      <c r="K157" s="47"/>
      <c r="L157" s="47"/>
      <c r="M157" s="47"/>
      <c r="N157" s="47"/>
      <c r="O157" s="47"/>
      <c r="P157" s="47"/>
      <c r="Q157" s="47"/>
      <c r="R157" s="47"/>
      <c r="S157" s="47"/>
      <c r="T157" s="47"/>
      <c r="U157" s="47"/>
      <c r="V157" s="47"/>
      <c r="W157" s="47"/>
      <c r="X157" s="47"/>
      <c r="Y157" s="47"/>
      <c r="Z157" s="47"/>
    </row>
    <row r="158" spans="1:26" ht="15.75" customHeight="1">
      <c r="A158" s="47"/>
      <c r="B158" s="54"/>
      <c r="C158" s="47"/>
      <c r="D158" s="55"/>
      <c r="E158" s="55"/>
      <c r="F158" s="47"/>
      <c r="G158" s="47"/>
      <c r="H158" s="47"/>
      <c r="I158" s="47"/>
      <c r="J158" s="47"/>
      <c r="K158" s="47"/>
      <c r="L158" s="47"/>
      <c r="M158" s="47"/>
      <c r="N158" s="47"/>
      <c r="O158" s="47"/>
      <c r="P158" s="47"/>
      <c r="Q158" s="47"/>
      <c r="R158" s="47"/>
      <c r="S158" s="47"/>
      <c r="T158" s="47"/>
      <c r="U158" s="47"/>
      <c r="V158" s="47"/>
      <c r="W158" s="47"/>
      <c r="X158" s="47"/>
      <c r="Y158" s="47"/>
      <c r="Z158" s="47"/>
    </row>
    <row r="159" spans="1:26" ht="15.75" customHeight="1">
      <c r="A159" s="47"/>
      <c r="B159" s="54"/>
      <c r="C159" s="47"/>
      <c r="D159" s="55"/>
      <c r="E159" s="55"/>
      <c r="F159" s="47"/>
      <c r="G159" s="47"/>
      <c r="H159" s="47"/>
      <c r="I159" s="47"/>
      <c r="J159" s="47"/>
      <c r="K159" s="47"/>
      <c r="L159" s="47"/>
      <c r="M159" s="47"/>
      <c r="N159" s="47"/>
      <c r="O159" s="47"/>
      <c r="P159" s="47"/>
      <c r="Q159" s="47"/>
      <c r="R159" s="47"/>
      <c r="S159" s="47"/>
      <c r="T159" s="47"/>
      <c r="U159" s="47"/>
      <c r="V159" s="47"/>
      <c r="W159" s="47"/>
      <c r="X159" s="47"/>
      <c r="Y159" s="47"/>
      <c r="Z159" s="47"/>
    </row>
    <row r="160" spans="1:26" ht="15.75" customHeight="1">
      <c r="A160" s="47"/>
      <c r="B160" s="54"/>
      <c r="C160" s="47"/>
      <c r="D160" s="55"/>
      <c r="E160" s="55"/>
      <c r="F160" s="47"/>
      <c r="G160" s="47"/>
      <c r="H160" s="47"/>
      <c r="I160" s="47"/>
      <c r="J160" s="47"/>
      <c r="K160" s="47"/>
      <c r="L160" s="47"/>
      <c r="M160" s="47"/>
      <c r="N160" s="47"/>
      <c r="O160" s="47"/>
      <c r="P160" s="47"/>
      <c r="Q160" s="47"/>
      <c r="R160" s="47"/>
      <c r="S160" s="47"/>
      <c r="T160" s="47"/>
      <c r="U160" s="47"/>
      <c r="V160" s="47"/>
      <c r="W160" s="47"/>
      <c r="X160" s="47"/>
      <c r="Y160" s="47"/>
      <c r="Z160" s="47"/>
    </row>
    <row r="161" spans="1:26" ht="15.75" customHeight="1">
      <c r="A161" s="47"/>
      <c r="B161" s="54"/>
      <c r="C161" s="47"/>
      <c r="D161" s="55"/>
      <c r="E161" s="55"/>
      <c r="F161" s="47"/>
      <c r="G161" s="47"/>
      <c r="H161" s="47"/>
      <c r="I161" s="47"/>
      <c r="J161" s="47"/>
      <c r="K161" s="47"/>
      <c r="L161" s="47"/>
      <c r="M161" s="47"/>
      <c r="N161" s="47"/>
      <c r="O161" s="47"/>
      <c r="P161" s="47"/>
      <c r="Q161" s="47"/>
      <c r="R161" s="47"/>
      <c r="S161" s="47"/>
      <c r="T161" s="47"/>
      <c r="U161" s="47"/>
      <c r="V161" s="47"/>
      <c r="W161" s="47"/>
      <c r="X161" s="47"/>
      <c r="Y161" s="47"/>
      <c r="Z161" s="47"/>
    </row>
    <row r="162" spans="1:26" ht="15.75" customHeight="1">
      <c r="A162" s="47"/>
      <c r="B162" s="54"/>
      <c r="C162" s="47"/>
      <c r="D162" s="55"/>
      <c r="E162" s="55"/>
      <c r="F162" s="47"/>
      <c r="G162" s="47"/>
      <c r="H162" s="47"/>
      <c r="I162" s="47"/>
      <c r="J162" s="47"/>
      <c r="K162" s="47"/>
      <c r="L162" s="47"/>
      <c r="M162" s="47"/>
      <c r="N162" s="47"/>
      <c r="O162" s="47"/>
      <c r="P162" s="47"/>
      <c r="Q162" s="47"/>
      <c r="R162" s="47"/>
      <c r="S162" s="47"/>
      <c r="T162" s="47"/>
      <c r="U162" s="47"/>
      <c r="V162" s="47"/>
      <c r="W162" s="47"/>
      <c r="X162" s="47"/>
      <c r="Y162" s="47"/>
      <c r="Z162" s="47"/>
    </row>
    <row r="163" spans="1:26" ht="15.75" customHeight="1">
      <c r="A163" s="47"/>
      <c r="B163" s="54"/>
      <c r="C163" s="47"/>
      <c r="D163" s="55"/>
      <c r="E163" s="55"/>
      <c r="F163" s="47"/>
      <c r="G163" s="47"/>
      <c r="H163" s="47"/>
      <c r="I163" s="47"/>
      <c r="J163" s="47"/>
      <c r="K163" s="47"/>
      <c r="L163" s="47"/>
      <c r="M163" s="47"/>
      <c r="N163" s="47"/>
      <c r="O163" s="47"/>
      <c r="P163" s="47"/>
      <c r="Q163" s="47"/>
      <c r="R163" s="47"/>
      <c r="S163" s="47"/>
      <c r="T163" s="47"/>
      <c r="U163" s="47"/>
      <c r="V163" s="47"/>
      <c r="W163" s="47"/>
      <c r="X163" s="47"/>
      <c r="Y163" s="47"/>
      <c r="Z163" s="47"/>
    </row>
    <row r="164" spans="1:26" ht="15.75" customHeight="1">
      <c r="A164" s="47"/>
      <c r="B164" s="54"/>
      <c r="C164" s="47"/>
      <c r="D164" s="55"/>
      <c r="E164" s="55"/>
      <c r="F164" s="47"/>
      <c r="G164" s="47"/>
      <c r="H164" s="47"/>
      <c r="I164" s="47"/>
      <c r="J164" s="47"/>
      <c r="K164" s="47"/>
      <c r="L164" s="47"/>
      <c r="M164" s="47"/>
      <c r="N164" s="47"/>
      <c r="O164" s="47"/>
      <c r="P164" s="47"/>
      <c r="Q164" s="47"/>
      <c r="R164" s="47"/>
      <c r="S164" s="47"/>
      <c r="T164" s="47"/>
      <c r="U164" s="47"/>
      <c r="V164" s="47"/>
      <c r="W164" s="47"/>
      <c r="X164" s="47"/>
      <c r="Y164" s="47"/>
      <c r="Z164" s="47"/>
    </row>
    <row r="165" spans="1:26" ht="15.75" customHeight="1">
      <c r="A165" s="47"/>
      <c r="B165" s="54"/>
      <c r="C165" s="47"/>
      <c r="D165" s="55"/>
      <c r="E165" s="55"/>
      <c r="F165" s="47"/>
      <c r="G165" s="47"/>
      <c r="H165" s="47"/>
      <c r="I165" s="47"/>
      <c r="J165" s="47"/>
      <c r="K165" s="47"/>
      <c r="L165" s="47"/>
      <c r="M165" s="47"/>
      <c r="N165" s="47"/>
      <c r="O165" s="47"/>
      <c r="P165" s="47"/>
      <c r="Q165" s="47"/>
      <c r="R165" s="47"/>
      <c r="S165" s="47"/>
      <c r="T165" s="47"/>
      <c r="U165" s="47"/>
      <c r="V165" s="47"/>
      <c r="W165" s="47"/>
      <c r="X165" s="47"/>
      <c r="Y165" s="47"/>
      <c r="Z165" s="47"/>
    </row>
    <row r="166" spans="1:26" ht="15.75" customHeight="1">
      <c r="A166" s="47"/>
      <c r="B166" s="54"/>
      <c r="C166" s="47"/>
      <c r="D166" s="55"/>
      <c r="E166" s="55"/>
      <c r="F166" s="47"/>
      <c r="G166" s="47"/>
      <c r="H166" s="47"/>
      <c r="I166" s="47"/>
      <c r="J166" s="47"/>
      <c r="K166" s="47"/>
      <c r="L166" s="47"/>
      <c r="M166" s="47"/>
      <c r="N166" s="47"/>
      <c r="O166" s="47"/>
      <c r="P166" s="47"/>
      <c r="Q166" s="47"/>
      <c r="R166" s="47"/>
      <c r="S166" s="47"/>
      <c r="T166" s="47"/>
      <c r="U166" s="47"/>
      <c r="V166" s="47"/>
      <c r="W166" s="47"/>
      <c r="X166" s="47"/>
      <c r="Y166" s="47"/>
      <c r="Z166" s="47"/>
    </row>
    <row r="167" spans="1:26" ht="15.75" customHeight="1">
      <c r="A167" s="47"/>
      <c r="B167" s="54"/>
      <c r="C167" s="47"/>
      <c r="D167" s="55"/>
      <c r="E167" s="55"/>
      <c r="F167" s="47"/>
      <c r="G167" s="47"/>
      <c r="H167" s="47"/>
      <c r="I167" s="47"/>
      <c r="J167" s="47"/>
      <c r="K167" s="47"/>
      <c r="L167" s="47"/>
      <c r="M167" s="47"/>
      <c r="N167" s="47"/>
      <c r="O167" s="47"/>
      <c r="P167" s="47"/>
      <c r="Q167" s="47"/>
      <c r="R167" s="47"/>
      <c r="S167" s="47"/>
      <c r="T167" s="47"/>
      <c r="U167" s="47"/>
      <c r="V167" s="47"/>
      <c r="W167" s="47"/>
      <c r="X167" s="47"/>
      <c r="Y167" s="47"/>
      <c r="Z167" s="47"/>
    </row>
    <row r="168" spans="1:26" ht="15.75" customHeight="1">
      <c r="A168" s="47"/>
      <c r="B168" s="54"/>
      <c r="C168" s="47"/>
      <c r="D168" s="55"/>
      <c r="E168" s="55"/>
      <c r="F168" s="47"/>
      <c r="G168" s="47"/>
      <c r="H168" s="47"/>
      <c r="I168" s="47"/>
      <c r="J168" s="47"/>
      <c r="K168" s="47"/>
      <c r="L168" s="47"/>
      <c r="M168" s="47"/>
      <c r="N168" s="47"/>
      <c r="O168" s="47"/>
      <c r="P168" s="47"/>
      <c r="Q168" s="47"/>
      <c r="R168" s="47"/>
      <c r="S168" s="47"/>
      <c r="T168" s="47"/>
      <c r="U168" s="47"/>
      <c r="V168" s="47"/>
      <c r="W168" s="47"/>
      <c r="X168" s="47"/>
      <c r="Y168" s="47"/>
      <c r="Z168" s="47"/>
    </row>
    <row r="169" spans="1:26" ht="15.75" customHeight="1">
      <c r="A169" s="47"/>
      <c r="B169" s="54"/>
      <c r="C169" s="47"/>
      <c r="D169" s="55"/>
      <c r="E169" s="55"/>
      <c r="F169" s="47"/>
      <c r="G169" s="47"/>
      <c r="H169" s="47"/>
      <c r="I169" s="47"/>
      <c r="J169" s="47"/>
      <c r="K169" s="47"/>
      <c r="L169" s="47"/>
      <c r="M169" s="47"/>
      <c r="N169" s="47"/>
      <c r="O169" s="47"/>
      <c r="P169" s="47"/>
      <c r="Q169" s="47"/>
      <c r="R169" s="47"/>
      <c r="S169" s="47"/>
      <c r="T169" s="47"/>
      <c r="U169" s="47"/>
      <c r="V169" s="47"/>
      <c r="W169" s="47"/>
      <c r="X169" s="47"/>
      <c r="Y169" s="47"/>
      <c r="Z169" s="47"/>
    </row>
    <row r="170" spans="1:26" ht="15.75" customHeight="1">
      <c r="A170" s="47"/>
      <c r="B170" s="54"/>
      <c r="C170" s="47"/>
      <c r="D170" s="55"/>
      <c r="E170" s="55"/>
      <c r="F170" s="47"/>
      <c r="G170" s="47"/>
      <c r="H170" s="47"/>
      <c r="I170" s="47"/>
      <c r="J170" s="47"/>
      <c r="K170" s="47"/>
      <c r="L170" s="47"/>
      <c r="M170" s="47"/>
      <c r="N170" s="47"/>
      <c r="O170" s="47"/>
      <c r="P170" s="47"/>
      <c r="Q170" s="47"/>
      <c r="R170" s="47"/>
      <c r="S170" s="47"/>
      <c r="T170" s="47"/>
      <c r="U170" s="47"/>
      <c r="V170" s="47"/>
      <c r="W170" s="47"/>
      <c r="X170" s="47"/>
      <c r="Y170" s="47"/>
      <c r="Z170" s="47"/>
    </row>
    <row r="171" spans="1:26" ht="15.75" customHeight="1">
      <c r="A171" s="47"/>
      <c r="B171" s="54"/>
      <c r="C171" s="47"/>
      <c r="D171" s="55"/>
      <c r="E171" s="55"/>
      <c r="F171" s="47"/>
      <c r="G171" s="47"/>
      <c r="H171" s="47"/>
      <c r="I171" s="47"/>
      <c r="J171" s="47"/>
      <c r="K171" s="47"/>
      <c r="L171" s="47"/>
      <c r="M171" s="47"/>
      <c r="N171" s="47"/>
      <c r="O171" s="47"/>
      <c r="P171" s="47"/>
      <c r="Q171" s="47"/>
      <c r="R171" s="47"/>
      <c r="S171" s="47"/>
      <c r="T171" s="47"/>
      <c r="U171" s="47"/>
      <c r="V171" s="47"/>
      <c r="W171" s="47"/>
      <c r="X171" s="47"/>
      <c r="Y171" s="47"/>
      <c r="Z171" s="47"/>
    </row>
    <row r="172" spans="1:26" ht="15.75" customHeight="1">
      <c r="A172" s="47"/>
      <c r="B172" s="54"/>
      <c r="C172" s="47"/>
      <c r="D172" s="55"/>
      <c r="E172" s="55"/>
      <c r="F172" s="47"/>
      <c r="G172" s="47"/>
      <c r="H172" s="47"/>
      <c r="I172" s="47"/>
      <c r="J172" s="47"/>
      <c r="K172" s="47"/>
      <c r="L172" s="47"/>
      <c r="M172" s="47"/>
      <c r="N172" s="47"/>
      <c r="O172" s="47"/>
      <c r="P172" s="47"/>
      <c r="Q172" s="47"/>
      <c r="R172" s="47"/>
      <c r="S172" s="47"/>
      <c r="T172" s="47"/>
      <c r="U172" s="47"/>
      <c r="V172" s="47"/>
      <c r="W172" s="47"/>
      <c r="X172" s="47"/>
      <c r="Y172" s="47"/>
      <c r="Z172" s="47"/>
    </row>
    <row r="173" spans="1:26" ht="15.75" customHeight="1">
      <c r="A173" s="47"/>
      <c r="B173" s="54"/>
      <c r="C173" s="47"/>
      <c r="D173" s="55"/>
      <c r="E173" s="55"/>
      <c r="F173" s="47"/>
      <c r="G173" s="47"/>
      <c r="H173" s="47"/>
      <c r="I173" s="47"/>
      <c r="J173" s="47"/>
      <c r="K173" s="47"/>
      <c r="L173" s="47"/>
      <c r="M173" s="47"/>
      <c r="N173" s="47"/>
      <c r="O173" s="47"/>
      <c r="P173" s="47"/>
      <c r="Q173" s="47"/>
      <c r="R173" s="47"/>
      <c r="S173" s="47"/>
      <c r="T173" s="47"/>
      <c r="U173" s="47"/>
      <c r="V173" s="47"/>
      <c r="W173" s="47"/>
      <c r="X173" s="47"/>
      <c r="Y173" s="47"/>
      <c r="Z173" s="47"/>
    </row>
    <row r="174" spans="1:26" ht="15.75" customHeight="1">
      <c r="A174" s="47"/>
      <c r="B174" s="54"/>
      <c r="C174" s="47"/>
      <c r="D174" s="55"/>
      <c r="E174" s="55"/>
      <c r="F174" s="47"/>
      <c r="G174" s="47"/>
      <c r="H174" s="47"/>
      <c r="I174" s="47"/>
      <c r="J174" s="47"/>
      <c r="K174" s="47"/>
      <c r="L174" s="47"/>
      <c r="M174" s="47"/>
      <c r="N174" s="47"/>
      <c r="O174" s="47"/>
      <c r="P174" s="47"/>
      <c r="Q174" s="47"/>
      <c r="R174" s="47"/>
      <c r="S174" s="47"/>
      <c r="T174" s="47"/>
      <c r="U174" s="47"/>
      <c r="V174" s="47"/>
      <c r="W174" s="47"/>
      <c r="X174" s="47"/>
      <c r="Y174" s="47"/>
      <c r="Z174" s="47"/>
    </row>
    <row r="175" spans="1:26" ht="15.75" customHeight="1">
      <c r="A175" s="47"/>
      <c r="B175" s="54"/>
      <c r="C175" s="47"/>
      <c r="D175" s="55"/>
      <c r="E175" s="55"/>
      <c r="F175" s="47"/>
      <c r="G175" s="47"/>
      <c r="H175" s="47"/>
      <c r="I175" s="47"/>
      <c r="J175" s="47"/>
      <c r="K175" s="47"/>
      <c r="L175" s="47"/>
      <c r="M175" s="47"/>
      <c r="N175" s="47"/>
      <c r="O175" s="47"/>
      <c r="P175" s="47"/>
      <c r="Q175" s="47"/>
      <c r="R175" s="47"/>
      <c r="S175" s="47"/>
      <c r="T175" s="47"/>
      <c r="U175" s="47"/>
      <c r="V175" s="47"/>
      <c r="W175" s="47"/>
      <c r="X175" s="47"/>
      <c r="Y175" s="47"/>
      <c r="Z175" s="47"/>
    </row>
    <row r="176" spans="1:26" ht="15.75" customHeight="1">
      <c r="A176" s="47"/>
      <c r="B176" s="54"/>
      <c r="C176" s="47"/>
      <c r="D176" s="55"/>
      <c r="E176" s="55"/>
      <c r="F176" s="47"/>
      <c r="G176" s="47"/>
      <c r="H176" s="47"/>
      <c r="I176" s="47"/>
      <c r="J176" s="47"/>
      <c r="K176" s="47"/>
      <c r="L176" s="47"/>
      <c r="M176" s="47"/>
      <c r="N176" s="47"/>
      <c r="O176" s="47"/>
      <c r="P176" s="47"/>
      <c r="Q176" s="47"/>
      <c r="R176" s="47"/>
      <c r="S176" s="47"/>
      <c r="T176" s="47"/>
      <c r="U176" s="47"/>
      <c r="V176" s="47"/>
      <c r="W176" s="47"/>
      <c r="X176" s="47"/>
      <c r="Y176" s="47"/>
      <c r="Z176" s="47"/>
    </row>
    <row r="177" spans="1:26" ht="15.75" customHeight="1">
      <c r="A177" s="47"/>
      <c r="B177" s="54"/>
      <c r="C177" s="47"/>
      <c r="D177" s="55"/>
      <c r="E177" s="55"/>
      <c r="F177" s="47"/>
      <c r="G177" s="47"/>
      <c r="H177" s="47"/>
      <c r="I177" s="47"/>
      <c r="J177" s="47"/>
      <c r="K177" s="47"/>
      <c r="L177" s="47"/>
      <c r="M177" s="47"/>
      <c r="N177" s="47"/>
      <c r="O177" s="47"/>
      <c r="P177" s="47"/>
      <c r="Q177" s="47"/>
      <c r="R177" s="47"/>
      <c r="S177" s="47"/>
      <c r="T177" s="47"/>
      <c r="U177" s="47"/>
      <c r="V177" s="47"/>
      <c r="W177" s="47"/>
      <c r="X177" s="47"/>
      <c r="Y177" s="47"/>
      <c r="Z177" s="47"/>
    </row>
    <row r="178" spans="1:26" ht="15.75" customHeight="1">
      <c r="A178" s="47"/>
      <c r="B178" s="54"/>
      <c r="C178" s="47"/>
      <c r="D178" s="55"/>
      <c r="E178" s="55"/>
      <c r="F178" s="47"/>
      <c r="G178" s="47"/>
      <c r="H178" s="47"/>
      <c r="I178" s="47"/>
      <c r="J178" s="47"/>
      <c r="K178" s="47"/>
      <c r="L178" s="47"/>
      <c r="M178" s="47"/>
      <c r="N178" s="47"/>
      <c r="O178" s="47"/>
      <c r="P178" s="47"/>
      <c r="Q178" s="47"/>
      <c r="R178" s="47"/>
      <c r="S178" s="47"/>
      <c r="T178" s="47"/>
      <c r="U178" s="47"/>
      <c r="V178" s="47"/>
      <c r="W178" s="47"/>
      <c r="X178" s="47"/>
      <c r="Y178" s="47"/>
      <c r="Z178" s="47"/>
    </row>
    <row r="179" spans="1:26" ht="15.75" customHeight="1">
      <c r="A179" s="47"/>
      <c r="B179" s="54"/>
      <c r="C179" s="47"/>
      <c r="D179" s="55"/>
      <c r="E179" s="55"/>
      <c r="F179" s="47"/>
      <c r="G179" s="47"/>
      <c r="H179" s="47"/>
      <c r="I179" s="47"/>
      <c r="J179" s="47"/>
      <c r="K179" s="47"/>
      <c r="L179" s="47"/>
      <c r="M179" s="47"/>
      <c r="N179" s="47"/>
      <c r="O179" s="47"/>
      <c r="P179" s="47"/>
      <c r="Q179" s="47"/>
      <c r="R179" s="47"/>
      <c r="S179" s="47"/>
      <c r="T179" s="47"/>
      <c r="U179" s="47"/>
      <c r="V179" s="47"/>
      <c r="W179" s="47"/>
      <c r="X179" s="47"/>
      <c r="Y179" s="47"/>
      <c r="Z179" s="47"/>
    </row>
    <row r="180" spans="1:26" ht="15.75" customHeight="1">
      <c r="A180" s="47"/>
      <c r="B180" s="54"/>
      <c r="C180" s="47"/>
      <c r="D180" s="55"/>
      <c r="E180" s="55"/>
      <c r="F180" s="47"/>
      <c r="G180" s="47"/>
      <c r="H180" s="47"/>
      <c r="I180" s="47"/>
      <c r="J180" s="47"/>
      <c r="K180" s="47"/>
      <c r="L180" s="47"/>
      <c r="M180" s="47"/>
      <c r="N180" s="47"/>
      <c r="O180" s="47"/>
      <c r="P180" s="47"/>
      <c r="Q180" s="47"/>
      <c r="R180" s="47"/>
      <c r="S180" s="47"/>
      <c r="T180" s="47"/>
      <c r="U180" s="47"/>
      <c r="V180" s="47"/>
      <c r="W180" s="47"/>
      <c r="X180" s="47"/>
      <c r="Y180" s="47"/>
      <c r="Z180" s="47"/>
    </row>
    <row r="181" spans="1:26" ht="15.75" customHeight="1">
      <c r="A181" s="47"/>
      <c r="B181" s="54"/>
      <c r="C181" s="47"/>
      <c r="D181" s="55"/>
      <c r="E181" s="55"/>
      <c r="F181" s="47"/>
      <c r="G181" s="47"/>
      <c r="H181" s="47"/>
      <c r="I181" s="47"/>
      <c r="J181" s="47"/>
      <c r="K181" s="47"/>
      <c r="L181" s="47"/>
      <c r="M181" s="47"/>
      <c r="N181" s="47"/>
      <c r="O181" s="47"/>
      <c r="P181" s="47"/>
      <c r="Q181" s="47"/>
      <c r="R181" s="47"/>
      <c r="S181" s="47"/>
      <c r="T181" s="47"/>
      <c r="U181" s="47"/>
      <c r="V181" s="47"/>
      <c r="W181" s="47"/>
      <c r="X181" s="47"/>
      <c r="Y181" s="47"/>
      <c r="Z181" s="47"/>
    </row>
    <row r="182" spans="1:26" ht="15.75" customHeight="1">
      <c r="A182" s="47"/>
      <c r="B182" s="54"/>
      <c r="C182" s="47"/>
      <c r="D182" s="55"/>
      <c r="E182" s="55"/>
      <c r="F182" s="47"/>
      <c r="G182" s="47"/>
      <c r="H182" s="47"/>
      <c r="I182" s="47"/>
      <c r="J182" s="47"/>
      <c r="K182" s="47"/>
      <c r="L182" s="47"/>
      <c r="M182" s="47"/>
      <c r="N182" s="47"/>
      <c r="O182" s="47"/>
      <c r="P182" s="47"/>
      <c r="Q182" s="47"/>
      <c r="R182" s="47"/>
      <c r="S182" s="47"/>
      <c r="T182" s="47"/>
      <c r="U182" s="47"/>
      <c r="V182" s="47"/>
      <c r="W182" s="47"/>
      <c r="X182" s="47"/>
      <c r="Y182" s="47"/>
      <c r="Z182" s="47"/>
    </row>
    <row r="183" spans="1:26" ht="15.75" customHeight="1">
      <c r="A183" s="47"/>
      <c r="B183" s="54"/>
      <c r="C183" s="47"/>
      <c r="D183" s="55"/>
      <c r="E183" s="55"/>
      <c r="F183" s="47"/>
      <c r="G183" s="47"/>
      <c r="H183" s="47"/>
      <c r="I183" s="47"/>
      <c r="J183" s="47"/>
      <c r="K183" s="47"/>
      <c r="L183" s="47"/>
      <c r="M183" s="47"/>
      <c r="N183" s="47"/>
      <c r="O183" s="47"/>
      <c r="P183" s="47"/>
      <c r="Q183" s="47"/>
      <c r="R183" s="47"/>
      <c r="S183" s="47"/>
      <c r="T183" s="47"/>
      <c r="U183" s="47"/>
      <c r="V183" s="47"/>
      <c r="W183" s="47"/>
      <c r="X183" s="47"/>
      <c r="Y183" s="47"/>
      <c r="Z183" s="47"/>
    </row>
    <row r="184" spans="1:26" ht="15.75" customHeight="1">
      <c r="A184" s="47"/>
      <c r="B184" s="54"/>
      <c r="C184" s="47"/>
      <c r="D184" s="55"/>
      <c r="E184" s="55"/>
      <c r="F184" s="47"/>
      <c r="G184" s="47"/>
      <c r="H184" s="47"/>
      <c r="I184" s="47"/>
      <c r="J184" s="47"/>
      <c r="K184" s="47"/>
      <c r="L184" s="47"/>
      <c r="M184" s="47"/>
      <c r="N184" s="47"/>
      <c r="O184" s="47"/>
      <c r="P184" s="47"/>
      <c r="Q184" s="47"/>
      <c r="R184" s="47"/>
      <c r="S184" s="47"/>
      <c r="T184" s="47"/>
      <c r="U184" s="47"/>
      <c r="V184" s="47"/>
      <c r="W184" s="47"/>
      <c r="X184" s="47"/>
      <c r="Y184" s="47"/>
      <c r="Z184" s="47"/>
    </row>
    <row r="185" spans="1:26" ht="15.75" customHeight="1">
      <c r="A185" s="47"/>
      <c r="B185" s="54"/>
      <c r="C185" s="47"/>
      <c r="D185" s="55"/>
      <c r="E185" s="55"/>
      <c r="F185" s="47"/>
      <c r="G185" s="47"/>
      <c r="H185" s="47"/>
      <c r="I185" s="47"/>
      <c r="J185" s="47"/>
      <c r="K185" s="47"/>
      <c r="L185" s="47"/>
      <c r="M185" s="47"/>
      <c r="N185" s="47"/>
      <c r="O185" s="47"/>
      <c r="P185" s="47"/>
      <c r="Q185" s="47"/>
      <c r="R185" s="47"/>
      <c r="S185" s="47"/>
      <c r="T185" s="47"/>
      <c r="U185" s="47"/>
      <c r="V185" s="47"/>
      <c r="W185" s="47"/>
      <c r="X185" s="47"/>
      <c r="Y185" s="47"/>
      <c r="Z185" s="47"/>
    </row>
    <row r="186" spans="1:26" ht="15.75" customHeight="1">
      <c r="A186" s="47"/>
      <c r="B186" s="54"/>
      <c r="C186" s="47"/>
      <c r="D186" s="55"/>
      <c r="E186" s="55"/>
      <c r="F186" s="47"/>
      <c r="G186" s="47"/>
      <c r="H186" s="47"/>
      <c r="I186" s="47"/>
      <c r="J186" s="47"/>
      <c r="K186" s="47"/>
      <c r="L186" s="47"/>
      <c r="M186" s="47"/>
      <c r="N186" s="47"/>
      <c r="O186" s="47"/>
      <c r="P186" s="47"/>
      <c r="Q186" s="47"/>
      <c r="R186" s="47"/>
      <c r="S186" s="47"/>
      <c r="T186" s="47"/>
      <c r="U186" s="47"/>
      <c r="V186" s="47"/>
      <c r="W186" s="47"/>
      <c r="X186" s="47"/>
      <c r="Y186" s="47"/>
      <c r="Z186" s="47"/>
    </row>
    <row r="187" spans="1:26" ht="15.75" customHeight="1">
      <c r="A187" s="47"/>
      <c r="B187" s="54"/>
      <c r="C187" s="47"/>
      <c r="D187" s="55"/>
      <c r="E187" s="55"/>
      <c r="F187" s="47"/>
      <c r="G187" s="47"/>
      <c r="H187" s="47"/>
      <c r="I187" s="47"/>
      <c r="J187" s="47"/>
      <c r="K187" s="47"/>
      <c r="L187" s="47"/>
      <c r="M187" s="47"/>
      <c r="N187" s="47"/>
      <c r="O187" s="47"/>
      <c r="P187" s="47"/>
      <c r="Q187" s="47"/>
      <c r="R187" s="47"/>
      <c r="S187" s="47"/>
      <c r="T187" s="47"/>
      <c r="U187" s="47"/>
      <c r="V187" s="47"/>
      <c r="W187" s="47"/>
      <c r="X187" s="47"/>
      <c r="Y187" s="47"/>
      <c r="Z187" s="47"/>
    </row>
    <row r="188" spans="1:26" ht="15.75" customHeight="1">
      <c r="A188" s="47"/>
      <c r="B188" s="54"/>
      <c r="C188" s="47"/>
      <c r="D188" s="55"/>
      <c r="E188" s="55"/>
      <c r="F188" s="47"/>
      <c r="G188" s="47"/>
      <c r="H188" s="47"/>
      <c r="I188" s="47"/>
      <c r="J188" s="47"/>
      <c r="K188" s="47"/>
      <c r="L188" s="47"/>
      <c r="M188" s="47"/>
      <c r="N188" s="47"/>
      <c r="O188" s="47"/>
      <c r="P188" s="47"/>
      <c r="Q188" s="47"/>
      <c r="R188" s="47"/>
      <c r="S188" s="47"/>
      <c r="T188" s="47"/>
      <c r="U188" s="47"/>
      <c r="V188" s="47"/>
      <c r="W188" s="47"/>
      <c r="X188" s="47"/>
      <c r="Y188" s="47"/>
      <c r="Z188" s="47"/>
    </row>
    <row r="189" spans="1:26" ht="15.75" customHeight="1">
      <c r="A189" s="47"/>
      <c r="B189" s="54"/>
      <c r="C189" s="47"/>
      <c r="D189" s="55"/>
      <c r="E189" s="55"/>
      <c r="F189" s="47"/>
      <c r="G189" s="47"/>
      <c r="H189" s="47"/>
      <c r="I189" s="47"/>
      <c r="J189" s="47"/>
      <c r="K189" s="47"/>
      <c r="L189" s="47"/>
      <c r="M189" s="47"/>
      <c r="N189" s="47"/>
      <c r="O189" s="47"/>
      <c r="P189" s="47"/>
      <c r="Q189" s="47"/>
      <c r="R189" s="47"/>
      <c r="S189" s="47"/>
      <c r="T189" s="47"/>
      <c r="U189" s="47"/>
      <c r="V189" s="47"/>
      <c r="W189" s="47"/>
      <c r="X189" s="47"/>
      <c r="Y189" s="47"/>
      <c r="Z189" s="47"/>
    </row>
    <row r="190" spans="1:26" ht="15.75" customHeight="1">
      <c r="A190" s="47"/>
      <c r="B190" s="54"/>
      <c r="C190" s="47"/>
      <c r="D190" s="55"/>
      <c r="E190" s="55"/>
      <c r="F190" s="47"/>
      <c r="G190" s="47"/>
      <c r="H190" s="47"/>
      <c r="I190" s="47"/>
      <c r="J190" s="47"/>
      <c r="K190" s="47"/>
      <c r="L190" s="47"/>
      <c r="M190" s="47"/>
      <c r="N190" s="47"/>
      <c r="O190" s="47"/>
      <c r="P190" s="47"/>
      <c r="Q190" s="47"/>
      <c r="R190" s="47"/>
      <c r="S190" s="47"/>
      <c r="T190" s="47"/>
      <c r="U190" s="47"/>
      <c r="V190" s="47"/>
      <c r="W190" s="47"/>
      <c r="X190" s="47"/>
      <c r="Y190" s="47"/>
      <c r="Z190" s="47"/>
    </row>
    <row r="191" spans="1:26" ht="15.75" customHeight="1">
      <c r="A191" s="47"/>
      <c r="B191" s="54"/>
      <c r="C191" s="47"/>
      <c r="D191" s="55"/>
      <c r="E191" s="55"/>
      <c r="F191" s="47"/>
      <c r="G191" s="47"/>
      <c r="H191" s="47"/>
      <c r="I191" s="47"/>
      <c r="J191" s="47"/>
      <c r="K191" s="47"/>
      <c r="L191" s="47"/>
      <c r="M191" s="47"/>
      <c r="N191" s="47"/>
      <c r="O191" s="47"/>
      <c r="P191" s="47"/>
      <c r="Q191" s="47"/>
      <c r="R191" s="47"/>
      <c r="S191" s="47"/>
      <c r="T191" s="47"/>
      <c r="U191" s="47"/>
      <c r="V191" s="47"/>
      <c r="W191" s="47"/>
      <c r="X191" s="47"/>
      <c r="Y191" s="47"/>
      <c r="Z191" s="47"/>
    </row>
    <row r="192" spans="1:26" ht="15.75" customHeight="1">
      <c r="A192" s="47"/>
      <c r="B192" s="54"/>
      <c r="C192" s="47"/>
      <c r="D192" s="55"/>
      <c r="E192" s="55"/>
      <c r="F192" s="47"/>
      <c r="G192" s="47"/>
      <c r="H192" s="47"/>
      <c r="I192" s="47"/>
      <c r="J192" s="47"/>
      <c r="K192" s="47"/>
      <c r="L192" s="47"/>
      <c r="M192" s="47"/>
      <c r="N192" s="47"/>
      <c r="O192" s="47"/>
      <c r="P192" s="47"/>
      <c r="Q192" s="47"/>
      <c r="R192" s="47"/>
      <c r="S192" s="47"/>
      <c r="T192" s="47"/>
      <c r="U192" s="47"/>
      <c r="V192" s="47"/>
      <c r="W192" s="47"/>
      <c r="X192" s="47"/>
      <c r="Y192" s="47"/>
      <c r="Z192" s="47"/>
    </row>
    <row r="193" spans="1:26" ht="15.75" customHeight="1">
      <c r="A193" s="47"/>
      <c r="B193" s="54"/>
      <c r="C193" s="47"/>
      <c r="D193" s="55"/>
      <c r="E193" s="55"/>
      <c r="F193" s="47"/>
      <c r="G193" s="47"/>
      <c r="H193" s="47"/>
      <c r="I193" s="47"/>
      <c r="J193" s="47"/>
      <c r="K193" s="47"/>
      <c r="L193" s="47"/>
      <c r="M193" s="47"/>
      <c r="N193" s="47"/>
      <c r="O193" s="47"/>
      <c r="P193" s="47"/>
      <c r="Q193" s="47"/>
      <c r="R193" s="47"/>
      <c r="S193" s="47"/>
      <c r="T193" s="47"/>
      <c r="U193" s="47"/>
      <c r="V193" s="47"/>
      <c r="W193" s="47"/>
      <c r="X193" s="47"/>
      <c r="Y193" s="47"/>
      <c r="Z193" s="47"/>
    </row>
    <row r="194" spans="1:26" ht="15.75" customHeight="1">
      <c r="A194" s="47"/>
      <c r="B194" s="54"/>
      <c r="C194" s="47"/>
      <c r="D194" s="55"/>
      <c r="E194" s="55"/>
      <c r="F194" s="47"/>
      <c r="G194" s="47"/>
      <c r="H194" s="47"/>
      <c r="I194" s="47"/>
      <c r="J194" s="47"/>
      <c r="K194" s="47"/>
      <c r="L194" s="47"/>
      <c r="M194" s="47"/>
      <c r="N194" s="47"/>
      <c r="O194" s="47"/>
      <c r="P194" s="47"/>
      <c r="Q194" s="47"/>
      <c r="R194" s="47"/>
      <c r="S194" s="47"/>
      <c r="T194" s="47"/>
      <c r="U194" s="47"/>
      <c r="V194" s="47"/>
      <c r="W194" s="47"/>
      <c r="X194" s="47"/>
      <c r="Y194" s="47"/>
      <c r="Z194" s="47"/>
    </row>
    <row r="195" spans="1:26" ht="15.75" customHeight="1">
      <c r="A195" s="47"/>
      <c r="B195" s="54"/>
      <c r="C195" s="47"/>
      <c r="D195" s="55"/>
      <c r="E195" s="55"/>
      <c r="F195" s="47"/>
      <c r="G195" s="47"/>
      <c r="H195" s="47"/>
      <c r="I195" s="47"/>
      <c r="J195" s="47"/>
      <c r="K195" s="47"/>
      <c r="L195" s="47"/>
      <c r="M195" s="47"/>
      <c r="N195" s="47"/>
      <c r="O195" s="47"/>
      <c r="P195" s="47"/>
      <c r="Q195" s="47"/>
      <c r="R195" s="47"/>
      <c r="S195" s="47"/>
      <c r="T195" s="47"/>
      <c r="U195" s="47"/>
      <c r="V195" s="47"/>
      <c r="W195" s="47"/>
      <c r="X195" s="47"/>
      <c r="Y195" s="47"/>
      <c r="Z195" s="47"/>
    </row>
    <row r="196" spans="1:26" ht="15.75" customHeight="1">
      <c r="A196" s="47"/>
      <c r="B196" s="54"/>
      <c r="C196" s="47"/>
      <c r="D196" s="55"/>
      <c r="E196" s="55"/>
      <c r="F196" s="47"/>
      <c r="G196" s="47"/>
      <c r="H196" s="47"/>
      <c r="I196" s="47"/>
      <c r="J196" s="47"/>
      <c r="K196" s="47"/>
      <c r="L196" s="47"/>
      <c r="M196" s="47"/>
      <c r="N196" s="47"/>
      <c r="O196" s="47"/>
      <c r="P196" s="47"/>
      <c r="Q196" s="47"/>
      <c r="R196" s="47"/>
      <c r="S196" s="47"/>
      <c r="T196" s="47"/>
      <c r="U196" s="47"/>
      <c r="V196" s="47"/>
      <c r="W196" s="47"/>
      <c r="X196" s="47"/>
      <c r="Y196" s="47"/>
      <c r="Z196" s="47"/>
    </row>
    <row r="197" spans="1:26" ht="15.75" customHeight="1">
      <c r="A197" s="47"/>
      <c r="B197" s="54"/>
      <c r="C197" s="47"/>
      <c r="D197" s="55"/>
      <c r="E197" s="55"/>
      <c r="F197" s="47"/>
      <c r="G197" s="47"/>
      <c r="H197" s="47"/>
      <c r="I197" s="47"/>
      <c r="J197" s="47"/>
      <c r="K197" s="47"/>
      <c r="L197" s="47"/>
      <c r="M197" s="47"/>
      <c r="N197" s="47"/>
      <c r="O197" s="47"/>
      <c r="P197" s="47"/>
      <c r="Q197" s="47"/>
      <c r="R197" s="47"/>
      <c r="S197" s="47"/>
      <c r="T197" s="47"/>
      <c r="U197" s="47"/>
      <c r="V197" s="47"/>
      <c r="W197" s="47"/>
      <c r="X197" s="47"/>
      <c r="Y197" s="47"/>
      <c r="Z197" s="47"/>
    </row>
    <row r="198" spans="1:26" ht="15.75" customHeight="1">
      <c r="A198" s="47"/>
      <c r="B198" s="54"/>
      <c r="C198" s="47"/>
      <c r="D198" s="55"/>
      <c r="E198" s="55"/>
      <c r="F198" s="47"/>
      <c r="G198" s="47"/>
      <c r="H198" s="47"/>
      <c r="I198" s="47"/>
      <c r="J198" s="47"/>
      <c r="K198" s="47"/>
      <c r="L198" s="47"/>
      <c r="M198" s="47"/>
      <c r="N198" s="47"/>
      <c r="O198" s="47"/>
      <c r="P198" s="47"/>
      <c r="Q198" s="47"/>
      <c r="R198" s="47"/>
      <c r="S198" s="47"/>
      <c r="T198" s="47"/>
      <c r="U198" s="47"/>
      <c r="V198" s="47"/>
      <c r="W198" s="47"/>
      <c r="X198" s="47"/>
      <c r="Y198" s="47"/>
      <c r="Z198" s="47"/>
    </row>
    <row r="199" spans="1:26" ht="15.75" customHeight="1">
      <c r="A199" s="47"/>
      <c r="B199" s="54"/>
      <c r="C199" s="47"/>
      <c r="D199" s="55"/>
      <c r="E199" s="55"/>
      <c r="F199" s="47"/>
      <c r="G199" s="47"/>
      <c r="H199" s="47"/>
      <c r="I199" s="47"/>
      <c r="J199" s="47"/>
      <c r="K199" s="47"/>
      <c r="L199" s="47"/>
      <c r="M199" s="47"/>
      <c r="N199" s="47"/>
      <c r="O199" s="47"/>
      <c r="P199" s="47"/>
      <c r="Q199" s="47"/>
      <c r="R199" s="47"/>
      <c r="S199" s="47"/>
      <c r="T199" s="47"/>
      <c r="U199" s="47"/>
      <c r="V199" s="47"/>
      <c r="W199" s="47"/>
      <c r="X199" s="47"/>
      <c r="Y199" s="47"/>
      <c r="Z199" s="47"/>
    </row>
    <row r="200" spans="1:26" ht="15.75" customHeight="1">
      <c r="A200" s="47"/>
      <c r="B200" s="54"/>
      <c r="C200" s="47"/>
      <c r="D200" s="55"/>
      <c r="E200" s="55"/>
      <c r="F200" s="47"/>
      <c r="G200" s="47"/>
      <c r="H200" s="47"/>
      <c r="I200" s="47"/>
      <c r="J200" s="47"/>
      <c r="K200" s="47"/>
      <c r="L200" s="47"/>
      <c r="M200" s="47"/>
      <c r="N200" s="47"/>
      <c r="O200" s="47"/>
      <c r="P200" s="47"/>
      <c r="Q200" s="47"/>
      <c r="R200" s="47"/>
      <c r="S200" s="47"/>
      <c r="T200" s="47"/>
      <c r="U200" s="47"/>
      <c r="V200" s="47"/>
      <c r="W200" s="47"/>
      <c r="X200" s="47"/>
      <c r="Y200" s="47"/>
      <c r="Z200" s="47"/>
    </row>
    <row r="201" spans="1:26" ht="15.75" customHeight="1">
      <c r="A201" s="47"/>
      <c r="B201" s="54"/>
      <c r="C201" s="47"/>
      <c r="D201" s="55"/>
      <c r="E201" s="55"/>
      <c r="F201" s="47"/>
      <c r="G201" s="47"/>
      <c r="H201" s="47"/>
      <c r="I201" s="47"/>
      <c r="J201" s="47"/>
      <c r="K201" s="47"/>
      <c r="L201" s="47"/>
      <c r="M201" s="47"/>
      <c r="N201" s="47"/>
      <c r="O201" s="47"/>
      <c r="P201" s="47"/>
      <c r="Q201" s="47"/>
      <c r="R201" s="47"/>
      <c r="S201" s="47"/>
      <c r="T201" s="47"/>
      <c r="U201" s="47"/>
      <c r="V201" s="47"/>
      <c r="W201" s="47"/>
      <c r="X201" s="47"/>
      <c r="Y201" s="47"/>
      <c r="Z201" s="47"/>
    </row>
    <row r="202" spans="1:26" ht="15.75" customHeight="1">
      <c r="A202" s="47"/>
      <c r="B202" s="54"/>
      <c r="C202" s="47"/>
      <c r="D202" s="55"/>
      <c r="E202" s="55"/>
      <c r="F202" s="47"/>
      <c r="G202" s="47"/>
      <c r="H202" s="47"/>
      <c r="I202" s="47"/>
      <c r="J202" s="47"/>
      <c r="K202" s="47"/>
      <c r="L202" s="47"/>
      <c r="M202" s="47"/>
      <c r="N202" s="47"/>
      <c r="O202" s="47"/>
      <c r="P202" s="47"/>
      <c r="Q202" s="47"/>
      <c r="R202" s="47"/>
      <c r="S202" s="47"/>
      <c r="T202" s="47"/>
      <c r="U202" s="47"/>
      <c r="V202" s="47"/>
      <c r="W202" s="47"/>
      <c r="X202" s="47"/>
      <c r="Y202" s="47"/>
      <c r="Z202" s="47"/>
    </row>
    <row r="203" spans="1:26" ht="15.75" customHeight="1">
      <c r="A203" s="47"/>
      <c r="B203" s="54"/>
      <c r="C203" s="47"/>
      <c r="D203" s="55"/>
      <c r="E203" s="55"/>
      <c r="F203" s="47"/>
      <c r="G203" s="47"/>
      <c r="H203" s="47"/>
      <c r="I203" s="47"/>
      <c r="J203" s="47"/>
      <c r="K203" s="47"/>
      <c r="L203" s="47"/>
      <c r="M203" s="47"/>
      <c r="N203" s="47"/>
      <c r="O203" s="47"/>
      <c r="P203" s="47"/>
      <c r="Q203" s="47"/>
      <c r="R203" s="47"/>
      <c r="S203" s="47"/>
      <c r="T203" s="47"/>
      <c r="U203" s="47"/>
      <c r="V203" s="47"/>
      <c r="W203" s="47"/>
      <c r="X203" s="47"/>
      <c r="Y203" s="47"/>
      <c r="Z203" s="47"/>
    </row>
    <row r="204" spans="1:26" ht="15.75" customHeight="1">
      <c r="A204" s="47"/>
      <c r="B204" s="54"/>
      <c r="C204" s="47"/>
      <c r="D204" s="55"/>
      <c r="E204" s="55"/>
      <c r="F204" s="47"/>
      <c r="G204" s="47"/>
      <c r="H204" s="47"/>
      <c r="I204" s="47"/>
      <c r="J204" s="47"/>
      <c r="K204" s="47"/>
      <c r="L204" s="47"/>
      <c r="M204" s="47"/>
      <c r="N204" s="47"/>
      <c r="O204" s="47"/>
      <c r="P204" s="47"/>
      <c r="Q204" s="47"/>
      <c r="R204" s="47"/>
      <c r="S204" s="47"/>
      <c r="T204" s="47"/>
      <c r="U204" s="47"/>
      <c r="V204" s="47"/>
      <c r="W204" s="47"/>
      <c r="X204" s="47"/>
      <c r="Y204" s="47"/>
      <c r="Z204" s="47"/>
    </row>
    <row r="205" spans="1:26" ht="15.75" customHeight="1">
      <c r="A205" s="47"/>
      <c r="B205" s="54"/>
      <c r="C205" s="47"/>
      <c r="D205" s="55"/>
      <c r="E205" s="55"/>
      <c r="F205" s="47"/>
      <c r="G205" s="47"/>
      <c r="H205" s="47"/>
      <c r="I205" s="47"/>
      <c r="J205" s="47"/>
      <c r="K205" s="47"/>
      <c r="L205" s="47"/>
      <c r="M205" s="47"/>
      <c r="N205" s="47"/>
      <c r="O205" s="47"/>
      <c r="P205" s="47"/>
      <c r="Q205" s="47"/>
      <c r="R205" s="47"/>
      <c r="S205" s="47"/>
      <c r="T205" s="47"/>
      <c r="U205" s="47"/>
      <c r="V205" s="47"/>
      <c r="W205" s="47"/>
      <c r="X205" s="47"/>
      <c r="Y205" s="47"/>
      <c r="Z205" s="47"/>
    </row>
    <row r="206" spans="1:26" ht="15.75" customHeight="1">
      <c r="A206" s="47"/>
      <c r="B206" s="54"/>
      <c r="C206" s="47"/>
      <c r="D206" s="55"/>
      <c r="E206" s="55"/>
      <c r="F206" s="47"/>
      <c r="G206" s="47"/>
      <c r="H206" s="47"/>
      <c r="I206" s="47"/>
      <c r="J206" s="47"/>
      <c r="K206" s="47"/>
      <c r="L206" s="47"/>
      <c r="M206" s="47"/>
      <c r="N206" s="47"/>
      <c r="O206" s="47"/>
      <c r="P206" s="47"/>
      <c r="Q206" s="47"/>
      <c r="R206" s="47"/>
      <c r="S206" s="47"/>
      <c r="T206" s="47"/>
      <c r="U206" s="47"/>
      <c r="V206" s="47"/>
      <c r="W206" s="47"/>
      <c r="X206" s="47"/>
      <c r="Y206" s="47"/>
      <c r="Z206" s="47"/>
    </row>
    <row r="207" spans="1:26" ht="15.75" customHeight="1">
      <c r="A207" s="47"/>
      <c r="B207" s="54"/>
      <c r="C207" s="47"/>
      <c r="D207" s="55"/>
      <c r="E207" s="55"/>
      <c r="F207" s="47"/>
      <c r="G207" s="47"/>
      <c r="H207" s="47"/>
      <c r="I207" s="47"/>
      <c r="J207" s="47"/>
      <c r="K207" s="47"/>
      <c r="L207" s="47"/>
      <c r="M207" s="47"/>
      <c r="N207" s="47"/>
      <c r="O207" s="47"/>
      <c r="P207" s="47"/>
      <c r="Q207" s="47"/>
      <c r="R207" s="47"/>
      <c r="S207" s="47"/>
      <c r="T207" s="47"/>
      <c r="U207" s="47"/>
      <c r="V207" s="47"/>
      <c r="W207" s="47"/>
      <c r="X207" s="47"/>
      <c r="Y207" s="47"/>
      <c r="Z207" s="47"/>
    </row>
    <row r="208" spans="1:26" ht="15.75" customHeight="1">
      <c r="A208" s="47"/>
      <c r="B208" s="54"/>
      <c r="C208" s="47"/>
      <c r="D208" s="55"/>
      <c r="E208" s="55"/>
      <c r="F208" s="47"/>
      <c r="G208" s="47"/>
      <c r="H208" s="47"/>
      <c r="I208" s="47"/>
      <c r="J208" s="47"/>
      <c r="K208" s="47"/>
      <c r="L208" s="47"/>
      <c r="M208" s="47"/>
      <c r="N208" s="47"/>
      <c r="O208" s="47"/>
      <c r="P208" s="47"/>
      <c r="Q208" s="47"/>
      <c r="R208" s="47"/>
      <c r="S208" s="47"/>
      <c r="T208" s="47"/>
      <c r="U208" s="47"/>
      <c r="V208" s="47"/>
      <c r="W208" s="47"/>
      <c r="X208" s="47"/>
      <c r="Y208" s="47"/>
      <c r="Z208" s="47"/>
    </row>
    <row r="209" spans="1:26" ht="15.75" customHeight="1">
      <c r="A209" s="47"/>
      <c r="B209" s="54"/>
      <c r="C209" s="47"/>
      <c r="D209" s="55"/>
      <c r="E209" s="55"/>
      <c r="F209" s="47"/>
      <c r="G209" s="47"/>
      <c r="H209" s="47"/>
      <c r="I209" s="47"/>
      <c r="J209" s="47"/>
      <c r="K209" s="47"/>
      <c r="L209" s="47"/>
      <c r="M209" s="47"/>
      <c r="N209" s="47"/>
      <c r="O209" s="47"/>
      <c r="P209" s="47"/>
      <c r="Q209" s="47"/>
      <c r="R209" s="47"/>
      <c r="S209" s="47"/>
      <c r="T209" s="47"/>
      <c r="U209" s="47"/>
      <c r="V209" s="47"/>
      <c r="W209" s="47"/>
      <c r="X209" s="47"/>
      <c r="Y209" s="47"/>
      <c r="Z209" s="47"/>
    </row>
    <row r="210" spans="1:26" ht="15.75" customHeight="1">
      <c r="A210" s="47"/>
      <c r="B210" s="54"/>
      <c r="C210" s="47"/>
      <c r="D210" s="55"/>
      <c r="E210" s="55"/>
      <c r="F210" s="47"/>
      <c r="G210" s="47"/>
      <c r="H210" s="47"/>
      <c r="I210" s="47"/>
      <c r="J210" s="47"/>
      <c r="K210" s="47"/>
      <c r="L210" s="47"/>
      <c r="M210" s="47"/>
      <c r="N210" s="47"/>
      <c r="O210" s="47"/>
      <c r="P210" s="47"/>
      <c r="Q210" s="47"/>
      <c r="R210" s="47"/>
      <c r="S210" s="47"/>
      <c r="T210" s="47"/>
      <c r="U210" s="47"/>
      <c r="V210" s="47"/>
      <c r="W210" s="47"/>
      <c r="X210" s="47"/>
      <c r="Y210" s="47"/>
      <c r="Z210" s="47"/>
    </row>
    <row r="211" spans="1:26" ht="15.75" customHeight="1">
      <c r="A211" s="47"/>
      <c r="B211" s="54"/>
      <c r="C211" s="47"/>
      <c r="D211" s="55"/>
      <c r="E211" s="55"/>
      <c r="F211" s="47"/>
      <c r="G211" s="47"/>
      <c r="H211" s="47"/>
      <c r="I211" s="47"/>
      <c r="J211" s="47"/>
      <c r="K211" s="47"/>
      <c r="L211" s="47"/>
      <c r="M211" s="47"/>
      <c r="N211" s="47"/>
      <c r="O211" s="47"/>
      <c r="P211" s="47"/>
      <c r="Q211" s="47"/>
      <c r="R211" s="47"/>
      <c r="S211" s="47"/>
      <c r="T211" s="47"/>
      <c r="U211" s="47"/>
      <c r="V211" s="47"/>
      <c r="W211" s="47"/>
      <c r="X211" s="47"/>
      <c r="Y211" s="47"/>
      <c r="Z211" s="47"/>
    </row>
    <row r="212" spans="1:26" ht="15.75" customHeight="1">
      <c r="A212" s="47"/>
      <c r="B212" s="54"/>
      <c r="C212" s="47"/>
      <c r="D212" s="55"/>
      <c r="E212" s="55"/>
      <c r="F212" s="47"/>
      <c r="G212" s="47"/>
      <c r="H212" s="47"/>
      <c r="I212" s="47"/>
      <c r="J212" s="47"/>
      <c r="K212" s="47"/>
      <c r="L212" s="47"/>
      <c r="M212" s="47"/>
      <c r="N212" s="47"/>
      <c r="O212" s="47"/>
      <c r="P212" s="47"/>
      <c r="Q212" s="47"/>
      <c r="R212" s="47"/>
      <c r="S212" s="47"/>
      <c r="T212" s="47"/>
      <c r="U212" s="47"/>
      <c r="V212" s="47"/>
      <c r="W212" s="47"/>
      <c r="X212" s="47"/>
      <c r="Y212" s="47"/>
      <c r="Z212" s="47"/>
    </row>
    <row r="213" spans="1:26" ht="15.75" customHeight="1">
      <c r="A213" s="47"/>
      <c r="B213" s="54"/>
      <c r="C213" s="47"/>
      <c r="D213" s="55"/>
      <c r="E213" s="55"/>
      <c r="F213" s="47"/>
      <c r="G213" s="47"/>
      <c r="H213" s="47"/>
      <c r="I213" s="47"/>
      <c r="J213" s="47"/>
      <c r="K213" s="47"/>
      <c r="L213" s="47"/>
      <c r="M213" s="47"/>
      <c r="N213" s="47"/>
      <c r="O213" s="47"/>
      <c r="P213" s="47"/>
      <c r="Q213" s="47"/>
      <c r="R213" s="47"/>
      <c r="S213" s="47"/>
      <c r="T213" s="47"/>
      <c r="U213" s="47"/>
      <c r="V213" s="47"/>
      <c r="W213" s="47"/>
      <c r="X213" s="47"/>
      <c r="Y213" s="47"/>
      <c r="Z213" s="47"/>
    </row>
    <row r="214" spans="1:26" ht="15.75" customHeight="1">
      <c r="A214" s="47"/>
      <c r="B214" s="54"/>
      <c r="C214" s="47"/>
      <c r="D214" s="55"/>
      <c r="E214" s="55"/>
      <c r="F214" s="47"/>
      <c r="G214" s="47"/>
      <c r="H214" s="47"/>
      <c r="I214" s="47"/>
      <c r="J214" s="47"/>
      <c r="K214" s="47"/>
      <c r="L214" s="47"/>
      <c r="M214" s="47"/>
      <c r="N214" s="47"/>
      <c r="O214" s="47"/>
      <c r="P214" s="47"/>
      <c r="Q214" s="47"/>
      <c r="R214" s="47"/>
      <c r="S214" s="47"/>
      <c r="T214" s="47"/>
      <c r="U214" s="47"/>
      <c r="V214" s="47"/>
      <c r="W214" s="47"/>
      <c r="X214" s="47"/>
      <c r="Y214" s="47"/>
      <c r="Z214" s="47"/>
    </row>
    <row r="215" spans="1:26" ht="15.75" customHeight="1">
      <c r="A215" s="47"/>
      <c r="B215" s="54"/>
      <c r="C215" s="47"/>
      <c r="D215" s="55"/>
      <c r="E215" s="55"/>
      <c r="F215" s="47"/>
      <c r="G215" s="47"/>
      <c r="H215" s="47"/>
      <c r="I215" s="47"/>
      <c r="J215" s="47"/>
      <c r="K215" s="47"/>
      <c r="L215" s="47"/>
      <c r="M215" s="47"/>
      <c r="N215" s="47"/>
      <c r="O215" s="47"/>
      <c r="P215" s="47"/>
      <c r="Q215" s="47"/>
      <c r="R215" s="47"/>
      <c r="S215" s="47"/>
      <c r="T215" s="47"/>
      <c r="U215" s="47"/>
      <c r="V215" s="47"/>
      <c r="W215" s="47"/>
      <c r="X215" s="47"/>
      <c r="Y215" s="47"/>
      <c r="Z215" s="47"/>
    </row>
    <row r="216" spans="1:26" ht="15.75" customHeight="1">
      <c r="A216" s="47"/>
      <c r="B216" s="54"/>
      <c r="C216" s="47"/>
      <c r="D216" s="55"/>
      <c r="E216" s="55"/>
      <c r="F216" s="47"/>
      <c r="G216" s="47"/>
      <c r="H216" s="47"/>
      <c r="I216" s="47"/>
      <c r="J216" s="47"/>
      <c r="K216" s="47"/>
      <c r="L216" s="47"/>
      <c r="M216" s="47"/>
      <c r="N216" s="47"/>
      <c r="O216" s="47"/>
      <c r="P216" s="47"/>
      <c r="Q216" s="47"/>
      <c r="R216" s="47"/>
      <c r="S216" s="47"/>
      <c r="T216" s="47"/>
      <c r="U216" s="47"/>
      <c r="V216" s="47"/>
      <c r="W216" s="47"/>
      <c r="X216" s="47"/>
      <c r="Y216" s="47"/>
      <c r="Z216" s="47"/>
    </row>
    <row r="217" spans="1:26" ht="15.75" customHeight="1">
      <c r="A217" s="47"/>
      <c r="B217" s="54"/>
      <c r="C217" s="47"/>
      <c r="D217" s="55"/>
      <c r="E217" s="55"/>
      <c r="F217" s="47"/>
      <c r="G217" s="47"/>
      <c r="H217" s="47"/>
      <c r="I217" s="47"/>
      <c r="J217" s="47"/>
      <c r="K217" s="47"/>
      <c r="L217" s="47"/>
      <c r="M217" s="47"/>
      <c r="N217" s="47"/>
      <c r="O217" s="47"/>
      <c r="P217" s="47"/>
      <c r="Q217" s="47"/>
      <c r="R217" s="47"/>
      <c r="S217" s="47"/>
      <c r="T217" s="47"/>
      <c r="U217" s="47"/>
      <c r="V217" s="47"/>
      <c r="W217" s="47"/>
      <c r="X217" s="47"/>
      <c r="Y217" s="47"/>
      <c r="Z217" s="47"/>
    </row>
    <row r="218" spans="1:26" ht="15.75" customHeight="1">
      <c r="A218" s="47"/>
      <c r="B218" s="54"/>
      <c r="C218" s="47"/>
      <c r="D218" s="55"/>
      <c r="E218" s="55"/>
      <c r="F218" s="47"/>
      <c r="G218" s="47"/>
      <c r="H218" s="47"/>
      <c r="I218" s="47"/>
      <c r="J218" s="47"/>
      <c r="K218" s="47"/>
      <c r="L218" s="47"/>
      <c r="M218" s="47"/>
      <c r="N218" s="47"/>
      <c r="O218" s="47"/>
      <c r="P218" s="47"/>
      <c r="Q218" s="47"/>
      <c r="R218" s="47"/>
      <c r="S218" s="47"/>
      <c r="T218" s="47"/>
      <c r="U218" s="47"/>
      <c r="V218" s="47"/>
      <c r="W218" s="47"/>
      <c r="X218" s="47"/>
      <c r="Y218" s="47"/>
      <c r="Z218" s="47"/>
    </row>
    <row r="219" spans="1:26" ht="15.75" customHeight="1">
      <c r="A219" s="47"/>
      <c r="B219" s="54"/>
      <c r="C219" s="47"/>
      <c r="D219" s="55"/>
      <c r="E219" s="55"/>
      <c r="F219" s="47"/>
      <c r="G219" s="47"/>
      <c r="H219" s="47"/>
      <c r="I219" s="47"/>
      <c r="J219" s="47"/>
      <c r="K219" s="47"/>
      <c r="L219" s="47"/>
      <c r="M219" s="47"/>
      <c r="N219" s="47"/>
      <c r="O219" s="47"/>
      <c r="P219" s="47"/>
      <c r="Q219" s="47"/>
      <c r="R219" s="47"/>
      <c r="S219" s="47"/>
      <c r="T219" s="47"/>
      <c r="U219" s="47"/>
      <c r="V219" s="47"/>
      <c r="W219" s="47"/>
      <c r="X219" s="47"/>
      <c r="Y219" s="47"/>
      <c r="Z219" s="47"/>
    </row>
    <row r="220" spans="1:26" ht="15.75" customHeight="1">
      <c r="A220" s="47"/>
      <c r="B220" s="54"/>
      <c r="C220" s="47"/>
      <c r="D220" s="55"/>
      <c r="E220" s="55"/>
      <c r="F220" s="47"/>
      <c r="G220" s="47"/>
      <c r="H220" s="47"/>
      <c r="I220" s="47"/>
      <c r="J220" s="47"/>
      <c r="K220" s="47"/>
      <c r="L220" s="47"/>
      <c r="M220" s="47"/>
      <c r="N220" s="47"/>
      <c r="O220" s="47"/>
      <c r="P220" s="47"/>
      <c r="Q220" s="47"/>
      <c r="R220" s="47"/>
      <c r="S220" s="47"/>
      <c r="T220" s="47"/>
      <c r="U220" s="47"/>
      <c r="V220" s="47"/>
      <c r="W220" s="47"/>
      <c r="X220" s="47"/>
      <c r="Y220" s="47"/>
      <c r="Z220" s="47"/>
    </row>
    <row r="221" spans="1:26" ht="15.75" customHeight="1">
      <c r="A221" s="47"/>
      <c r="B221" s="54"/>
      <c r="C221" s="47"/>
      <c r="D221" s="55"/>
      <c r="E221" s="55"/>
      <c r="F221" s="47"/>
      <c r="G221" s="47"/>
      <c r="H221" s="47"/>
      <c r="I221" s="47"/>
      <c r="J221" s="47"/>
      <c r="K221" s="47"/>
      <c r="L221" s="47"/>
      <c r="M221" s="47"/>
      <c r="N221" s="47"/>
      <c r="O221" s="47"/>
      <c r="P221" s="47"/>
      <c r="Q221" s="47"/>
      <c r="R221" s="47"/>
      <c r="S221" s="47"/>
      <c r="T221" s="47"/>
      <c r="U221" s="47"/>
      <c r="V221" s="47"/>
      <c r="W221" s="47"/>
      <c r="X221" s="47"/>
      <c r="Y221" s="47"/>
      <c r="Z221" s="47"/>
    </row>
    <row r="222" spans="1:26" ht="15.75" customHeight="1">
      <c r="A222" s="47"/>
      <c r="B222" s="54"/>
      <c r="C222" s="47"/>
      <c r="D222" s="55"/>
      <c r="E222" s="55"/>
      <c r="F222" s="47"/>
      <c r="G222" s="47"/>
      <c r="H222" s="47"/>
      <c r="I222" s="47"/>
      <c r="J222" s="47"/>
      <c r="K222" s="47"/>
      <c r="L222" s="47"/>
      <c r="M222" s="47"/>
      <c r="N222" s="47"/>
      <c r="O222" s="47"/>
      <c r="P222" s="47"/>
      <c r="Q222" s="47"/>
      <c r="R222" s="47"/>
      <c r="S222" s="47"/>
      <c r="T222" s="47"/>
      <c r="U222" s="47"/>
      <c r="V222" s="47"/>
      <c r="W222" s="47"/>
      <c r="X222" s="47"/>
      <c r="Y222" s="47"/>
      <c r="Z222" s="47"/>
    </row>
    <row r="223" spans="1:26" ht="15.75" customHeight="1">
      <c r="A223" s="47"/>
      <c r="B223" s="54"/>
      <c r="C223" s="47"/>
      <c r="D223" s="55"/>
      <c r="E223" s="55"/>
      <c r="F223" s="47"/>
      <c r="G223" s="47"/>
      <c r="H223" s="47"/>
      <c r="I223" s="47"/>
      <c r="J223" s="47"/>
      <c r="K223" s="47"/>
      <c r="L223" s="47"/>
      <c r="M223" s="47"/>
      <c r="N223" s="47"/>
      <c r="O223" s="47"/>
      <c r="P223" s="47"/>
      <c r="Q223" s="47"/>
      <c r="R223" s="47"/>
      <c r="S223" s="47"/>
      <c r="T223" s="47"/>
      <c r="U223" s="47"/>
      <c r="V223" s="47"/>
      <c r="W223" s="47"/>
      <c r="X223" s="47"/>
      <c r="Y223" s="47"/>
      <c r="Z223" s="47"/>
    </row>
    <row r="224" spans="1:26" ht="15.75" customHeight="1">
      <c r="A224" s="47"/>
      <c r="B224" s="54"/>
      <c r="C224" s="47"/>
      <c r="D224" s="55"/>
      <c r="E224" s="55"/>
      <c r="F224" s="47"/>
      <c r="G224" s="47"/>
      <c r="H224" s="47"/>
      <c r="I224" s="47"/>
      <c r="J224" s="47"/>
      <c r="K224" s="47"/>
      <c r="L224" s="47"/>
      <c r="M224" s="47"/>
      <c r="N224" s="47"/>
      <c r="O224" s="47"/>
      <c r="P224" s="47"/>
      <c r="Q224" s="47"/>
      <c r="R224" s="47"/>
      <c r="S224" s="47"/>
      <c r="T224" s="47"/>
      <c r="U224" s="47"/>
      <c r="V224" s="47"/>
      <c r="W224" s="47"/>
      <c r="X224" s="47"/>
      <c r="Y224" s="47"/>
      <c r="Z224" s="47"/>
    </row>
    <row r="225" spans="1:26" ht="15.75" customHeight="1">
      <c r="A225" s="47"/>
      <c r="B225" s="54"/>
      <c r="C225" s="47"/>
      <c r="D225" s="55"/>
      <c r="E225" s="55"/>
      <c r="F225" s="47"/>
      <c r="G225" s="47"/>
      <c r="H225" s="47"/>
      <c r="I225" s="47"/>
      <c r="J225" s="47"/>
      <c r="K225" s="47"/>
      <c r="L225" s="47"/>
      <c r="M225" s="47"/>
      <c r="N225" s="47"/>
      <c r="O225" s="47"/>
      <c r="P225" s="47"/>
      <c r="Q225" s="47"/>
      <c r="R225" s="47"/>
      <c r="S225" s="47"/>
      <c r="T225" s="47"/>
      <c r="U225" s="47"/>
      <c r="V225" s="47"/>
      <c r="W225" s="47"/>
      <c r="X225" s="47"/>
      <c r="Y225" s="47"/>
      <c r="Z225" s="47"/>
    </row>
    <row r="226" spans="1:26" ht="15.75" customHeight="1">
      <c r="A226" s="47"/>
      <c r="B226" s="54"/>
      <c r="C226" s="47"/>
      <c r="D226" s="55"/>
      <c r="E226" s="55"/>
      <c r="F226" s="47"/>
      <c r="G226" s="47"/>
      <c r="H226" s="47"/>
      <c r="I226" s="47"/>
      <c r="J226" s="47"/>
      <c r="K226" s="47"/>
      <c r="L226" s="47"/>
      <c r="M226" s="47"/>
      <c r="N226" s="47"/>
      <c r="O226" s="47"/>
      <c r="P226" s="47"/>
      <c r="Q226" s="47"/>
      <c r="R226" s="47"/>
      <c r="S226" s="47"/>
      <c r="T226" s="47"/>
      <c r="U226" s="47"/>
      <c r="V226" s="47"/>
      <c r="W226" s="47"/>
      <c r="X226" s="47"/>
      <c r="Y226" s="47"/>
      <c r="Z226" s="47"/>
    </row>
    <row r="227" spans="1:26" ht="15.75" customHeight="1">
      <c r="A227" s="47"/>
      <c r="B227" s="54"/>
      <c r="C227" s="47"/>
      <c r="D227" s="55"/>
      <c r="E227" s="55"/>
      <c r="F227" s="47"/>
      <c r="G227" s="47"/>
      <c r="H227" s="47"/>
      <c r="I227" s="47"/>
      <c r="J227" s="47"/>
      <c r="K227" s="47"/>
      <c r="L227" s="47"/>
      <c r="M227" s="47"/>
      <c r="N227" s="47"/>
      <c r="O227" s="47"/>
      <c r="P227" s="47"/>
      <c r="Q227" s="47"/>
      <c r="R227" s="47"/>
      <c r="S227" s="47"/>
      <c r="T227" s="47"/>
      <c r="U227" s="47"/>
      <c r="V227" s="47"/>
      <c r="W227" s="47"/>
      <c r="X227" s="47"/>
      <c r="Y227" s="47"/>
      <c r="Z227" s="47"/>
    </row>
    <row r="228" spans="1:26" ht="15.75" customHeight="1">
      <c r="A228" s="47"/>
      <c r="B228" s="54"/>
      <c r="C228" s="47"/>
      <c r="D228" s="55"/>
      <c r="E228" s="55"/>
      <c r="F228" s="47"/>
      <c r="G228" s="47"/>
      <c r="H228" s="47"/>
      <c r="I228" s="47"/>
      <c r="J228" s="47"/>
      <c r="K228" s="47"/>
      <c r="L228" s="47"/>
      <c r="M228" s="47"/>
      <c r="N228" s="47"/>
      <c r="O228" s="47"/>
      <c r="P228" s="47"/>
      <c r="Q228" s="47"/>
      <c r="R228" s="47"/>
      <c r="S228" s="47"/>
      <c r="T228" s="47"/>
      <c r="U228" s="47"/>
      <c r="V228" s="47"/>
      <c r="W228" s="47"/>
      <c r="X228" s="47"/>
      <c r="Y228" s="47"/>
      <c r="Z228" s="47"/>
    </row>
    <row r="229" spans="1:26" ht="15.75" customHeight="1">
      <c r="A229" s="47"/>
      <c r="B229" s="54"/>
      <c r="C229" s="47"/>
      <c r="D229" s="55"/>
      <c r="E229" s="55"/>
      <c r="F229" s="47"/>
      <c r="G229" s="47"/>
      <c r="H229" s="47"/>
      <c r="I229" s="47"/>
      <c r="J229" s="47"/>
      <c r="K229" s="47"/>
      <c r="L229" s="47"/>
      <c r="M229" s="47"/>
      <c r="N229" s="47"/>
      <c r="O229" s="47"/>
      <c r="P229" s="47"/>
      <c r="Q229" s="47"/>
      <c r="R229" s="47"/>
      <c r="S229" s="47"/>
      <c r="T229" s="47"/>
      <c r="U229" s="47"/>
      <c r="V229" s="47"/>
      <c r="W229" s="47"/>
      <c r="X229" s="47"/>
      <c r="Y229" s="47"/>
      <c r="Z229" s="47"/>
    </row>
    <row r="230" spans="1:26" ht="15.75" customHeight="1">
      <c r="A230" s="47"/>
      <c r="B230" s="54"/>
      <c r="C230" s="47"/>
      <c r="D230" s="55"/>
      <c r="E230" s="55"/>
      <c r="F230" s="47"/>
      <c r="G230" s="47"/>
      <c r="H230" s="47"/>
      <c r="I230" s="47"/>
      <c r="J230" s="47"/>
      <c r="K230" s="47"/>
      <c r="L230" s="47"/>
      <c r="M230" s="47"/>
      <c r="N230" s="47"/>
      <c r="O230" s="47"/>
      <c r="P230" s="47"/>
      <c r="Q230" s="47"/>
      <c r="R230" s="47"/>
      <c r="S230" s="47"/>
      <c r="T230" s="47"/>
      <c r="U230" s="47"/>
      <c r="V230" s="47"/>
      <c r="W230" s="47"/>
      <c r="X230" s="47"/>
      <c r="Y230" s="47"/>
      <c r="Z230" s="47"/>
    </row>
    <row r="231" spans="1:26" ht="15.75" customHeight="1">
      <c r="A231" s="47"/>
      <c r="B231" s="54"/>
      <c r="C231" s="47"/>
      <c r="D231" s="55"/>
      <c r="E231" s="55"/>
      <c r="F231" s="47"/>
      <c r="G231" s="47"/>
      <c r="H231" s="47"/>
      <c r="I231" s="47"/>
      <c r="J231" s="47"/>
      <c r="K231" s="47"/>
      <c r="L231" s="47"/>
      <c r="M231" s="47"/>
      <c r="N231" s="47"/>
      <c r="O231" s="47"/>
      <c r="P231" s="47"/>
      <c r="Q231" s="47"/>
      <c r="R231" s="47"/>
      <c r="S231" s="47"/>
      <c r="T231" s="47"/>
      <c r="U231" s="47"/>
      <c r="V231" s="47"/>
      <c r="W231" s="47"/>
      <c r="X231" s="47"/>
      <c r="Y231" s="47"/>
      <c r="Z231" s="47"/>
    </row>
    <row r="232" spans="1:26" ht="15.75" customHeight="1">
      <c r="A232" s="47"/>
      <c r="B232" s="54"/>
      <c r="C232" s="47"/>
      <c r="D232" s="55"/>
      <c r="E232" s="55"/>
      <c r="F232" s="47"/>
      <c r="G232" s="47"/>
      <c r="H232" s="47"/>
      <c r="I232" s="47"/>
      <c r="J232" s="47"/>
      <c r="K232" s="47"/>
      <c r="L232" s="47"/>
      <c r="M232" s="47"/>
      <c r="N232" s="47"/>
      <c r="O232" s="47"/>
      <c r="P232" s="47"/>
      <c r="Q232" s="47"/>
      <c r="R232" s="47"/>
      <c r="S232" s="47"/>
      <c r="T232" s="47"/>
      <c r="U232" s="47"/>
      <c r="V232" s="47"/>
      <c r="W232" s="47"/>
      <c r="X232" s="47"/>
      <c r="Y232" s="47"/>
      <c r="Z232" s="47"/>
    </row>
    <row r="233" spans="1:26" ht="15.75" customHeight="1">
      <c r="A233" s="47"/>
      <c r="B233" s="54"/>
      <c r="C233" s="47"/>
      <c r="D233" s="55"/>
      <c r="E233" s="55"/>
      <c r="F233" s="47"/>
      <c r="G233" s="47"/>
      <c r="H233" s="47"/>
      <c r="I233" s="47"/>
      <c r="J233" s="47"/>
      <c r="K233" s="47"/>
      <c r="L233" s="47"/>
      <c r="M233" s="47"/>
      <c r="N233" s="47"/>
      <c r="O233" s="47"/>
      <c r="P233" s="47"/>
      <c r="Q233" s="47"/>
      <c r="R233" s="47"/>
      <c r="S233" s="47"/>
      <c r="T233" s="47"/>
      <c r="U233" s="47"/>
      <c r="V233" s="47"/>
      <c r="W233" s="47"/>
      <c r="X233" s="47"/>
      <c r="Y233" s="47"/>
      <c r="Z233" s="47"/>
    </row>
    <row r="234" spans="1:26" ht="15.75" customHeight="1">
      <c r="A234" s="47"/>
      <c r="B234" s="54"/>
      <c r="C234" s="47"/>
      <c r="D234" s="55"/>
      <c r="E234" s="55"/>
      <c r="F234" s="47"/>
      <c r="G234" s="47"/>
      <c r="H234" s="47"/>
      <c r="I234" s="47"/>
      <c r="J234" s="47"/>
      <c r="K234" s="47"/>
      <c r="L234" s="47"/>
      <c r="M234" s="47"/>
      <c r="N234" s="47"/>
      <c r="O234" s="47"/>
      <c r="P234" s="47"/>
      <c r="Q234" s="47"/>
      <c r="R234" s="47"/>
      <c r="S234" s="47"/>
      <c r="T234" s="47"/>
      <c r="U234" s="47"/>
      <c r="V234" s="47"/>
      <c r="W234" s="47"/>
      <c r="X234" s="47"/>
      <c r="Y234" s="47"/>
      <c r="Z234" s="47"/>
    </row>
    <row r="235" spans="1:26" ht="15.75" customHeight="1">
      <c r="A235" s="47"/>
      <c r="B235" s="54"/>
      <c r="C235" s="47"/>
      <c r="D235" s="55"/>
      <c r="E235" s="55"/>
      <c r="F235" s="47"/>
      <c r="G235" s="47"/>
      <c r="H235" s="47"/>
      <c r="I235" s="47"/>
      <c r="J235" s="47"/>
      <c r="K235" s="47"/>
      <c r="L235" s="47"/>
      <c r="M235" s="47"/>
      <c r="N235" s="47"/>
      <c r="O235" s="47"/>
      <c r="P235" s="47"/>
      <c r="Q235" s="47"/>
      <c r="R235" s="47"/>
      <c r="S235" s="47"/>
      <c r="T235" s="47"/>
      <c r="U235" s="47"/>
      <c r="V235" s="47"/>
      <c r="W235" s="47"/>
      <c r="X235" s="47"/>
      <c r="Y235" s="47"/>
      <c r="Z235" s="47"/>
    </row>
    <row r="236" spans="1:26" ht="15.75" customHeight="1">
      <c r="A236" s="47"/>
      <c r="B236" s="54"/>
      <c r="C236" s="47"/>
      <c r="D236" s="55"/>
      <c r="E236" s="55"/>
      <c r="F236" s="47"/>
      <c r="G236" s="47"/>
      <c r="H236" s="47"/>
      <c r="I236" s="47"/>
      <c r="J236" s="47"/>
      <c r="K236" s="47"/>
      <c r="L236" s="47"/>
      <c r="M236" s="47"/>
      <c r="N236" s="47"/>
      <c r="O236" s="47"/>
      <c r="P236" s="47"/>
      <c r="Q236" s="47"/>
      <c r="R236" s="47"/>
      <c r="S236" s="47"/>
      <c r="T236" s="47"/>
      <c r="U236" s="47"/>
      <c r="V236" s="47"/>
      <c r="W236" s="47"/>
      <c r="X236" s="47"/>
      <c r="Y236" s="47"/>
      <c r="Z236" s="47"/>
    </row>
    <row r="237" spans="1:26" ht="15.75" customHeight="1">
      <c r="A237" s="47"/>
      <c r="B237" s="54"/>
      <c r="C237" s="47"/>
      <c r="D237" s="55"/>
      <c r="E237" s="55"/>
      <c r="F237" s="47"/>
      <c r="G237" s="47"/>
      <c r="H237" s="47"/>
      <c r="I237" s="47"/>
      <c r="J237" s="47"/>
      <c r="K237" s="47"/>
      <c r="L237" s="47"/>
      <c r="M237" s="47"/>
      <c r="N237" s="47"/>
      <c r="O237" s="47"/>
      <c r="P237" s="47"/>
      <c r="Q237" s="47"/>
      <c r="R237" s="47"/>
      <c r="S237" s="47"/>
      <c r="T237" s="47"/>
      <c r="U237" s="47"/>
      <c r="V237" s="47"/>
      <c r="W237" s="47"/>
      <c r="X237" s="47"/>
      <c r="Y237" s="47"/>
      <c r="Z237" s="47"/>
    </row>
    <row r="238" spans="1:26" ht="15.75" customHeight="1">
      <c r="A238" s="47"/>
      <c r="B238" s="54"/>
      <c r="C238" s="47"/>
      <c r="D238" s="55"/>
      <c r="E238" s="55"/>
      <c r="F238" s="47"/>
      <c r="G238" s="47"/>
      <c r="H238" s="47"/>
      <c r="I238" s="47"/>
      <c r="J238" s="47"/>
      <c r="K238" s="47"/>
      <c r="L238" s="47"/>
      <c r="M238" s="47"/>
      <c r="N238" s="47"/>
      <c r="O238" s="47"/>
      <c r="P238" s="47"/>
      <c r="Q238" s="47"/>
      <c r="R238" s="47"/>
      <c r="S238" s="47"/>
      <c r="T238" s="47"/>
      <c r="U238" s="47"/>
      <c r="V238" s="47"/>
      <c r="W238" s="47"/>
      <c r="X238" s="47"/>
      <c r="Y238" s="47"/>
      <c r="Z238" s="47"/>
    </row>
    <row r="239" spans="1:26" ht="15.75" customHeight="1">
      <c r="A239" s="47"/>
      <c r="B239" s="54"/>
      <c r="C239" s="47"/>
      <c r="D239" s="55"/>
      <c r="E239" s="55"/>
      <c r="F239" s="47"/>
      <c r="G239" s="47"/>
      <c r="H239" s="47"/>
      <c r="I239" s="47"/>
      <c r="J239" s="47"/>
      <c r="K239" s="47"/>
      <c r="L239" s="47"/>
      <c r="M239" s="47"/>
      <c r="N239" s="47"/>
      <c r="O239" s="47"/>
      <c r="P239" s="47"/>
      <c r="Q239" s="47"/>
      <c r="R239" s="47"/>
      <c r="S239" s="47"/>
      <c r="T239" s="47"/>
      <c r="U239" s="47"/>
      <c r="V239" s="47"/>
      <c r="W239" s="47"/>
      <c r="X239" s="47"/>
      <c r="Y239" s="47"/>
      <c r="Z239" s="47"/>
    </row>
    <row r="240" spans="1:26" ht="15.75" customHeight="1">
      <c r="A240" s="47"/>
      <c r="B240" s="54"/>
      <c r="C240" s="47"/>
      <c r="D240" s="55"/>
      <c r="E240" s="55"/>
      <c r="F240" s="47"/>
      <c r="G240" s="47"/>
      <c r="H240" s="47"/>
      <c r="I240" s="47"/>
      <c r="J240" s="47"/>
      <c r="K240" s="47"/>
      <c r="L240" s="47"/>
      <c r="M240" s="47"/>
      <c r="N240" s="47"/>
      <c r="O240" s="47"/>
      <c r="P240" s="47"/>
      <c r="Q240" s="47"/>
      <c r="R240" s="47"/>
      <c r="S240" s="47"/>
      <c r="T240" s="47"/>
      <c r="U240" s="47"/>
      <c r="V240" s="47"/>
      <c r="W240" s="47"/>
      <c r="X240" s="47"/>
      <c r="Y240" s="47"/>
      <c r="Z240" s="47"/>
    </row>
    <row r="241" spans="1:26" ht="15.75" customHeight="1">
      <c r="A241" s="47"/>
      <c r="B241" s="54"/>
      <c r="C241" s="47"/>
      <c r="D241" s="55"/>
      <c r="E241" s="55"/>
      <c r="F241" s="47"/>
      <c r="G241" s="47"/>
      <c r="H241" s="47"/>
      <c r="I241" s="47"/>
      <c r="J241" s="47"/>
      <c r="K241" s="47"/>
      <c r="L241" s="47"/>
      <c r="M241" s="47"/>
      <c r="N241" s="47"/>
      <c r="O241" s="47"/>
      <c r="P241" s="47"/>
      <c r="Q241" s="47"/>
      <c r="R241" s="47"/>
      <c r="S241" s="47"/>
      <c r="T241" s="47"/>
      <c r="U241" s="47"/>
      <c r="V241" s="47"/>
      <c r="W241" s="47"/>
      <c r="X241" s="47"/>
      <c r="Y241" s="47"/>
      <c r="Z241" s="47"/>
    </row>
    <row r="242" spans="1:26" ht="15.75" customHeight="1">
      <c r="A242" s="47"/>
      <c r="B242" s="54"/>
      <c r="C242" s="47"/>
      <c r="D242" s="55"/>
      <c r="E242" s="55"/>
      <c r="F242" s="47"/>
      <c r="G242" s="47"/>
      <c r="H242" s="47"/>
      <c r="I242" s="47"/>
      <c r="J242" s="47"/>
      <c r="K242" s="47"/>
      <c r="L242" s="47"/>
      <c r="M242" s="47"/>
      <c r="N242" s="47"/>
      <c r="O242" s="47"/>
      <c r="P242" s="47"/>
      <c r="Q242" s="47"/>
      <c r="R242" s="47"/>
      <c r="S242" s="47"/>
      <c r="T242" s="47"/>
      <c r="U242" s="47"/>
      <c r="V242" s="47"/>
      <c r="W242" s="47"/>
      <c r="X242" s="47"/>
      <c r="Y242" s="47"/>
      <c r="Z242" s="47"/>
    </row>
    <row r="243" spans="1:26" ht="15.75" customHeight="1">
      <c r="A243" s="47"/>
      <c r="B243" s="54"/>
      <c r="C243" s="47"/>
      <c r="D243" s="55"/>
      <c r="E243" s="55"/>
      <c r="F243" s="47"/>
      <c r="G243" s="47"/>
      <c r="H243" s="47"/>
      <c r="I243" s="47"/>
      <c r="J243" s="47"/>
      <c r="K243" s="47"/>
      <c r="L243" s="47"/>
      <c r="M243" s="47"/>
      <c r="N243" s="47"/>
      <c r="O243" s="47"/>
      <c r="P243" s="47"/>
      <c r="Q243" s="47"/>
      <c r="R243" s="47"/>
      <c r="S243" s="47"/>
      <c r="T243" s="47"/>
      <c r="U243" s="47"/>
      <c r="V243" s="47"/>
      <c r="W243" s="47"/>
      <c r="X243" s="47"/>
      <c r="Y243" s="47"/>
      <c r="Z243" s="47"/>
    </row>
    <row r="244" spans="1:26" ht="15.75" customHeight="1">
      <c r="A244" s="47"/>
      <c r="B244" s="54"/>
      <c r="C244" s="47"/>
      <c r="D244" s="55"/>
      <c r="E244" s="55"/>
      <c r="F244" s="47"/>
      <c r="G244" s="47"/>
      <c r="H244" s="47"/>
      <c r="I244" s="47"/>
      <c r="J244" s="47"/>
      <c r="K244" s="47"/>
      <c r="L244" s="47"/>
      <c r="M244" s="47"/>
      <c r="N244" s="47"/>
      <c r="O244" s="47"/>
      <c r="P244" s="47"/>
      <c r="Q244" s="47"/>
      <c r="R244" s="47"/>
      <c r="S244" s="47"/>
      <c r="T244" s="47"/>
      <c r="U244" s="47"/>
      <c r="V244" s="47"/>
      <c r="W244" s="47"/>
      <c r="X244" s="47"/>
      <c r="Y244" s="47"/>
      <c r="Z244" s="47"/>
    </row>
    <row r="245" spans="1:26" ht="15.75" customHeight="1">
      <c r="A245" s="47"/>
      <c r="B245" s="54"/>
      <c r="C245" s="47"/>
      <c r="D245" s="55"/>
      <c r="E245" s="55"/>
      <c r="F245" s="47"/>
      <c r="G245" s="47"/>
      <c r="H245" s="47"/>
      <c r="I245" s="47"/>
      <c r="J245" s="47"/>
      <c r="K245" s="47"/>
      <c r="L245" s="47"/>
      <c r="M245" s="47"/>
      <c r="N245" s="47"/>
      <c r="O245" s="47"/>
      <c r="P245" s="47"/>
      <c r="Q245" s="47"/>
      <c r="R245" s="47"/>
      <c r="S245" s="47"/>
      <c r="T245" s="47"/>
      <c r="U245" s="47"/>
      <c r="V245" s="47"/>
      <c r="W245" s="47"/>
      <c r="X245" s="47"/>
      <c r="Y245" s="47"/>
      <c r="Z245" s="47"/>
    </row>
    <row r="246" spans="1:26" ht="15.75" customHeight="1">
      <c r="A246" s="47"/>
      <c r="B246" s="54"/>
      <c r="C246" s="47"/>
      <c r="D246" s="55"/>
      <c r="E246" s="55"/>
      <c r="F246" s="47"/>
      <c r="G246" s="47"/>
      <c r="H246" s="47"/>
      <c r="I246" s="47"/>
      <c r="J246" s="47"/>
      <c r="K246" s="47"/>
      <c r="L246" s="47"/>
      <c r="M246" s="47"/>
      <c r="N246" s="47"/>
      <c r="O246" s="47"/>
      <c r="P246" s="47"/>
      <c r="Q246" s="47"/>
      <c r="R246" s="47"/>
      <c r="S246" s="47"/>
      <c r="T246" s="47"/>
      <c r="U246" s="47"/>
      <c r="V246" s="47"/>
      <c r="W246" s="47"/>
      <c r="X246" s="47"/>
      <c r="Y246" s="47"/>
      <c r="Z246" s="47"/>
    </row>
    <row r="247" spans="1:26" ht="15.75" customHeight="1">
      <c r="A247" s="47"/>
      <c r="B247" s="54"/>
      <c r="C247" s="47"/>
      <c r="D247" s="55"/>
      <c r="E247" s="55"/>
      <c r="F247" s="47"/>
      <c r="G247" s="47"/>
      <c r="H247" s="47"/>
      <c r="I247" s="47"/>
      <c r="J247" s="47"/>
      <c r="K247" s="47"/>
      <c r="L247" s="47"/>
      <c r="M247" s="47"/>
      <c r="N247" s="47"/>
      <c r="O247" s="47"/>
      <c r="P247" s="47"/>
      <c r="Q247" s="47"/>
      <c r="R247" s="47"/>
      <c r="S247" s="47"/>
      <c r="T247" s="47"/>
      <c r="U247" s="47"/>
      <c r="V247" s="47"/>
      <c r="W247" s="47"/>
      <c r="X247" s="47"/>
      <c r="Y247" s="47"/>
      <c r="Z247" s="47"/>
    </row>
    <row r="248" spans="1:26" ht="15.75" customHeight="1">
      <c r="A248" s="47"/>
      <c r="B248" s="54"/>
      <c r="C248" s="47"/>
      <c r="D248" s="55"/>
      <c r="E248" s="55"/>
      <c r="F248" s="47"/>
      <c r="G248" s="47"/>
      <c r="H248" s="47"/>
      <c r="I248" s="47"/>
      <c r="J248" s="47"/>
      <c r="K248" s="47"/>
      <c r="L248" s="47"/>
      <c r="M248" s="47"/>
      <c r="N248" s="47"/>
      <c r="O248" s="47"/>
      <c r="P248" s="47"/>
      <c r="Q248" s="47"/>
      <c r="R248" s="47"/>
      <c r="S248" s="47"/>
      <c r="T248" s="47"/>
      <c r="U248" s="47"/>
      <c r="V248" s="47"/>
      <c r="W248" s="47"/>
      <c r="X248" s="47"/>
      <c r="Y248" s="47"/>
      <c r="Z248" s="47"/>
    </row>
    <row r="249" spans="1:26" ht="15.75" customHeight="1">
      <c r="A249" s="47"/>
      <c r="B249" s="54"/>
      <c r="C249" s="47"/>
      <c r="D249" s="55"/>
      <c r="E249" s="55"/>
      <c r="F249" s="47"/>
      <c r="G249" s="47"/>
      <c r="H249" s="47"/>
      <c r="I249" s="47"/>
      <c r="J249" s="47"/>
      <c r="K249" s="47"/>
      <c r="L249" s="47"/>
      <c r="M249" s="47"/>
      <c r="N249" s="47"/>
      <c r="O249" s="47"/>
      <c r="P249" s="47"/>
      <c r="Q249" s="47"/>
      <c r="R249" s="47"/>
      <c r="S249" s="47"/>
      <c r="T249" s="47"/>
      <c r="U249" s="47"/>
      <c r="V249" s="47"/>
      <c r="W249" s="47"/>
      <c r="X249" s="47"/>
      <c r="Y249" s="47"/>
      <c r="Z249" s="47"/>
    </row>
    <row r="250" spans="1:26" ht="15.75" customHeight="1">
      <c r="A250" s="47"/>
      <c r="B250" s="54"/>
      <c r="C250" s="47"/>
      <c r="D250" s="55"/>
      <c r="E250" s="55"/>
      <c r="F250" s="47"/>
      <c r="G250" s="47"/>
      <c r="H250" s="47"/>
      <c r="I250" s="47"/>
      <c r="J250" s="47"/>
      <c r="K250" s="47"/>
      <c r="L250" s="47"/>
      <c r="M250" s="47"/>
      <c r="N250" s="47"/>
      <c r="O250" s="47"/>
      <c r="P250" s="47"/>
      <c r="Q250" s="47"/>
      <c r="R250" s="47"/>
      <c r="S250" s="47"/>
      <c r="T250" s="47"/>
      <c r="U250" s="47"/>
      <c r="V250" s="47"/>
      <c r="W250" s="47"/>
      <c r="X250" s="47"/>
      <c r="Y250" s="47"/>
      <c r="Z250" s="47"/>
    </row>
    <row r="251" spans="1:26" ht="15.75" customHeight="1">
      <c r="A251" s="47"/>
      <c r="B251" s="54"/>
      <c r="C251" s="47"/>
      <c r="D251" s="55"/>
      <c r="E251" s="55"/>
      <c r="F251" s="47"/>
      <c r="G251" s="47"/>
      <c r="H251" s="47"/>
      <c r="I251" s="47"/>
      <c r="J251" s="47"/>
      <c r="K251" s="47"/>
      <c r="L251" s="47"/>
      <c r="M251" s="47"/>
      <c r="N251" s="47"/>
      <c r="O251" s="47"/>
      <c r="P251" s="47"/>
      <c r="Q251" s="47"/>
      <c r="R251" s="47"/>
      <c r="S251" s="47"/>
      <c r="T251" s="47"/>
      <c r="U251" s="47"/>
      <c r="V251" s="47"/>
      <c r="W251" s="47"/>
      <c r="X251" s="47"/>
      <c r="Y251" s="47"/>
      <c r="Z251" s="47"/>
    </row>
    <row r="252" spans="1:26" ht="15.75" customHeight="1">
      <c r="A252" s="47"/>
      <c r="B252" s="54"/>
      <c r="C252" s="47"/>
      <c r="D252" s="55"/>
      <c r="E252" s="55"/>
      <c r="F252" s="47"/>
      <c r="G252" s="47"/>
      <c r="H252" s="47"/>
      <c r="I252" s="47"/>
      <c r="J252" s="47"/>
      <c r="K252" s="47"/>
      <c r="L252" s="47"/>
      <c r="M252" s="47"/>
      <c r="N252" s="47"/>
      <c r="O252" s="47"/>
      <c r="P252" s="47"/>
      <c r="Q252" s="47"/>
      <c r="R252" s="47"/>
      <c r="S252" s="47"/>
      <c r="T252" s="47"/>
      <c r="U252" s="47"/>
      <c r="V252" s="47"/>
      <c r="W252" s="47"/>
      <c r="X252" s="47"/>
      <c r="Y252" s="47"/>
      <c r="Z252" s="47"/>
    </row>
    <row r="253" spans="1:26" ht="15.75" customHeight="1">
      <c r="A253" s="47"/>
      <c r="B253" s="54"/>
      <c r="C253" s="47"/>
      <c r="D253" s="55"/>
      <c r="E253" s="55"/>
      <c r="F253" s="47"/>
      <c r="G253" s="47"/>
      <c r="H253" s="47"/>
      <c r="I253" s="47"/>
      <c r="J253" s="47"/>
      <c r="K253" s="47"/>
      <c r="L253" s="47"/>
      <c r="M253" s="47"/>
      <c r="N253" s="47"/>
      <c r="O253" s="47"/>
      <c r="P253" s="47"/>
      <c r="Q253" s="47"/>
      <c r="R253" s="47"/>
      <c r="S253" s="47"/>
      <c r="T253" s="47"/>
      <c r="U253" s="47"/>
      <c r="V253" s="47"/>
      <c r="W253" s="47"/>
      <c r="X253" s="47"/>
      <c r="Y253" s="47"/>
      <c r="Z253" s="47"/>
    </row>
    <row r="254" spans="1:26" ht="15.75" customHeight="1">
      <c r="A254" s="47"/>
      <c r="B254" s="54"/>
      <c r="C254" s="47"/>
      <c r="D254" s="55"/>
      <c r="E254" s="55"/>
      <c r="F254" s="47"/>
      <c r="G254" s="47"/>
      <c r="H254" s="47"/>
      <c r="I254" s="47"/>
      <c r="J254" s="47"/>
      <c r="K254" s="47"/>
      <c r="L254" s="47"/>
      <c r="M254" s="47"/>
      <c r="N254" s="47"/>
      <c r="O254" s="47"/>
      <c r="P254" s="47"/>
      <c r="Q254" s="47"/>
      <c r="R254" s="47"/>
      <c r="S254" s="47"/>
      <c r="T254" s="47"/>
      <c r="U254" s="47"/>
      <c r="V254" s="47"/>
      <c r="W254" s="47"/>
      <c r="X254" s="47"/>
      <c r="Y254" s="47"/>
      <c r="Z254" s="47"/>
    </row>
    <row r="255" spans="1:26" ht="15.75" customHeight="1">
      <c r="A255" s="47"/>
      <c r="B255" s="54"/>
      <c r="C255" s="47"/>
      <c r="D255" s="55"/>
      <c r="E255" s="55"/>
      <c r="F255" s="47"/>
      <c r="G255" s="47"/>
      <c r="H255" s="47"/>
      <c r="I255" s="47"/>
      <c r="J255" s="47"/>
      <c r="K255" s="47"/>
      <c r="L255" s="47"/>
      <c r="M255" s="47"/>
      <c r="N255" s="47"/>
      <c r="O255" s="47"/>
      <c r="P255" s="47"/>
      <c r="Q255" s="47"/>
      <c r="R255" s="47"/>
      <c r="S255" s="47"/>
      <c r="T255" s="47"/>
      <c r="U255" s="47"/>
      <c r="V255" s="47"/>
      <c r="W255" s="47"/>
      <c r="X255" s="47"/>
      <c r="Y255" s="47"/>
      <c r="Z255" s="47"/>
    </row>
    <row r="256" spans="1:26" ht="15.75" customHeight="1">
      <c r="A256" s="47"/>
      <c r="B256" s="54"/>
      <c r="C256" s="47"/>
      <c r="D256" s="55"/>
      <c r="E256" s="55"/>
      <c r="F256" s="47"/>
      <c r="G256" s="47"/>
      <c r="H256" s="47"/>
      <c r="I256" s="47"/>
      <c r="J256" s="47"/>
      <c r="K256" s="47"/>
      <c r="L256" s="47"/>
      <c r="M256" s="47"/>
      <c r="N256" s="47"/>
      <c r="O256" s="47"/>
      <c r="P256" s="47"/>
      <c r="Q256" s="47"/>
      <c r="R256" s="47"/>
      <c r="S256" s="47"/>
      <c r="T256" s="47"/>
      <c r="U256" s="47"/>
      <c r="V256" s="47"/>
      <c r="W256" s="47"/>
      <c r="X256" s="47"/>
      <c r="Y256" s="47"/>
      <c r="Z256" s="47"/>
    </row>
    <row r="257" spans="1:26" ht="15.75" customHeight="1">
      <c r="A257" s="47"/>
      <c r="B257" s="54"/>
      <c r="C257" s="47"/>
      <c r="D257" s="55"/>
      <c r="E257" s="55"/>
      <c r="F257" s="47"/>
      <c r="G257" s="47"/>
      <c r="H257" s="47"/>
      <c r="I257" s="47"/>
      <c r="J257" s="47"/>
      <c r="K257" s="47"/>
      <c r="L257" s="47"/>
      <c r="M257" s="47"/>
      <c r="N257" s="47"/>
      <c r="O257" s="47"/>
      <c r="P257" s="47"/>
      <c r="Q257" s="47"/>
      <c r="R257" s="47"/>
      <c r="S257" s="47"/>
      <c r="T257" s="47"/>
      <c r="U257" s="47"/>
      <c r="V257" s="47"/>
      <c r="W257" s="47"/>
      <c r="X257" s="47"/>
      <c r="Y257" s="47"/>
      <c r="Z257" s="47"/>
    </row>
    <row r="258" spans="1:26" ht="15.75" customHeight="1">
      <c r="A258" s="47"/>
      <c r="B258" s="54"/>
      <c r="C258" s="47"/>
      <c r="D258" s="55"/>
      <c r="E258" s="55"/>
      <c r="F258" s="47"/>
      <c r="G258" s="47"/>
      <c r="H258" s="47"/>
      <c r="I258" s="47"/>
      <c r="J258" s="47"/>
      <c r="K258" s="47"/>
      <c r="L258" s="47"/>
      <c r="M258" s="47"/>
      <c r="N258" s="47"/>
      <c r="O258" s="47"/>
      <c r="P258" s="47"/>
      <c r="Q258" s="47"/>
      <c r="R258" s="47"/>
      <c r="S258" s="47"/>
      <c r="T258" s="47"/>
      <c r="U258" s="47"/>
      <c r="V258" s="47"/>
      <c r="W258" s="47"/>
      <c r="X258" s="47"/>
      <c r="Y258" s="47"/>
      <c r="Z258" s="47"/>
    </row>
    <row r="259" spans="1:26" ht="15.75" customHeight="1">
      <c r="A259" s="47"/>
      <c r="B259" s="54"/>
      <c r="C259" s="47"/>
      <c r="D259" s="55"/>
      <c r="E259" s="55"/>
      <c r="F259" s="47"/>
      <c r="G259" s="47"/>
      <c r="H259" s="47"/>
      <c r="I259" s="47"/>
      <c r="J259" s="47"/>
      <c r="K259" s="47"/>
      <c r="L259" s="47"/>
      <c r="M259" s="47"/>
      <c r="N259" s="47"/>
      <c r="O259" s="47"/>
      <c r="P259" s="47"/>
      <c r="Q259" s="47"/>
      <c r="R259" s="47"/>
      <c r="S259" s="47"/>
      <c r="T259" s="47"/>
      <c r="U259" s="47"/>
      <c r="V259" s="47"/>
      <c r="W259" s="47"/>
      <c r="X259" s="47"/>
      <c r="Y259" s="47"/>
      <c r="Z259" s="47"/>
    </row>
    <row r="260" spans="1:26" ht="15.75" customHeight="1">
      <c r="A260" s="47"/>
      <c r="B260" s="54"/>
      <c r="C260" s="47"/>
      <c r="D260" s="55"/>
      <c r="E260" s="55"/>
      <c r="F260" s="47"/>
      <c r="G260" s="47"/>
      <c r="H260" s="47"/>
      <c r="I260" s="47"/>
      <c r="J260" s="47"/>
      <c r="K260" s="47"/>
      <c r="L260" s="47"/>
      <c r="M260" s="47"/>
      <c r="N260" s="47"/>
      <c r="O260" s="47"/>
      <c r="P260" s="47"/>
      <c r="Q260" s="47"/>
      <c r="R260" s="47"/>
      <c r="S260" s="47"/>
      <c r="T260" s="47"/>
      <c r="U260" s="47"/>
      <c r="V260" s="47"/>
      <c r="W260" s="47"/>
      <c r="X260" s="47"/>
      <c r="Y260" s="47"/>
      <c r="Z260" s="47"/>
    </row>
    <row r="261" spans="1:26" ht="15.75" customHeight="1">
      <c r="A261" s="47"/>
      <c r="B261" s="54"/>
      <c r="C261" s="47"/>
      <c r="D261" s="55"/>
      <c r="E261" s="55"/>
      <c r="F261" s="47"/>
      <c r="G261" s="47"/>
      <c r="H261" s="47"/>
      <c r="I261" s="47"/>
      <c r="J261" s="47"/>
      <c r="K261" s="47"/>
      <c r="L261" s="47"/>
      <c r="M261" s="47"/>
      <c r="N261" s="47"/>
      <c r="O261" s="47"/>
      <c r="P261" s="47"/>
      <c r="Q261" s="47"/>
      <c r="R261" s="47"/>
      <c r="S261" s="47"/>
      <c r="T261" s="47"/>
      <c r="U261" s="47"/>
      <c r="V261" s="47"/>
      <c r="W261" s="47"/>
      <c r="X261" s="47"/>
      <c r="Y261" s="47"/>
      <c r="Z261" s="47"/>
    </row>
    <row r="262" spans="1:26" ht="15.75" customHeight="1">
      <c r="A262" s="47"/>
      <c r="B262" s="54"/>
      <c r="C262" s="47"/>
      <c r="D262" s="55"/>
      <c r="E262" s="55"/>
      <c r="F262" s="47"/>
      <c r="G262" s="47"/>
      <c r="H262" s="47"/>
      <c r="I262" s="47"/>
      <c r="J262" s="47"/>
      <c r="K262" s="47"/>
      <c r="L262" s="47"/>
      <c r="M262" s="47"/>
      <c r="N262" s="47"/>
      <c r="O262" s="47"/>
      <c r="P262" s="47"/>
      <c r="Q262" s="47"/>
      <c r="R262" s="47"/>
      <c r="S262" s="47"/>
      <c r="T262" s="47"/>
      <c r="U262" s="47"/>
      <c r="V262" s="47"/>
      <c r="W262" s="47"/>
      <c r="X262" s="47"/>
      <c r="Y262" s="47"/>
      <c r="Z262" s="47"/>
    </row>
    <row r="263" spans="1:26" ht="15.75" customHeight="1">
      <c r="A263" s="47"/>
      <c r="B263" s="54"/>
      <c r="C263" s="47"/>
      <c r="D263" s="55"/>
      <c r="E263" s="55"/>
      <c r="F263" s="47"/>
      <c r="G263" s="47"/>
      <c r="H263" s="47"/>
      <c r="I263" s="47"/>
      <c r="J263" s="47"/>
      <c r="K263" s="47"/>
      <c r="L263" s="47"/>
      <c r="M263" s="47"/>
      <c r="N263" s="47"/>
      <c r="O263" s="47"/>
      <c r="P263" s="47"/>
      <c r="Q263" s="47"/>
      <c r="R263" s="47"/>
      <c r="S263" s="47"/>
      <c r="T263" s="47"/>
      <c r="U263" s="47"/>
      <c r="V263" s="47"/>
      <c r="W263" s="47"/>
      <c r="X263" s="47"/>
      <c r="Y263" s="47"/>
      <c r="Z263" s="47"/>
    </row>
    <row r="264" spans="1:26" ht="15.75" customHeight="1">
      <c r="A264" s="47"/>
      <c r="B264" s="54"/>
      <c r="C264" s="47"/>
      <c r="D264" s="55"/>
      <c r="E264" s="55"/>
      <c r="F264" s="47"/>
      <c r="G264" s="47"/>
      <c r="H264" s="47"/>
      <c r="I264" s="47"/>
      <c r="J264" s="47"/>
      <c r="K264" s="47"/>
      <c r="L264" s="47"/>
      <c r="M264" s="47"/>
      <c r="N264" s="47"/>
      <c r="O264" s="47"/>
      <c r="P264" s="47"/>
      <c r="Q264" s="47"/>
      <c r="R264" s="47"/>
      <c r="S264" s="47"/>
      <c r="T264" s="47"/>
      <c r="U264" s="47"/>
      <c r="V264" s="47"/>
      <c r="W264" s="47"/>
      <c r="X264" s="47"/>
      <c r="Y264" s="47"/>
      <c r="Z264" s="47"/>
    </row>
    <row r="265" spans="1:26" ht="15.75" customHeight="1">
      <c r="A265" s="47"/>
      <c r="B265" s="54"/>
      <c r="C265" s="47"/>
      <c r="D265" s="55"/>
      <c r="E265" s="55"/>
      <c r="F265" s="47"/>
      <c r="G265" s="47"/>
      <c r="H265" s="47"/>
      <c r="I265" s="47"/>
      <c r="J265" s="47"/>
      <c r="K265" s="47"/>
      <c r="L265" s="47"/>
      <c r="M265" s="47"/>
      <c r="N265" s="47"/>
      <c r="O265" s="47"/>
      <c r="P265" s="47"/>
      <c r="Q265" s="47"/>
      <c r="R265" s="47"/>
      <c r="S265" s="47"/>
      <c r="T265" s="47"/>
      <c r="U265" s="47"/>
      <c r="V265" s="47"/>
      <c r="W265" s="47"/>
      <c r="X265" s="47"/>
      <c r="Y265" s="47"/>
      <c r="Z265" s="47"/>
    </row>
    <row r="266" spans="1:26" ht="15.75" customHeight="1">
      <c r="A266" s="47"/>
      <c r="B266" s="54"/>
      <c r="C266" s="47"/>
      <c r="D266" s="55"/>
      <c r="E266" s="55"/>
      <c r="F266" s="47"/>
      <c r="G266" s="47"/>
      <c r="H266" s="47"/>
      <c r="I266" s="47"/>
      <c r="J266" s="47"/>
      <c r="K266" s="47"/>
      <c r="L266" s="47"/>
      <c r="M266" s="47"/>
      <c r="N266" s="47"/>
      <c r="O266" s="47"/>
      <c r="P266" s="47"/>
      <c r="Q266" s="47"/>
      <c r="R266" s="47"/>
      <c r="S266" s="47"/>
      <c r="T266" s="47"/>
      <c r="U266" s="47"/>
      <c r="V266" s="47"/>
      <c r="W266" s="47"/>
      <c r="X266" s="47"/>
      <c r="Y266" s="47"/>
      <c r="Z266" s="47"/>
    </row>
    <row r="267" spans="1:26" ht="15.75" customHeight="1">
      <c r="A267" s="47"/>
      <c r="B267" s="54"/>
      <c r="C267" s="47"/>
      <c r="D267" s="55"/>
      <c r="E267" s="55"/>
      <c r="F267" s="47"/>
      <c r="G267" s="47"/>
      <c r="H267" s="47"/>
      <c r="I267" s="47"/>
      <c r="J267" s="47"/>
      <c r="K267" s="47"/>
      <c r="L267" s="47"/>
      <c r="M267" s="47"/>
      <c r="N267" s="47"/>
      <c r="O267" s="47"/>
      <c r="P267" s="47"/>
      <c r="Q267" s="47"/>
      <c r="R267" s="47"/>
      <c r="S267" s="47"/>
      <c r="T267" s="47"/>
      <c r="U267" s="47"/>
      <c r="V267" s="47"/>
      <c r="W267" s="47"/>
      <c r="X267" s="47"/>
      <c r="Y267" s="47"/>
      <c r="Z267" s="47"/>
    </row>
    <row r="268" spans="1:26" ht="15.75" customHeight="1">
      <c r="A268" s="47"/>
      <c r="B268" s="54"/>
      <c r="C268" s="47"/>
      <c r="D268" s="55"/>
      <c r="E268" s="55"/>
      <c r="F268" s="47"/>
      <c r="G268" s="47"/>
      <c r="H268" s="47"/>
      <c r="I268" s="47"/>
      <c r="J268" s="47"/>
      <c r="K268" s="47"/>
      <c r="L268" s="47"/>
      <c r="M268" s="47"/>
      <c r="N268" s="47"/>
      <c r="O268" s="47"/>
      <c r="P268" s="47"/>
      <c r="Q268" s="47"/>
      <c r="R268" s="47"/>
      <c r="S268" s="47"/>
      <c r="T268" s="47"/>
      <c r="U268" s="47"/>
      <c r="V268" s="47"/>
      <c r="W268" s="47"/>
      <c r="X268" s="47"/>
      <c r="Y268" s="47"/>
      <c r="Z268" s="47"/>
    </row>
    <row r="269" spans="1:26" ht="15.75" customHeight="1">
      <c r="A269" s="47"/>
      <c r="B269" s="54"/>
      <c r="C269" s="47"/>
      <c r="D269" s="55"/>
      <c r="E269" s="55"/>
      <c r="F269" s="47"/>
      <c r="G269" s="47"/>
      <c r="H269" s="47"/>
      <c r="I269" s="47"/>
      <c r="J269" s="47"/>
      <c r="K269" s="47"/>
      <c r="L269" s="47"/>
      <c r="M269" s="47"/>
      <c r="N269" s="47"/>
      <c r="O269" s="47"/>
      <c r="P269" s="47"/>
      <c r="Q269" s="47"/>
      <c r="R269" s="47"/>
      <c r="S269" s="47"/>
      <c r="T269" s="47"/>
      <c r="U269" s="47"/>
      <c r="V269" s="47"/>
      <c r="W269" s="47"/>
      <c r="X269" s="47"/>
      <c r="Y269" s="47"/>
      <c r="Z269" s="47"/>
    </row>
    <row r="270" spans="1:26" ht="15.75" customHeight="1">
      <c r="A270" s="47"/>
      <c r="B270" s="54"/>
      <c r="C270" s="47"/>
      <c r="D270" s="55"/>
      <c r="E270" s="55"/>
      <c r="F270" s="47"/>
      <c r="G270" s="47"/>
      <c r="H270" s="47"/>
      <c r="I270" s="47"/>
      <c r="J270" s="47"/>
      <c r="K270" s="47"/>
      <c r="L270" s="47"/>
      <c r="M270" s="47"/>
      <c r="N270" s="47"/>
      <c r="O270" s="47"/>
      <c r="P270" s="47"/>
      <c r="Q270" s="47"/>
      <c r="R270" s="47"/>
      <c r="S270" s="47"/>
      <c r="T270" s="47"/>
      <c r="U270" s="47"/>
      <c r="V270" s="47"/>
      <c r="W270" s="47"/>
      <c r="X270" s="47"/>
      <c r="Y270" s="47"/>
      <c r="Z270" s="47"/>
    </row>
    <row r="271" spans="1:26" ht="15.75" customHeight="1"/>
    <row r="272" spans="1:26"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sheetData>
  <mergeCells count="3">
    <mergeCell ref="A1:G1"/>
    <mergeCell ref="A4:G4"/>
    <mergeCell ref="B8:C8"/>
  </mergeCells>
  <printOptions horizontalCentered="1"/>
  <pageMargins left="0.25" right="0.25" top="0.75" bottom="0.75" header="0" footer="0"/>
  <pageSetup paperSize="9" fitToHeight="0"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2A46A-8C37-47BC-A94D-568903B132EB}">
  <dimension ref="A1:N107"/>
  <sheetViews>
    <sheetView topLeftCell="A19" workbookViewId="0">
      <selection activeCell="I44" sqref="I44"/>
    </sheetView>
  </sheetViews>
  <sheetFormatPr defaultRowHeight="14.25"/>
  <cols>
    <col min="1" max="1" width="5.7109375" style="203" customWidth="1"/>
    <col min="2" max="2" width="42.28515625" style="203" customWidth="1"/>
    <col min="3" max="3" width="11.5703125" style="203" customWidth="1"/>
    <col min="4" max="4" width="36.7109375" style="225" customWidth="1"/>
    <col min="5" max="7" width="9.140625" style="203"/>
    <col min="8" max="8" width="11" style="203" customWidth="1"/>
    <col min="9" max="9" width="11.42578125" style="203" customWidth="1"/>
    <col min="10" max="11" width="9.140625" style="203"/>
    <col min="12" max="12" width="11.140625" style="203" customWidth="1"/>
    <col min="13" max="13" width="9.140625" style="203"/>
    <col min="14" max="14" width="11.140625" style="203" customWidth="1"/>
    <col min="15" max="16384" width="9.140625" style="203"/>
  </cols>
  <sheetData>
    <row r="1" spans="1:14" ht="15" customHeight="1">
      <c r="A1" s="1596" t="s">
        <v>1858</v>
      </c>
      <c r="B1" s="1596"/>
      <c r="C1" s="1596"/>
      <c r="D1" s="1596"/>
      <c r="E1" s="1596"/>
      <c r="F1" s="1596"/>
      <c r="G1" s="1596"/>
      <c r="H1" s="1596"/>
      <c r="I1" s="1596"/>
      <c r="J1" s="1596"/>
      <c r="K1" s="1596"/>
      <c r="L1" s="1596"/>
      <c r="M1" s="1596"/>
      <c r="N1" s="1596"/>
    </row>
    <row r="2" spans="1:14">
      <c r="A2" s="1596"/>
      <c r="B2" s="1596"/>
      <c r="C2" s="1596"/>
      <c r="D2" s="1596"/>
      <c r="E2" s="1596"/>
      <c r="F2" s="1596"/>
      <c r="G2" s="1596"/>
      <c r="H2" s="1596"/>
      <c r="I2" s="1596"/>
      <c r="J2" s="1596"/>
      <c r="K2" s="1596"/>
      <c r="L2" s="1596"/>
      <c r="M2" s="1596"/>
      <c r="N2" s="1596"/>
    </row>
    <row r="4" spans="1:14" ht="42" customHeight="1">
      <c r="A4" s="1597" t="s">
        <v>1859</v>
      </c>
      <c r="B4" s="1597" t="s">
        <v>1860</v>
      </c>
      <c r="C4" s="1597"/>
      <c r="D4" s="1597"/>
      <c r="E4" s="1597" t="s">
        <v>1861</v>
      </c>
      <c r="F4" s="1597"/>
      <c r="G4" s="1597"/>
      <c r="H4" s="1597" t="s">
        <v>1347</v>
      </c>
      <c r="I4" s="1597"/>
      <c r="J4" s="1597"/>
      <c r="K4" s="1597" t="s">
        <v>1862</v>
      </c>
      <c r="L4" s="1597"/>
      <c r="M4" s="1597" t="s">
        <v>1863</v>
      </c>
      <c r="N4" s="1597"/>
    </row>
    <row r="5" spans="1:14" ht="28.5">
      <c r="A5" s="1597"/>
      <c r="B5" s="204" t="s">
        <v>1864</v>
      </c>
      <c r="C5" s="204" t="s">
        <v>1865</v>
      </c>
      <c r="D5" s="204" t="s">
        <v>1866</v>
      </c>
      <c r="E5" s="204" t="s">
        <v>1355</v>
      </c>
      <c r="F5" s="204" t="s">
        <v>1356</v>
      </c>
      <c r="G5" s="204" t="s">
        <v>1357</v>
      </c>
      <c r="H5" s="204" t="s">
        <v>1358</v>
      </c>
      <c r="I5" s="204" t="s">
        <v>1359</v>
      </c>
      <c r="J5" s="204" t="s">
        <v>1360</v>
      </c>
      <c r="K5" s="204" t="s">
        <v>1867</v>
      </c>
      <c r="L5" s="204" t="s">
        <v>1356</v>
      </c>
      <c r="M5" s="204" t="s">
        <v>1867</v>
      </c>
      <c r="N5" s="204" t="s">
        <v>1356</v>
      </c>
    </row>
    <row r="6" spans="1:14">
      <c r="B6" s="203" t="s">
        <v>1214</v>
      </c>
      <c r="C6" s="203" t="s">
        <v>1370</v>
      </c>
      <c r="D6" s="225" t="s">
        <v>1868</v>
      </c>
    </row>
    <row r="7" spans="1:14" ht="57.75">
      <c r="D7" s="225" t="s">
        <v>1869</v>
      </c>
    </row>
    <row r="8" spans="1:14" ht="43.5">
      <c r="D8" s="225" t="s">
        <v>1870</v>
      </c>
    </row>
    <row r="9" spans="1:14" ht="72">
      <c r="D9" s="225" t="s">
        <v>1871</v>
      </c>
    </row>
    <row r="10" spans="1:14" ht="57.75">
      <c r="D10" s="225" t="s">
        <v>1872</v>
      </c>
    </row>
    <row r="11" spans="1:14" ht="72">
      <c r="D11" s="225" t="s">
        <v>1873</v>
      </c>
    </row>
    <row r="12" spans="1:14" ht="72">
      <c r="D12" s="225" t="s">
        <v>1874</v>
      </c>
    </row>
    <row r="13" spans="1:14" ht="101.25">
      <c r="D13" s="225" t="s">
        <v>1875</v>
      </c>
    </row>
    <row r="14" spans="1:14" ht="43.5">
      <c r="D14" s="225" t="s">
        <v>1876</v>
      </c>
    </row>
    <row r="15" spans="1:14" ht="57.75">
      <c r="D15" s="225" t="s">
        <v>1877</v>
      </c>
    </row>
    <row r="16" spans="1:14" ht="28.5">
      <c r="D16" s="225" t="s">
        <v>1878</v>
      </c>
    </row>
    <row r="17" spans="2:4" ht="28.5">
      <c r="D17" s="225" t="s">
        <v>1336</v>
      </c>
    </row>
    <row r="18" spans="2:4" ht="28.5">
      <c r="B18" s="203" t="s">
        <v>168</v>
      </c>
      <c r="C18" s="203" t="s">
        <v>1370</v>
      </c>
      <c r="D18" s="225" t="s">
        <v>1879</v>
      </c>
    </row>
    <row r="19" spans="2:4" ht="43.5">
      <c r="D19" s="225" t="s">
        <v>1880</v>
      </c>
    </row>
    <row r="20" spans="2:4" ht="72">
      <c r="D20" s="225" t="s">
        <v>1881</v>
      </c>
    </row>
    <row r="21" spans="2:4" ht="101.25">
      <c r="D21" s="225" t="s">
        <v>1882</v>
      </c>
    </row>
    <row r="22" spans="2:4" ht="101.25">
      <c r="D22" s="225" t="s">
        <v>1883</v>
      </c>
    </row>
    <row r="23" spans="2:4" ht="101.25">
      <c r="D23" s="225" t="s">
        <v>1883</v>
      </c>
    </row>
    <row r="24" spans="2:4" ht="86.25">
      <c r="D24" s="225" t="s">
        <v>1884</v>
      </c>
    </row>
    <row r="25" spans="2:4" ht="43.5">
      <c r="D25" s="225" t="s">
        <v>1885</v>
      </c>
    </row>
    <row r="26" spans="2:4" ht="43.5">
      <c r="D26" s="225" t="s">
        <v>1886</v>
      </c>
    </row>
    <row r="27" spans="2:4" ht="57.75">
      <c r="D27" s="225" t="s">
        <v>1887</v>
      </c>
    </row>
    <row r="28" spans="2:4" ht="72">
      <c r="D28" s="225" t="s">
        <v>1888</v>
      </c>
    </row>
    <row r="29" spans="2:4" ht="43.5">
      <c r="D29" s="225" t="s">
        <v>1886</v>
      </c>
    </row>
    <row r="30" spans="2:4" ht="43.5">
      <c r="D30" s="225" t="s">
        <v>1889</v>
      </c>
    </row>
    <row r="31" spans="2:4" ht="57.75">
      <c r="B31" s="203" t="s">
        <v>115</v>
      </c>
      <c r="C31" s="203" t="s">
        <v>1416</v>
      </c>
      <c r="D31" s="225" t="s">
        <v>1890</v>
      </c>
    </row>
    <row r="32" spans="2:4" ht="57.75">
      <c r="D32" s="225" t="s">
        <v>1891</v>
      </c>
    </row>
    <row r="33" spans="2:4" ht="43.5">
      <c r="D33" s="225" t="s">
        <v>1892</v>
      </c>
    </row>
    <row r="34" spans="2:4" ht="86.25">
      <c r="D34" s="225" t="s">
        <v>1893</v>
      </c>
    </row>
    <row r="35" spans="2:4" ht="28.5">
      <c r="D35" s="225" t="s">
        <v>1894</v>
      </c>
    </row>
    <row r="36" spans="2:4" ht="115.5">
      <c r="D36" s="225" t="s">
        <v>1895</v>
      </c>
    </row>
    <row r="37" spans="2:4" ht="72">
      <c r="D37" s="225" t="s">
        <v>1896</v>
      </c>
    </row>
    <row r="38" spans="2:4" ht="115.5">
      <c r="D38" s="225" t="s">
        <v>1897</v>
      </c>
    </row>
    <row r="39" spans="2:4" ht="72">
      <c r="D39" s="225" t="s">
        <v>1898</v>
      </c>
    </row>
    <row r="40" spans="2:4" ht="43.5">
      <c r="D40" s="225" t="s">
        <v>1899</v>
      </c>
    </row>
    <row r="41" spans="2:4" ht="43.5">
      <c r="D41" s="225" t="s">
        <v>1900</v>
      </c>
    </row>
    <row r="42" spans="2:4" ht="43.5">
      <c r="B42" s="203" t="s">
        <v>123</v>
      </c>
      <c r="C42" s="203" t="s">
        <v>1416</v>
      </c>
      <c r="D42" s="225" t="s">
        <v>1901</v>
      </c>
    </row>
    <row r="43" spans="2:4" ht="28.5">
      <c r="D43" s="225" t="s">
        <v>1902</v>
      </c>
    </row>
    <row r="44" spans="2:4" ht="57.75">
      <c r="D44" s="225" t="s">
        <v>1903</v>
      </c>
    </row>
    <row r="54" spans="2:2">
      <c r="B54" s="203" t="s">
        <v>128</v>
      </c>
    </row>
    <row r="55" spans="2:2">
      <c r="B55" s="203" t="s">
        <v>136</v>
      </c>
    </row>
    <row r="56" spans="2:2">
      <c r="B56" s="203" t="s">
        <v>143</v>
      </c>
    </row>
    <row r="57" spans="2:2">
      <c r="B57" s="203" t="s">
        <v>149</v>
      </c>
    </row>
    <row r="58" spans="2:2">
      <c r="B58" s="203" t="s">
        <v>10</v>
      </c>
    </row>
    <row r="59" spans="2:2">
      <c r="B59" s="203" t="s">
        <v>15</v>
      </c>
    </row>
    <row r="60" spans="2:2">
      <c r="B60" s="203" t="s">
        <v>160</v>
      </c>
    </row>
    <row r="61" spans="2:2">
      <c r="B61" s="203" t="s">
        <v>19</v>
      </c>
    </row>
    <row r="62" spans="2:2">
      <c r="B62" s="203" t="s">
        <v>24</v>
      </c>
    </row>
    <row r="63" spans="2:2">
      <c r="B63" s="203" t="s">
        <v>27</v>
      </c>
    </row>
    <row r="64" spans="2:2">
      <c r="B64" s="203" t="s">
        <v>187</v>
      </c>
    </row>
    <row r="65" spans="2:2">
      <c r="B65" s="203" t="s">
        <v>29</v>
      </c>
    </row>
    <row r="66" spans="2:2">
      <c r="B66" s="203" t="s">
        <v>31</v>
      </c>
    </row>
    <row r="67" spans="2:2">
      <c r="B67" s="203" t="s">
        <v>33</v>
      </c>
    </row>
    <row r="68" spans="2:2">
      <c r="B68" s="203" t="s">
        <v>35</v>
      </c>
    </row>
    <row r="69" spans="2:2">
      <c r="B69" s="203" t="s">
        <v>38</v>
      </c>
    </row>
    <row r="70" spans="2:2">
      <c r="B70" s="203" t="s">
        <v>222</v>
      </c>
    </row>
    <row r="71" spans="2:2">
      <c r="B71" s="203" t="s">
        <v>1266</v>
      </c>
    </row>
    <row r="72" spans="2:2">
      <c r="B72" s="203" t="s">
        <v>42</v>
      </c>
    </row>
    <row r="73" spans="2:2">
      <c r="B73" s="203" t="s">
        <v>44</v>
      </c>
    </row>
    <row r="74" spans="2:2">
      <c r="B74" s="203" t="s">
        <v>46</v>
      </c>
    </row>
    <row r="75" spans="2:2">
      <c r="B75" s="203" t="s">
        <v>48</v>
      </c>
    </row>
    <row r="76" spans="2:2">
      <c r="B76" s="203" t="s">
        <v>50</v>
      </c>
    </row>
    <row r="77" spans="2:2">
      <c r="B77" s="203" t="s">
        <v>52</v>
      </c>
    </row>
    <row r="78" spans="2:2">
      <c r="B78" s="203" t="s">
        <v>154</v>
      </c>
    </row>
    <row r="79" spans="2:2">
      <c r="B79" s="203" t="s">
        <v>226</v>
      </c>
    </row>
    <row r="80" spans="2:2">
      <c r="B80" s="203" t="s">
        <v>54</v>
      </c>
    </row>
    <row r="81" spans="2:2">
      <c r="B81" s="203" t="s">
        <v>56</v>
      </c>
    </row>
    <row r="82" spans="2:2">
      <c r="B82" s="203" t="s">
        <v>259</v>
      </c>
    </row>
    <row r="83" spans="2:2">
      <c r="B83" s="203" t="s">
        <v>268</v>
      </c>
    </row>
    <row r="84" spans="2:2">
      <c r="B84" s="203" t="s">
        <v>279</v>
      </c>
    </row>
    <row r="85" spans="2:2">
      <c r="B85" s="203" t="s">
        <v>286</v>
      </c>
    </row>
    <row r="86" spans="2:2">
      <c r="B86" s="203" t="s">
        <v>328</v>
      </c>
    </row>
    <row r="87" spans="2:2">
      <c r="B87" s="203" t="s">
        <v>982</v>
      </c>
    </row>
    <row r="88" spans="2:2">
      <c r="B88" s="203" t="s">
        <v>1002</v>
      </c>
    </row>
    <row r="89" spans="2:2">
      <c r="B89" s="203" t="s">
        <v>1016</v>
      </c>
    </row>
    <row r="90" spans="2:2">
      <c r="B90" s="203" t="s">
        <v>1023</v>
      </c>
    </row>
    <row r="91" spans="2:2">
      <c r="B91" s="203" t="s">
        <v>1036</v>
      </c>
    </row>
    <row r="92" spans="2:2">
      <c r="B92" s="203" t="s">
        <v>1043</v>
      </c>
    </row>
    <row r="93" spans="2:2">
      <c r="B93" s="203" t="s">
        <v>1050</v>
      </c>
    </row>
    <row r="94" spans="2:2">
      <c r="B94" s="203" t="s">
        <v>1059</v>
      </c>
    </row>
    <row r="95" spans="2:2">
      <c r="B95" s="203" t="s">
        <v>1085</v>
      </c>
    </row>
    <row r="96" spans="2:2">
      <c r="B96" s="203" t="s">
        <v>1094</v>
      </c>
    </row>
    <row r="97" spans="2:2">
      <c r="B97" s="203" t="s">
        <v>1105</v>
      </c>
    </row>
    <row r="98" spans="2:2">
      <c r="B98" s="203" t="s">
        <v>1116</v>
      </c>
    </row>
    <row r="99" spans="2:2">
      <c r="B99" s="203" t="s">
        <v>1119</v>
      </c>
    </row>
    <row r="100" spans="2:2">
      <c r="B100" s="203" t="s">
        <v>1124</v>
      </c>
    </row>
    <row r="101" spans="2:2">
      <c r="B101" s="203" t="s">
        <v>1132</v>
      </c>
    </row>
    <row r="102" spans="2:2">
      <c r="B102" s="203" t="s">
        <v>337</v>
      </c>
    </row>
    <row r="103" spans="2:2">
      <c r="B103" s="203" t="s">
        <v>339</v>
      </c>
    </row>
    <row r="104" spans="2:2">
      <c r="B104" s="203" t="s">
        <v>342</v>
      </c>
    </row>
    <row r="105" spans="2:2">
      <c r="B105" s="203" t="s">
        <v>344</v>
      </c>
    </row>
    <row r="106" spans="2:2">
      <c r="B106" s="203" t="s">
        <v>1196</v>
      </c>
    </row>
    <row r="107" spans="2:2">
      <c r="B107" s="203" t="s">
        <v>1331</v>
      </c>
    </row>
  </sheetData>
  <mergeCells count="7">
    <mergeCell ref="A1:N2"/>
    <mergeCell ref="A4:A5"/>
    <mergeCell ref="B4:D4"/>
    <mergeCell ref="E4:G4"/>
    <mergeCell ref="H4:J4"/>
    <mergeCell ref="K4:L4"/>
    <mergeCell ref="M4:N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AE16C-E65D-44CF-9391-E06A20BC289F}">
  <sheetPr>
    <pageSetUpPr fitToPage="1"/>
  </sheetPr>
  <dimension ref="A1:Z1009"/>
  <sheetViews>
    <sheetView workbookViewId="0">
      <pane ySplit="6" topLeftCell="A63" activePane="bottomLeft" state="frozen"/>
      <selection pane="bottomLeft" activeCell="P68" sqref="P68"/>
    </sheetView>
  </sheetViews>
  <sheetFormatPr defaultColWidth="12.85546875" defaultRowHeight="15" customHeight="1"/>
  <cols>
    <col min="1" max="1" width="5.5703125" style="16" customWidth="1"/>
    <col min="2" max="2" width="31.85546875" style="16" customWidth="1"/>
    <col min="3" max="3" width="23.42578125" style="16" customWidth="1"/>
    <col min="4" max="4" width="21.140625" style="16" customWidth="1"/>
    <col min="5" max="5" width="24" style="16" customWidth="1"/>
    <col min="6" max="6" width="38.42578125" style="16" customWidth="1"/>
    <col min="7" max="7" width="5.140625" style="16" customWidth="1"/>
    <col min="8" max="8" width="27.85546875" style="16" customWidth="1"/>
    <col min="9" max="9" width="23.42578125" style="16" customWidth="1"/>
    <col min="10" max="10" width="20" style="16" customWidth="1"/>
    <col min="11" max="11" width="24" style="16" customWidth="1"/>
    <col min="12" max="13" width="26.85546875" style="16" customWidth="1"/>
    <col min="14" max="26" width="9.42578125" style="16" customWidth="1"/>
    <col min="27" max="16384" width="12.85546875" style="16"/>
  </cols>
  <sheetData>
    <row r="1" spans="1:26" ht="25.5" customHeight="1">
      <c r="A1" s="1598"/>
      <c r="B1" s="1589"/>
      <c r="C1" s="1589"/>
      <c r="D1" s="1589"/>
      <c r="E1" s="1589"/>
      <c r="F1" s="1589"/>
      <c r="G1" s="1589"/>
      <c r="H1" s="1589"/>
      <c r="I1" s="1589"/>
      <c r="J1" s="1589"/>
      <c r="K1" s="1589"/>
      <c r="L1" s="1589"/>
      <c r="M1" s="1589"/>
      <c r="N1" s="64"/>
      <c r="O1" s="64"/>
      <c r="P1" s="64"/>
      <c r="Q1" s="64"/>
      <c r="R1" s="64"/>
      <c r="S1" s="64"/>
      <c r="T1" s="64"/>
      <c r="U1" s="64"/>
      <c r="V1" s="64"/>
      <c r="W1" s="64"/>
      <c r="X1" s="64"/>
      <c r="Y1" s="64"/>
      <c r="Z1" s="64"/>
    </row>
    <row r="2" spans="1:26" ht="15.75">
      <c r="A2" s="53" t="s">
        <v>1904</v>
      </c>
      <c r="B2" s="47"/>
      <c r="C2" s="47"/>
      <c r="D2" s="47"/>
      <c r="E2" s="47"/>
      <c r="F2" s="65"/>
      <c r="G2" s="65"/>
      <c r="H2" s="47"/>
      <c r="I2" s="55"/>
      <c r="J2" s="55"/>
      <c r="K2" s="55"/>
      <c r="L2" s="55"/>
      <c r="M2" s="55"/>
      <c r="N2" s="64"/>
      <c r="O2" s="64"/>
      <c r="P2" s="64"/>
      <c r="Q2" s="64"/>
      <c r="R2" s="64"/>
      <c r="S2" s="64"/>
      <c r="T2" s="64"/>
      <c r="U2" s="64"/>
      <c r="V2" s="64"/>
      <c r="W2" s="64"/>
      <c r="X2" s="64"/>
      <c r="Y2" s="64"/>
      <c r="Z2" s="64"/>
    </row>
    <row r="3" spans="1:26" ht="15.75">
      <c r="A3" s="53"/>
      <c r="B3" s="47"/>
      <c r="C3" s="47"/>
      <c r="D3" s="47"/>
      <c r="E3" s="47"/>
      <c r="F3" s="65"/>
      <c r="G3" s="65"/>
      <c r="H3" s="47"/>
      <c r="I3" s="55"/>
      <c r="J3" s="55"/>
      <c r="K3" s="55"/>
      <c r="L3" s="55"/>
      <c r="M3" s="55"/>
      <c r="N3" s="64"/>
      <c r="O3" s="64"/>
      <c r="P3" s="64"/>
      <c r="Q3" s="64"/>
      <c r="R3" s="64"/>
      <c r="S3" s="64"/>
      <c r="T3" s="64"/>
      <c r="U3" s="64"/>
      <c r="V3" s="64"/>
      <c r="W3" s="64"/>
      <c r="X3" s="64"/>
      <c r="Y3" s="64"/>
      <c r="Z3" s="64"/>
    </row>
    <row r="4" spans="1:26" ht="15.75">
      <c r="A4" s="1599"/>
      <c r="B4" s="1600"/>
      <c r="C4" s="1600"/>
      <c r="D4" s="1600"/>
      <c r="E4" s="1600"/>
      <c r="F4" s="1600"/>
      <c r="G4" s="1600"/>
      <c r="H4" s="1600"/>
      <c r="I4" s="1600"/>
      <c r="J4" s="1600"/>
      <c r="K4" s="1600"/>
      <c r="L4" s="1600"/>
      <c r="M4" s="1600"/>
      <c r="N4" s="64"/>
      <c r="O4" s="64"/>
      <c r="P4" s="64"/>
      <c r="Q4" s="64"/>
      <c r="R4" s="64"/>
      <c r="S4" s="64"/>
      <c r="T4" s="64"/>
      <c r="U4" s="64"/>
      <c r="V4" s="64"/>
      <c r="W4" s="64"/>
      <c r="X4" s="64"/>
      <c r="Y4" s="64"/>
      <c r="Z4" s="64"/>
    </row>
    <row r="5" spans="1:26" ht="57" customHeight="1">
      <c r="A5" s="66" t="s">
        <v>61</v>
      </c>
      <c r="B5" s="1601" t="s">
        <v>1905</v>
      </c>
      <c r="C5" s="1601" t="s">
        <v>1851</v>
      </c>
      <c r="D5" s="1601" t="s">
        <v>1852</v>
      </c>
      <c r="E5" s="1601" t="s">
        <v>1906</v>
      </c>
      <c r="F5" s="1595" t="s">
        <v>1907</v>
      </c>
      <c r="G5" s="1603"/>
      <c r="H5" s="1603"/>
      <c r="I5" s="1603"/>
      <c r="J5" s="1603"/>
      <c r="K5" s="1603"/>
      <c r="L5" s="1603"/>
      <c r="M5" s="1591"/>
      <c r="N5" s="64"/>
      <c r="O5" s="64"/>
      <c r="P5" s="64"/>
      <c r="Q5" s="64"/>
      <c r="R5" s="64"/>
      <c r="S5" s="64"/>
      <c r="T5" s="64"/>
      <c r="U5" s="64"/>
      <c r="V5" s="64"/>
      <c r="W5" s="64"/>
      <c r="X5" s="64"/>
      <c r="Y5" s="64"/>
      <c r="Z5" s="64"/>
    </row>
    <row r="6" spans="1:26" ht="39.75" customHeight="1">
      <c r="A6" s="67"/>
      <c r="B6" s="1602"/>
      <c r="C6" s="1602"/>
      <c r="D6" s="1602"/>
      <c r="E6" s="1602"/>
      <c r="F6" s="56" t="s">
        <v>1908</v>
      </c>
      <c r="G6" s="1595" t="s">
        <v>62</v>
      </c>
      <c r="H6" s="1591"/>
      <c r="I6" s="56" t="s">
        <v>1851</v>
      </c>
      <c r="J6" s="56" t="s">
        <v>1852</v>
      </c>
      <c r="K6" s="56" t="s">
        <v>1906</v>
      </c>
      <c r="L6" s="56" t="s">
        <v>1854</v>
      </c>
      <c r="M6" s="56" t="s">
        <v>1909</v>
      </c>
      <c r="N6" s="64"/>
      <c r="O6" s="64"/>
      <c r="P6" s="64"/>
      <c r="Q6" s="64"/>
      <c r="R6" s="64"/>
      <c r="S6" s="64"/>
      <c r="T6" s="64"/>
      <c r="U6" s="64"/>
      <c r="V6" s="64"/>
      <c r="W6" s="64"/>
      <c r="X6" s="64"/>
      <c r="Y6" s="64"/>
      <c r="Z6" s="64"/>
    </row>
    <row r="7" spans="1:26" ht="31.5" customHeight="1">
      <c r="A7" s="57">
        <v>1</v>
      </c>
      <c r="B7" s="58" t="s">
        <v>1214</v>
      </c>
      <c r="C7" s="68" t="s">
        <v>1215</v>
      </c>
      <c r="D7" s="58" t="s">
        <v>105</v>
      </c>
      <c r="E7" s="57" t="s">
        <v>1855</v>
      </c>
      <c r="F7" s="57" t="s">
        <v>77</v>
      </c>
      <c r="G7" s="57" t="s">
        <v>77</v>
      </c>
      <c r="H7" s="58" t="s">
        <v>77</v>
      </c>
      <c r="I7" s="57" t="s">
        <v>77</v>
      </c>
      <c r="J7" s="57" t="s">
        <v>77</v>
      </c>
      <c r="K7" s="57" t="s">
        <v>77</v>
      </c>
      <c r="L7" s="57" t="s">
        <v>77</v>
      </c>
      <c r="M7" s="57" t="s">
        <v>77</v>
      </c>
      <c r="N7" s="64"/>
      <c r="O7" s="64"/>
      <c r="P7" s="64"/>
      <c r="Q7" s="64"/>
      <c r="R7" s="64"/>
      <c r="S7" s="64"/>
      <c r="T7" s="64"/>
      <c r="U7" s="64"/>
      <c r="V7" s="64"/>
      <c r="W7" s="64"/>
      <c r="X7" s="64"/>
      <c r="Y7" s="64"/>
      <c r="Z7" s="64"/>
    </row>
    <row r="8" spans="1:26" ht="31.5" customHeight="1">
      <c r="A8" s="57">
        <v>2</v>
      </c>
      <c r="B8" s="58" t="s">
        <v>168</v>
      </c>
      <c r="C8" s="58" t="s">
        <v>169</v>
      </c>
      <c r="D8" s="58" t="s">
        <v>1790</v>
      </c>
      <c r="E8" s="57" t="s">
        <v>1855</v>
      </c>
      <c r="F8" s="57" t="s">
        <v>77</v>
      </c>
      <c r="G8" s="57" t="s">
        <v>77</v>
      </c>
      <c r="H8" s="58" t="s">
        <v>77</v>
      </c>
      <c r="I8" s="57" t="s">
        <v>77</v>
      </c>
      <c r="J8" s="57" t="s">
        <v>77</v>
      </c>
      <c r="K8" s="57" t="s">
        <v>77</v>
      </c>
      <c r="L8" s="57" t="s">
        <v>77</v>
      </c>
      <c r="M8" s="57" t="s">
        <v>77</v>
      </c>
      <c r="N8" s="64"/>
      <c r="O8" s="64"/>
      <c r="P8" s="64"/>
      <c r="Q8" s="64"/>
      <c r="R8" s="64"/>
      <c r="S8" s="64"/>
      <c r="T8" s="64"/>
      <c r="U8" s="64"/>
      <c r="V8" s="64"/>
      <c r="W8" s="64"/>
      <c r="X8" s="64"/>
      <c r="Y8" s="64"/>
      <c r="Z8" s="64"/>
    </row>
    <row r="9" spans="1:26" ht="31.5" customHeight="1">
      <c r="A9" s="57">
        <v>3</v>
      </c>
      <c r="B9" s="58" t="s">
        <v>115</v>
      </c>
      <c r="C9" s="58" t="s">
        <v>116</v>
      </c>
      <c r="D9" s="58" t="s">
        <v>117</v>
      </c>
      <c r="E9" s="57" t="s">
        <v>1855</v>
      </c>
      <c r="F9" s="57" t="s">
        <v>1910</v>
      </c>
      <c r="G9" s="57">
        <v>1</v>
      </c>
      <c r="H9" s="58" t="s">
        <v>1911</v>
      </c>
      <c r="I9" s="57" t="s">
        <v>1912</v>
      </c>
      <c r="J9" s="57" t="s">
        <v>1913</v>
      </c>
      <c r="K9" s="57" t="s">
        <v>1855</v>
      </c>
      <c r="L9" s="57" t="s">
        <v>1914</v>
      </c>
      <c r="M9" s="57" t="s">
        <v>1915</v>
      </c>
      <c r="N9" s="64"/>
      <c r="O9" s="64"/>
      <c r="P9" s="64"/>
      <c r="Q9" s="64"/>
      <c r="R9" s="64"/>
      <c r="S9" s="64"/>
      <c r="T9" s="64"/>
      <c r="U9" s="64"/>
      <c r="V9" s="64"/>
      <c r="W9" s="64"/>
      <c r="X9" s="64"/>
      <c r="Y9" s="64"/>
      <c r="Z9" s="64"/>
    </row>
    <row r="10" spans="1:26" ht="31.5" customHeight="1">
      <c r="A10" s="57">
        <v>4</v>
      </c>
      <c r="B10" s="58" t="s">
        <v>123</v>
      </c>
      <c r="C10" s="58" t="s">
        <v>124</v>
      </c>
      <c r="D10" s="58" t="s">
        <v>1793</v>
      </c>
      <c r="E10" s="57" t="s">
        <v>1855</v>
      </c>
      <c r="F10" s="57" t="s">
        <v>77</v>
      </c>
      <c r="G10" s="57" t="s">
        <v>77</v>
      </c>
      <c r="H10" s="58" t="s">
        <v>77</v>
      </c>
      <c r="I10" s="57" t="s">
        <v>77</v>
      </c>
      <c r="J10" s="57" t="s">
        <v>77</v>
      </c>
      <c r="K10" s="57" t="s">
        <v>77</v>
      </c>
      <c r="L10" s="57" t="s">
        <v>77</v>
      </c>
      <c r="M10" s="57" t="s">
        <v>77</v>
      </c>
      <c r="N10" s="64"/>
      <c r="O10" s="64"/>
      <c r="P10" s="64"/>
      <c r="Q10" s="64"/>
      <c r="R10" s="64"/>
      <c r="S10" s="64"/>
      <c r="T10" s="64"/>
      <c r="U10" s="64"/>
      <c r="V10" s="64"/>
      <c r="W10" s="64"/>
      <c r="X10" s="64"/>
      <c r="Y10" s="64"/>
      <c r="Z10" s="64"/>
    </row>
    <row r="11" spans="1:26" ht="31.5" customHeight="1">
      <c r="A11" s="57">
        <v>5</v>
      </c>
      <c r="B11" s="58" t="s">
        <v>128</v>
      </c>
      <c r="C11" s="58" t="s">
        <v>129</v>
      </c>
      <c r="D11" s="58" t="s">
        <v>1236</v>
      </c>
      <c r="E11" s="57" t="s">
        <v>1855</v>
      </c>
      <c r="F11" s="57" t="s">
        <v>77</v>
      </c>
      <c r="G11" s="57" t="s">
        <v>77</v>
      </c>
      <c r="H11" s="58" t="s">
        <v>77</v>
      </c>
      <c r="I11" s="57" t="s">
        <v>77</v>
      </c>
      <c r="J11" s="57" t="s">
        <v>77</v>
      </c>
      <c r="K11" s="57" t="s">
        <v>77</v>
      </c>
      <c r="L11" s="57" t="s">
        <v>77</v>
      </c>
      <c r="M11" s="57" t="s">
        <v>77</v>
      </c>
      <c r="N11" s="64"/>
      <c r="O11" s="64"/>
      <c r="P11" s="64"/>
      <c r="Q11" s="64"/>
      <c r="R11" s="64"/>
      <c r="S11" s="64"/>
      <c r="T11" s="64"/>
      <c r="U11" s="64"/>
      <c r="V11" s="64"/>
      <c r="W11" s="64"/>
      <c r="X11" s="64"/>
      <c r="Y11" s="64"/>
      <c r="Z11" s="64"/>
    </row>
    <row r="12" spans="1:26" ht="45" customHeight="1">
      <c r="A12" s="57">
        <v>6</v>
      </c>
      <c r="B12" s="58" t="s">
        <v>136</v>
      </c>
      <c r="C12" s="58" t="s">
        <v>137</v>
      </c>
      <c r="D12" s="58" t="s">
        <v>1241</v>
      </c>
      <c r="E12" s="57" t="s">
        <v>1855</v>
      </c>
      <c r="F12" s="57" t="s">
        <v>1916</v>
      </c>
      <c r="G12" s="57">
        <v>1</v>
      </c>
      <c r="H12" s="58" t="s">
        <v>1917</v>
      </c>
      <c r="I12" s="59" t="s">
        <v>1918</v>
      </c>
      <c r="J12" s="57" t="s">
        <v>1919</v>
      </c>
      <c r="K12" s="57" t="s">
        <v>1855</v>
      </c>
      <c r="L12" s="57" t="s">
        <v>1920</v>
      </c>
      <c r="M12" s="57" t="s">
        <v>77</v>
      </c>
      <c r="N12" s="64"/>
      <c r="O12" s="64"/>
      <c r="P12" s="64"/>
      <c r="Q12" s="64"/>
      <c r="R12" s="64"/>
      <c r="S12" s="64"/>
      <c r="T12" s="64"/>
      <c r="U12" s="64"/>
      <c r="V12" s="64"/>
      <c r="W12" s="64"/>
      <c r="X12" s="64"/>
      <c r="Y12" s="64"/>
      <c r="Z12" s="64"/>
    </row>
    <row r="13" spans="1:26" ht="31.5" customHeight="1">
      <c r="A13" s="57">
        <v>7</v>
      </c>
      <c r="B13" s="58" t="s">
        <v>143</v>
      </c>
      <c r="C13" s="58" t="s">
        <v>144</v>
      </c>
      <c r="D13" s="58" t="s">
        <v>1241</v>
      </c>
      <c r="E13" s="57" t="s">
        <v>1855</v>
      </c>
      <c r="F13" s="57" t="s">
        <v>77</v>
      </c>
      <c r="G13" s="57" t="s">
        <v>77</v>
      </c>
      <c r="H13" s="58" t="s">
        <v>77</v>
      </c>
      <c r="I13" s="57" t="s">
        <v>77</v>
      </c>
      <c r="J13" s="57" t="s">
        <v>77</v>
      </c>
      <c r="K13" s="57" t="s">
        <v>77</v>
      </c>
      <c r="L13" s="57" t="s">
        <v>77</v>
      </c>
      <c r="M13" s="57" t="s">
        <v>77</v>
      </c>
      <c r="N13" s="64"/>
      <c r="O13" s="64"/>
      <c r="P13" s="64"/>
      <c r="Q13" s="64"/>
      <c r="R13" s="64"/>
      <c r="S13" s="64"/>
      <c r="T13" s="64"/>
      <c r="U13" s="64"/>
      <c r="V13" s="64"/>
      <c r="W13" s="64"/>
      <c r="X13" s="64"/>
      <c r="Y13" s="64"/>
      <c r="Z13" s="64"/>
    </row>
    <row r="14" spans="1:26" ht="31.5" customHeight="1">
      <c r="A14" s="57">
        <v>8</v>
      </c>
      <c r="B14" s="58" t="s">
        <v>149</v>
      </c>
      <c r="C14" s="58" t="s">
        <v>150</v>
      </c>
      <c r="D14" s="58" t="s">
        <v>130</v>
      </c>
      <c r="E14" s="57" t="s">
        <v>1855</v>
      </c>
      <c r="F14" s="57" t="s">
        <v>77</v>
      </c>
      <c r="G14" s="57" t="s">
        <v>77</v>
      </c>
      <c r="H14" s="58" t="s">
        <v>77</v>
      </c>
      <c r="I14" s="57" t="s">
        <v>77</v>
      </c>
      <c r="J14" s="57" t="s">
        <v>77</v>
      </c>
      <c r="K14" s="57" t="s">
        <v>77</v>
      </c>
      <c r="L14" s="57" t="s">
        <v>77</v>
      </c>
      <c r="M14" s="57" t="s">
        <v>77</v>
      </c>
      <c r="N14" s="64"/>
      <c r="O14" s="64"/>
      <c r="P14" s="64"/>
      <c r="Q14" s="64"/>
      <c r="R14" s="64"/>
      <c r="S14" s="64"/>
      <c r="T14" s="64"/>
      <c r="U14" s="64"/>
      <c r="V14" s="64"/>
      <c r="W14" s="64"/>
      <c r="X14" s="64"/>
      <c r="Y14" s="64"/>
      <c r="Z14" s="64"/>
    </row>
    <row r="15" spans="1:26" ht="31.5" customHeight="1">
      <c r="A15" s="57">
        <v>9</v>
      </c>
      <c r="B15" s="58" t="s">
        <v>154</v>
      </c>
      <c r="C15" s="58" t="s">
        <v>155</v>
      </c>
      <c r="D15" s="58" t="s">
        <v>1241</v>
      </c>
      <c r="E15" s="57" t="s">
        <v>1855</v>
      </c>
      <c r="F15" s="57" t="s">
        <v>77</v>
      </c>
      <c r="G15" s="57" t="s">
        <v>77</v>
      </c>
      <c r="H15" s="58" t="s">
        <v>77</v>
      </c>
      <c r="I15" s="57" t="s">
        <v>77</v>
      </c>
      <c r="J15" s="57" t="s">
        <v>77</v>
      </c>
      <c r="K15" s="57" t="s">
        <v>77</v>
      </c>
      <c r="L15" s="57" t="s">
        <v>77</v>
      </c>
      <c r="M15" s="57" t="s">
        <v>77</v>
      </c>
      <c r="N15" s="64"/>
      <c r="O15" s="64"/>
      <c r="P15" s="64"/>
      <c r="Q15" s="64"/>
      <c r="R15" s="64"/>
      <c r="S15" s="64"/>
      <c r="T15" s="64"/>
      <c r="U15" s="64"/>
      <c r="V15" s="64"/>
      <c r="W15" s="64"/>
      <c r="X15" s="64"/>
      <c r="Y15" s="64"/>
      <c r="Z15" s="64"/>
    </row>
    <row r="16" spans="1:26" ht="31.5" customHeight="1">
      <c r="A16" s="57">
        <v>10</v>
      </c>
      <c r="B16" s="58" t="s">
        <v>10</v>
      </c>
      <c r="C16" s="58" t="s">
        <v>256</v>
      </c>
      <c r="D16" s="58" t="s">
        <v>13</v>
      </c>
      <c r="E16" s="57" t="s">
        <v>1855</v>
      </c>
      <c r="F16" s="57" t="s">
        <v>77</v>
      </c>
      <c r="G16" s="57" t="s">
        <v>77</v>
      </c>
      <c r="H16" s="57" t="s">
        <v>77</v>
      </c>
      <c r="I16" s="57" t="s">
        <v>77</v>
      </c>
      <c r="J16" s="57" t="s">
        <v>77</v>
      </c>
      <c r="K16" s="57" t="s">
        <v>77</v>
      </c>
      <c r="L16" s="57" t="s">
        <v>77</v>
      </c>
      <c r="M16" s="57" t="s">
        <v>77</v>
      </c>
      <c r="N16" s="64"/>
      <c r="O16" s="64"/>
      <c r="P16" s="64"/>
      <c r="Q16" s="64"/>
      <c r="R16" s="64"/>
      <c r="S16" s="64"/>
      <c r="T16" s="64"/>
      <c r="U16" s="64"/>
      <c r="V16" s="64"/>
      <c r="W16" s="64"/>
      <c r="X16" s="64"/>
      <c r="Y16" s="64"/>
      <c r="Z16" s="64"/>
    </row>
    <row r="17" spans="1:26" ht="31.5" customHeight="1">
      <c r="A17" s="57">
        <v>11</v>
      </c>
      <c r="B17" s="58" t="s">
        <v>15</v>
      </c>
      <c r="C17" s="58" t="s">
        <v>158</v>
      </c>
      <c r="D17" s="58" t="s">
        <v>13</v>
      </c>
      <c r="E17" s="57" t="s">
        <v>1855</v>
      </c>
      <c r="F17" s="57" t="s">
        <v>77</v>
      </c>
      <c r="G17" s="57" t="s">
        <v>77</v>
      </c>
      <c r="H17" s="58" t="s">
        <v>77</v>
      </c>
      <c r="I17" s="57" t="s">
        <v>77</v>
      </c>
      <c r="J17" s="57" t="s">
        <v>77</v>
      </c>
      <c r="K17" s="57" t="s">
        <v>77</v>
      </c>
      <c r="L17" s="57" t="s">
        <v>77</v>
      </c>
      <c r="M17" s="57" t="s">
        <v>77</v>
      </c>
      <c r="N17" s="64"/>
      <c r="O17" s="64"/>
      <c r="P17" s="64"/>
      <c r="Q17" s="64"/>
      <c r="R17" s="64"/>
      <c r="S17" s="64"/>
      <c r="T17" s="64"/>
      <c r="U17" s="64"/>
      <c r="V17" s="64"/>
      <c r="W17" s="64"/>
      <c r="X17" s="64"/>
      <c r="Y17" s="64"/>
      <c r="Z17" s="64"/>
    </row>
    <row r="18" spans="1:26" ht="31.5" customHeight="1">
      <c r="A18" s="57">
        <v>12</v>
      </c>
      <c r="B18" s="58" t="s">
        <v>160</v>
      </c>
      <c r="C18" s="58" t="s">
        <v>161</v>
      </c>
      <c r="D18" s="58" t="s">
        <v>1801</v>
      </c>
      <c r="E18" s="57" t="s">
        <v>1855</v>
      </c>
      <c r="F18" s="57" t="s">
        <v>77</v>
      </c>
      <c r="G18" s="57" t="s">
        <v>77</v>
      </c>
      <c r="H18" s="58" t="s">
        <v>77</v>
      </c>
      <c r="I18" s="57" t="s">
        <v>77</v>
      </c>
      <c r="J18" s="57" t="s">
        <v>77</v>
      </c>
      <c r="K18" s="57" t="s">
        <v>77</v>
      </c>
      <c r="L18" s="57" t="s">
        <v>77</v>
      </c>
      <c r="M18" s="57" t="s">
        <v>77</v>
      </c>
      <c r="N18" s="64"/>
      <c r="O18" s="64"/>
      <c r="P18" s="64"/>
      <c r="Q18" s="64"/>
      <c r="R18" s="64"/>
      <c r="S18" s="64"/>
      <c r="T18" s="64"/>
      <c r="U18" s="64"/>
      <c r="V18" s="64"/>
      <c r="W18" s="64"/>
      <c r="X18" s="64"/>
      <c r="Y18" s="64"/>
      <c r="Z18" s="64"/>
    </row>
    <row r="19" spans="1:26" ht="31.5" customHeight="1">
      <c r="A19" s="57">
        <v>13</v>
      </c>
      <c r="B19" s="58" t="s">
        <v>19</v>
      </c>
      <c r="C19" s="58" t="s">
        <v>165</v>
      </c>
      <c r="D19" s="58" t="s">
        <v>1241</v>
      </c>
      <c r="E19" s="57" t="s">
        <v>1855</v>
      </c>
      <c r="F19" s="57" t="s">
        <v>77</v>
      </c>
      <c r="G19" s="57" t="s">
        <v>77</v>
      </c>
      <c r="H19" s="58" t="s">
        <v>77</v>
      </c>
      <c r="I19" s="57" t="s">
        <v>77</v>
      </c>
      <c r="J19" s="57" t="s">
        <v>77</v>
      </c>
      <c r="K19" s="57" t="s">
        <v>77</v>
      </c>
      <c r="L19" s="57" t="s">
        <v>77</v>
      </c>
      <c r="M19" s="57" t="s">
        <v>77</v>
      </c>
      <c r="N19" s="64"/>
      <c r="O19" s="64"/>
      <c r="P19" s="64"/>
      <c r="Q19" s="64"/>
      <c r="R19" s="64"/>
      <c r="S19" s="64"/>
      <c r="T19" s="64"/>
      <c r="U19" s="64"/>
      <c r="V19" s="64"/>
      <c r="W19" s="64"/>
      <c r="X19" s="64"/>
      <c r="Y19" s="64"/>
      <c r="Z19" s="64"/>
    </row>
    <row r="20" spans="1:26" ht="31.5" customHeight="1">
      <c r="A20" s="57">
        <v>14</v>
      </c>
      <c r="B20" s="58" t="s">
        <v>24</v>
      </c>
      <c r="C20" s="58" t="s">
        <v>178</v>
      </c>
      <c r="D20" s="58" t="s">
        <v>13</v>
      </c>
      <c r="E20" s="57" t="s">
        <v>1855</v>
      </c>
      <c r="F20" s="57" t="s">
        <v>77</v>
      </c>
      <c r="G20" s="57" t="s">
        <v>77</v>
      </c>
      <c r="H20" s="58" t="s">
        <v>77</v>
      </c>
      <c r="I20" s="57" t="s">
        <v>77</v>
      </c>
      <c r="J20" s="57" t="s">
        <v>77</v>
      </c>
      <c r="K20" s="57" t="s">
        <v>77</v>
      </c>
      <c r="L20" s="57" t="s">
        <v>77</v>
      </c>
      <c r="M20" s="57" t="s">
        <v>77</v>
      </c>
      <c r="N20" s="64"/>
      <c r="O20" s="64"/>
      <c r="P20" s="64"/>
      <c r="Q20" s="64"/>
      <c r="R20" s="64"/>
      <c r="S20" s="64"/>
      <c r="T20" s="64"/>
      <c r="U20" s="64"/>
      <c r="V20" s="64"/>
      <c r="W20" s="64"/>
      <c r="X20" s="64"/>
      <c r="Y20" s="64"/>
      <c r="Z20" s="64"/>
    </row>
    <row r="21" spans="1:26" ht="31.5" customHeight="1">
      <c r="A21" s="57">
        <v>15</v>
      </c>
      <c r="B21" s="58" t="s">
        <v>27</v>
      </c>
      <c r="C21" s="58" t="s">
        <v>184</v>
      </c>
      <c r="D21" s="58" t="s">
        <v>13</v>
      </c>
      <c r="E21" s="57" t="s">
        <v>1855</v>
      </c>
      <c r="F21" s="57" t="s">
        <v>77</v>
      </c>
      <c r="G21" s="57" t="s">
        <v>77</v>
      </c>
      <c r="H21" s="58"/>
      <c r="I21" s="57" t="s">
        <v>77</v>
      </c>
      <c r="J21" s="57" t="s">
        <v>77</v>
      </c>
      <c r="K21" s="57" t="s">
        <v>77</v>
      </c>
      <c r="L21" s="57" t="s">
        <v>77</v>
      </c>
      <c r="M21" s="57" t="s">
        <v>77</v>
      </c>
      <c r="N21" s="64"/>
      <c r="O21" s="64"/>
      <c r="P21" s="64"/>
      <c r="Q21" s="64"/>
      <c r="R21" s="64"/>
      <c r="S21" s="64"/>
      <c r="T21" s="64"/>
      <c r="U21" s="64"/>
      <c r="V21" s="64"/>
      <c r="W21" s="64"/>
      <c r="X21" s="64"/>
      <c r="Y21" s="64"/>
      <c r="Z21" s="64"/>
    </row>
    <row r="22" spans="1:26" ht="31.5" customHeight="1">
      <c r="A22" s="57">
        <v>16</v>
      </c>
      <c r="B22" s="58" t="s">
        <v>187</v>
      </c>
      <c r="C22" s="58" t="s">
        <v>188</v>
      </c>
      <c r="D22" s="58" t="s">
        <v>13</v>
      </c>
      <c r="E22" s="57" t="s">
        <v>1855</v>
      </c>
      <c r="F22" s="57" t="s">
        <v>77</v>
      </c>
      <c r="G22" s="57" t="s">
        <v>77</v>
      </c>
      <c r="H22" s="58" t="s">
        <v>77</v>
      </c>
      <c r="I22" s="57" t="s">
        <v>77</v>
      </c>
      <c r="J22" s="57" t="s">
        <v>77</v>
      </c>
      <c r="K22" s="57" t="s">
        <v>77</v>
      </c>
      <c r="L22" s="57" t="s">
        <v>77</v>
      </c>
      <c r="M22" s="57" t="s">
        <v>77</v>
      </c>
      <c r="N22" s="64"/>
      <c r="O22" s="64"/>
      <c r="P22" s="64"/>
      <c r="Q22" s="64"/>
      <c r="R22" s="64"/>
      <c r="S22" s="64"/>
      <c r="T22" s="64"/>
      <c r="U22" s="64"/>
      <c r="V22" s="64"/>
      <c r="W22" s="64"/>
      <c r="X22" s="64"/>
      <c r="Y22" s="64"/>
      <c r="Z22" s="64"/>
    </row>
    <row r="23" spans="1:26" ht="31.5" customHeight="1">
      <c r="A23" s="57">
        <v>17</v>
      </c>
      <c r="B23" s="58" t="s">
        <v>29</v>
      </c>
      <c r="C23" s="58" t="s">
        <v>196</v>
      </c>
      <c r="D23" s="58" t="s">
        <v>1241</v>
      </c>
      <c r="E23" s="57" t="s">
        <v>1855</v>
      </c>
      <c r="F23" s="57" t="s">
        <v>77</v>
      </c>
      <c r="G23" s="57" t="s">
        <v>77</v>
      </c>
      <c r="H23" s="58" t="s">
        <v>77</v>
      </c>
      <c r="I23" s="57" t="s">
        <v>77</v>
      </c>
      <c r="J23" s="57" t="s">
        <v>77</v>
      </c>
      <c r="K23" s="57" t="s">
        <v>77</v>
      </c>
      <c r="L23" s="57" t="s">
        <v>77</v>
      </c>
      <c r="M23" s="57" t="s">
        <v>77</v>
      </c>
      <c r="N23" s="64"/>
      <c r="O23" s="64"/>
      <c r="P23" s="64"/>
      <c r="Q23" s="64"/>
      <c r="R23" s="64"/>
      <c r="S23" s="64"/>
      <c r="T23" s="64"/>
      <c r="U23" s="64"/>
      <c r="V23" s="64"/>
      <c r="W23" s="64"/>
      <c r="X23" s="64"/>
      <c r="Y23" s="64"/>
      <c r="Z23" s="64"/>
    </row>
    <row r="24" spans="1:26" ht="31.5" customHeight="1">
      <c r="A24" s="57">
        <v>18</v>
      </c>
      <c r="B24" s="58" t="s">
        <v>31</v>
      </c>
      <c r="C24" s="58" t="s">
        <v>201</v>
      </c>
      <c r="D24" s="58" t="s">
        <v>13</v>
      </c>
      <c r="E24" s="57" t="s">
        <v>1855</v>
      </c>
      <c r="F24" s="57" t="s">
        <v>77</v>
      </c>
      <c r="G24" s="57" t="s">
        <v>77</v>
      </c>
      <c r="H24" s="58" t="s">
        <v>77</v>
      </c>
      <c r="I24" s="57" t="s">
        <v>77</v>
      </c>
      <c r="J24" s="57" t="s">
        <v>77</v>
      </c>
      <c r="K24" s="57" t="s">
        <v>77</v>
      </c>
      <c r="L24" s="57" t="s">
        <v>77</v>
      </c>
      <c r="M24" s="57" t="s">
        <v>77</v>
      </c>
      <c r="N24" s="64"/>
      <c r="O24" s="64"/>
      <c r="P24" s="64"/>
      <c r="Q24" s="64"/>
      <c r="R24" s="64"/>
      <c r="S24" s="64"/>
      <c r="T24" s="64"/>
      <c r="U24" s="64"/>
      <c r="V24" s="64"/>
      <c r="W24" s="64"/>
      <c r="X24" s="64"/>
      <c r="Y24" s="64"/>
      <c r="Z24" s="64"/>
    </row>
    <row r="25" spans="1:26" ht="31.5" customHeight="1">
      <c r="A25" s="57">
        <v>19</v>
      </c>
      <c r="B25" s="58" t="s">
        <v>33</v>
      </c>
      <c r="C25" s="58" t="s">
        <v>209</v>
      </c>
      <c r="D25" s="58" t="s">
        <v>13</v>
      </c>
      <c r="E25" s="57" t="s">
        <v>1855</v>
      </c>
      <c r="F25" s="57" t="s">
        <v>77</v>
      </c>
      <c r="G25" s="57" t="s">
        <v>77</v>
      </c>
      <c r="H25" s="58" t="s">
        <v>77</v>
      </c>
      <c r="I25" s="57" t="s">
        <v>77</v>
      </c>
      <c r="J25" s="57" t="s">
        <v>77</v>
      </c>
      <c r="K25" s="57" t="s">
        <v>77</v>
      </c>
      <c r="L25" s="57" t="s">
        <v>77</v>
      </c>
      <c r="M25" s="57" t="s">
        <v>77</v>
      </c>
      <c r="N25" s="64"/>
      <c r="O25" s="64"/>
      <c r="P25" s="64"/>
      <c r="Q25" s="64"/>
      <c r="R25" s="64"/>
      <c r="S25" s="64"/>
      <c r="T25" s="64"/>
      <c r="U25" s="64"/>
      <c r="V25" s="64"/>
      <c r="W25" s="64"/>
      <c r="X25" s="64"/>
      <c r="Y25" s="64"/>
      <c r="Z25" s="64"/>
    </row>
    <row r="26" spans="1:26" ht="31.5" customHeight="1">
      <c r="A26" s="57">
        <v>20</v>
      </c>
      <c r="B26" s="58" t="s">
        <v>35</v>
      </c>
      <c r="C26" s="58" t="s">
        <v>216</v>
      </c>
      <c r="D26" s="58" t="s">
        <v>13</v>
      </c>
      <c r="E26" s="57" t="s">
        <v>1855</v>
      </c>
      <c r="F26" s="57" t="s">
        <v>77</v>
      </c>
      <c r="G26" s="57" t="s">
        <v>77</v>
      </c>
      <c r="H26" s="58" t="s">
        <v>77</v>
      </c>
      <c r="I26" s="57" t="s">
        <v>77</v>
      </c>
      <c r="J26" s="57" t="s">
        <v>77</v>
      </c>
      <c r="K26" s="57" t="s">
        <v>77</v>
      </c>
      <c r="L26" s="57" t="s">
        <v>77</v>
      </c>
      <c r="M26" s="57" t="s">
        <v>77</v>
      </c>
      <c r="N26" s="64"/>
      <c r="O26" s="64"/>
      <c r="P26" s="64"/>
      <c r="Q26" s="64"/>
      <c r="R26" s="64"/>
      <c r="S26" s="64"/>
      <c r="T26" s="64"/>
      <c r="U26" s="64"/>
      <c r="V26" s="64"/>
      <c r="W26" s="64"/>
      <c r="X26" s="64"/>
      <c r="Y26" s="64"/>
      <c r="Z26" s="64"/>
    </row>
    <row r="27" spans="1:26" ht="31.5" customHeight="1">
      <c r="A27" s="57">
        <v>21</v>
      </c>
      <c r="B27" s="58" t="s">
        <v>38</v>
      </c>
      <c r="C27" s="58" t="s">
        <v>218</v>
      </c>
      <c r="D27" s="58" t="s">
        <v>13</v>
      </c>
      <c r="E27" s="57" t="s">
        <v>1855</v>
      </c>
      <c r="F27" s="57" t="s">
        <v>77</v>
      </c>
      <c r="G27" s="57" t="s">
        <v>77</v>
      </c>
      <c r="H27" s="58" t="s">
        <v>77</v>
      </c>
      <c r="I27" s="57" t="s">
        <v>77</v>
      </c>
      <c r="J27" s="57" t="s">
        <v>77</v>
      </c>
      <c r="K27" s="57" t="s">
        <v>77</v>
      </c>
      <c r="L27" s="57" t="s">
        <v>77</v>
      </c>
      <c r="M27" s="57" t="s">
        <v>77</v>
      </c>
      <c r="N27" s="64"/>
      <c r="O27" s="64"/>
      <c r="P27" s="64"/>
      <c r="Q27" s="64"/>
      <c r="R27" s="64"/>
      <c r="S27" s="64"/>
      <c r="T27" s="64"/>
      <c r="U27" s="64"/>
      <c r="V27" s="64"/>
      <c r="W27" s="64"/>
      <c r="X27" s="64"/>
      <c r="Y27" s="64"/>
      <c r="Z27" s="64"/>
    </row>
    <row r="28" spans="1:26" ht="31.5" customHeight="1">
      <c r="A28" s="57">
        <v>22</v>
      </c>
      <c r="B28" s="58" t="s">
        <v>222</v>
      </c>
      <c r="C28" s="58" t="s">
        <v>223</v>
      </c>
      <c r="D28" s="58" t="s">
        <v>1241</v>
      </c>
      <c r="E28" s="57" t="s">
        <v>1855</v>
      </c>
      <c r="F28" s="57" t="s">
        <v>77</v>
      </c>
      <c r="G28" s="57" t="s">
        <v>77</v>
      </c>
      <c r="H28" s="58" t="s">
        <v>77</v>
      </c>
      <c r="I28" s="57" t="s">
        <v>77</v>
      </c>
      <c r="J28" s="57" t="s">
        <v>77</v>
      </c>
      <c r="K28" s="57" t="s">
        <v>77</v>
      </c>
      <c r="L28" s="57" t="s">
        <v>77</v>
      </c>
      <c r="M28" s="57" t="s">
        <v>77</v>
      </c>
      <c r="N28" s="64"/>
      <c r="O28" s="64"/>
      <c r="P28" s="64"/>
      <c r="Q28" s="64"/>
      <c r="R28" s="64"/>
      <c r="S28" s="64"/>
      <c r="T28" s="64"/>
      <c r="U28" s="64"/>
      <c r="V28" s="64"/>
      <c r="W28" s="64"/>
      <c r="X28" s="64"/>
      <c r="Y28" s="64"/>
      <c r="Z28" s="64"/>
    </row>
    <row r="29" spans="1:26" ht="31.5" customHeight="1">
      <c r="A29" s="57">
        <v>23</v>
      </c>
      <c r="B29" s="58" t="s">
        <v>226</v>
      </c>
      <c r="C29" s="58" t="s">
        <v>227</v>
      </c>
      <c r="D29" s="58" t="s">
        <v>13</v>
      </c>
      <c r="E29" s="57" t="s">
        <v>1855</v>
      </c>
      <c r="F29" s="57" t="s">
        <v>77</v>
      </c>
      <c r="G29" s="57" t="s">
        <v>77</v>
      </c>
      <c r="H29" s="58" t="s">
        <v>77</v>
      </c>
      <c r="I29" s="57" t="s">
        <v>77</v>
      </c>
      <c r="J29" s="57" t="s">
        <v>77</v>
      </c>
      <c r="K29" s="57" t="s">
        <v>77</v>
      </c>
      <c r="L29" s="57" t="s">
        <v>77</v>
      </c>
      <c r="M29" s="57" t="s">
        <v>77</v>
      </c>
      <c r="N29" s="64"/>
      <c r="O29" s="64"/>
      <c r="P29" s="64"/>
      <c r="Q29" s="64"/>
      <c r="R29" s="64"/>
      <c r="S29" s="64"/>
      <c r="T29" s="64"/>
      <c r="U29" s="64"/>
      <c r="V29" s="64"/>
      <c r="W29" s="64"/>
      <c r="X29" s="64"/>
      <c r="Y29" s="64"/>
      <c r="Z29" s="64"/>
    </row>
    <row r="30" spans="1:26" ht="31.5" customHeight="1">
      <c r="A30" s="57">
        <v>24</v>
      </c>
      <c r="B30" s="58" t="s">
        <v>40</v>
      </c>
      <c r="C30" s="58" t="s">
        <v>230</v>
      </c>
      <c r="D30" s="58" t="s">
        <v>13</v>
      </c>
      <c r="E30" s="57" t="s">
        <v>1855</v>
      </c>
      <c r="F30" s="57" t="s">
        <v>77</v>
      </c>
      <c r="G30" s="57" t="s">
        <v>77</v>
      </c>
      <c r="H30" s="58" t="s">
        <v>77</v>
      </c>
      <c r="I30" s="57" t="s">
        <v>77</v>
      </c>
      <c r="J30" s="57" t="s">
        <v>77</v>
      </c>
      <c r="K30" s="57" t="s">
        <v>77</v>
      </c>
      <c r="L30" s="57" t="s">
        <v>77</v>
      </c>
      <c r="M30" s="57" t="s">
        <v>77</v>
      </c>
      <c r="N30" s="64"/>
      <c r="O30" s="64"/>
      <c r="P30" s="64"/>
      <c r="Q30" s="64"/>
      <c r="R30" s="64"/>
      <c r="S30" s="64"/>
      <c r="T30" s="64"/>
      <c r="U30" s="64"/>
      <c r="V30" s="64"/>
      <c r="W30" s="64"/>
      <c r="X30" s="64"/>
      <c r="Y30" s="64"/>
      <c r="Z30" s="64"/>
    </row>
    <row r="31" spans="1:26" ht="31.5" customHeight="1">
      <c r="A31" s="57">
        <v>25</v>
      </c>
      <c r="B31" s="58" t="s">
        <v>42</v>
      </c>
      <c r="C31" s="58" t="s">
        <v>232</v>
      </c>
      <c r="D31" s="58" t="s">
        <v>13</v>
      </c>
      <c r="E31" s="57" t="s">
        <v>1855</v>
      </c>
      <c r="F31" s="57" t="s">
        <v>77</v>
      </c>
      <c r="G31" s="57" t="s">
        <v>77</v>
      </c>
      <c r="H31" s="58" t="s">
        <v>77</v>
      </c>
      <c r="I31" s="57" t="s">
        <v>77</v>
      </c>
      <c r="J31" s="57" t="s">
        <v>77</v>
      </c>
      <c r="K31" s="57" t="s">
        <v>77</v>
      </c>
      <c r="L31" s="57" t="s">
        <v>77</v>
      </c>
      <c r="M31" s="57" t="s">
        <v>77</v>
      </c>
      <c r="N31" s="64"/>
      <c r="O31" s="64"/>
      <c r="P31" s="64"/>
      <c r="Q31" s="64"/>
      <c r="R31" s="64"/>
      <c r="S31" s="64"/>
      <c r="T31" s="64"/>
      <c r="U31" s="64"/>
      <c r="V31" s="64"/>
      <c r="W31" s="64"/>
      <c r="X31" s="64"/>
      <c r="Y31" s="64"/>
      <c r="Z31" s="64"/>
    </row>
    <row r="32" spans="1:26" ht="31.5" customHeight="1">
      <c r="A32" s="57">
        <v>26</v>
      </c>
      <c r="B32" s="58" t="s">
        <v>44</v>
      </c>
      <c r="C32" s="58" t="s">
        <v>235</v>
      </c>
      <c r="D32" s="58" t="s">
        <v>13</v>
      </c>
      <c r="E32" s="57" t="s">
        <v>1855</v>
      </c>
      <c r="F32" s="57" t="s">
        <v>77</v>
      </c>
      <c r="G32" s="57" t="s">
        <v>77</v>
      </c>
      <c r="H32" s="58" t="s">
        <v>77</v>
      </c>
      <c r="I32" s="57" t="s">
        <v>77</v>
      </c>
      <c r="J32" s="57" t="s">
        <v>77</v>
      </c>
      <c r="K32" s="57" t="s">
        <v>77</v>
      </c>
      <c r="L32" s="57" t="s">
        <v>77</v>
      </c>
      <c r="M32" s="57" t="s">
        <v>77</v>
      </c>
      <c r="N32" s="64"/>
      <c r="O32" s="64"/>
      <c r="P32" s="64"/>
      <c r="Q32" s="64"/>
      <c r="R32" s="64"/>
      <c r="S32" s="64"/>
      <c r="T32" s="64"/>
      <c r="U32" s="64"/>
      <c r="V32" s="64"/>
      <c r="W32" s="64"/>
      <c r="X32" s="64"/>
      <c r="Y32" s="64"/>
      <c r="Z32" s="64"/>
    </row>
    <row r="33" spans="1:26" ht="31.5" customHeight="1">
      <c r="A33" s="57">
        <v>27</v>
      </c>
      <c r="B33" s="58" t="s">
        <v>48</v>
      </c>
      <c r="C33" s="58" t="s">
        <v>244</v>
      </c>
      <c r="D33" s="58" t="s">
        <v>13</v>
      </c>
      <c r="E33" s="57" t="s">
        <v>1855</v>
      </c>
      <c r="F33" s="57" t="s">
        <v>77</v>
      </c>
      <c r="G33" s="57" t="s">
        <v>77</v>
      </c>
      <c r="H33" s="58" t="s">
        <v>77</v>
      </c>
      <c r="I33" s="57" t="s">
        <v>77</v>
      </c>
      <c r="J33" s="57" t="s">
        <v>77</v>
      </c>
      <c r="K33" s="57" t="s">
        <v>77</v>
      </c>
      <c r="L33" s="57" t="s">
        <v>77</v>
      </c>
      <c r="M33" s="57" t="s">
        <v>77</v>
      </c>
      <c r="N33" s="64"/>
      <c r="O33" s="64"/>
      <c r="P33" s="64"/>
      <c r="Q33" s="64"/>
      <c r="R33" s="64"/>
      <c r="S33" s="64"/>
      <c r="T33" s="64"/>
      <c r="U33" s="64"/>
      <c r="V33" s="64"/>
      <c r="W33" s="64"/>
      <c r="X33" s="64"/>
      <c r="Y33" s="64"/>
      <c r="Z33" s="64"/>
    </row>
    <row r="34" spans="1:26" ht="31.5" customHeight="1">
      <c r="A34" s="57">
        <v>28</v>
      </c>
      <c r="B34" s="58" t="s">
        <v>46</v>
      </c>
      <c r="C34" s="68" t="s">
        <v>1812</v>
      </c>
      <c r="D34" s="58" t="s">
        <v>13</v>
      </c>
      <c r="E34" s="57" t="s">
        <v>1855</v>
      </c>
      <c r="F34" s="57" t="s">
        <v>1921</v>
      </c>
      <c r="G34" s="57">
        <v>1</v>
      </c>
      <c r="H34" s="58" t="s">
        <v>1922</v>
      </c>
      <c r="I34" s="59" t="s">
        <v>1923</v>
      </c>
      <c r="J34" s="57" t="s">
        <v>1924</v>
      </c>
      <c r="K34" s="57" t="s">
        <v>1857</v>
      </c>
      <c r="L34" s="57" t="s">
        <v>1925</v>
      </c>
      <c r="M34" s="57" t="s">
        <v>1926</v>
      </c>
      <c r="N34" s="64"/>
      <c r="O34" s="64"/>
      <c r="P34" s="64"/>
      <c r="Q34" s="64"/>
      <c r="R34" s="64"/>
      <c r="S34" s="64"/>
      <c r="T34" s="64"/>
      <c r="U34" s="64"/>
      <c r="V34" s="64"/>
      <c r="W34" s="64"/>
      <c r="X34" s="64"/>
      <c r="Y34" s="64"/>
      <c r="Z34" s="64"/>
    </row>
    <row r="35" spans="1:26" ht="31.5" customHeight="1">
      <c r="A35" s="57">
        <v>29</v>
      </c>
      <c r="B35" s="58" t="s">
        <v>50</v>
      </c>
      <c r="C35" s="58" t="s">
        <v>249</v>
      </c>
      <c r="D35" s="58" t="s">
        <v>13</v>
      </c>
      <c r="E35" s="57" t="s">
        <v>1855</v>
      </c>
      <c r="F35" s="57" t="s">
        <v>77</v>
      </c>
      <c r="G35" s="57" t="s">
        <v>77</v>
      </c>
      <c r="H35" s="58" t="s">
        <v>77</v>
      </c>
      <c r="I35" s="57" t="s">
        <v>77</v>
      </c>
      <c r="J35" s="57" t="s">
        <v>77</v>
      </c>
      <c r="K35" s="57" t="s">
        <v>77</v>
      </c>
      <c r="L35" s="57" t="s">
        <v>77</v>
      </c>
      <c r="M35" s="57" t="s">
        <v>77</v>
      </c>
      <c r="N35" s="64"/>
      <c r="O35" s="64"/>
      <c r="P35" s="64"/>
      <c r="Q35" s="64"/>
      <c r="R35" s="64"/>
      <c r="S35" s="64"/>
      <c r="T35" s="64"/>
      <c r="U35" s="64"/>
      <c r="V35" s="64"/>
      <c r="W35" s="64"/>
      <c r="X35" s="64"/>
      <c r="Y35" s="64"/>
      <c r="Z35" s="64"/>
    </row>
    <row r="36" spans="1:26" ht="31.5" customHeight="1">
      <c r="A36" s="57">
        <v>30</v>
      </c>
      <c r="B36" s="60" t="s">
        <v>52</v>
      </c>
      <c r="C36" s="63" t="s">
        <v>1813</v>
      </c>
      <c r="D36" s="57" t="s">
        <v>22</v>
      </c>
      <c r="E36" s="57" t="s">
        <v>1855</v>
      </c>
      <c r="F36" s="57" t="s">
        <v>1927</v>
      </c>
      <c r="G36" s="57">
        <v>1</v>
      </c>
      <c r="H36" s="58" t="s">
        <v>1928</v>
      </c>
      <c r="I36" s="57" t="s">
        <v>1929</v>
      </c>
      <c r="J36" s="57" t="s">
        <v>1930</v>
      </c>
      <c r="K36" s="57" t="s">
        <v>1855</v>
      </c>
      <c r="L36" s="57" t="s">
        <v>1931</v>
      </c>
      <c r="M36" s="57" t="s">
        <v>77</v>
      </c>
      <c r="N36" s="64"/>
      <c r="O36" s="64"/>
      <c r="P36" s="64"/>
      <c r="Q36" s="64"/>
      <c r="R36" s="64"/>
      <c r="S36" s="64"/>
      <c r="T36" s="64"/>
      <c r="U36" s="64"/>
      <c r="V36" s="64"/>
      <c r="W36" s="64"/>
      <c r="X36" s="64"/>
      <c r="Y36" s="64"/>
      <c r="Z36" s="64"/>
    </row>
    <row r="37" spans="1:26" ht="31.5" customHeight="1">
      <c r="A37" s="57">
        <v>31</v>
      </c>
      <c r="B37" s="60" t="s">
        <v>54</v>
      </c>
      <c r="C37" s="63" t="s">
        <v>1814</v>
      </c>
      <c r="D37" s="57" t="s">
        <v>13</v>
      </c>
      <c r="E37" s="57" t="s">
        <v>1855</v>
      </c>
      <c r="F37" s="57" t="s">
        <v>77</v>
      </c>
      <c r="G37" s="57"/>
      <c r="H37" s="57" t="s">
        <v>77</v>
      </c>
      <c r="I37" s="57" t="s">
        <v>77</v>
      </c>
      <c r="J37" s="57" t="s">
        <v>77</v>
      </c>
      <c r="K37" s="57" t="s">
        <v>77</v>
      </c>
      <c r="L37" s="57" t="s">
        <v>77</v>
      </c>
      <c r="M37" s="57" t="s">
        <v>77</v>
      </c>
      <c r="N37" s="64"/>
      <c r="O37" s="64"/>
      <c r="P37" s="64"/>
      <c r="Q37" s="64"/>
      <c r="R37" s="64"/>
      <c r="S37" s="64"/>
      <c r="T37" s="64"/>
      <c r="U37" s="64"/>
      <c r="V37" s="64"/>
      <c r="W37" s="64"/>
      <c r="X37" s="64"/>
      <c r="Y37" s="64"/>
      <c r="Z37" s="64"/>
    </row>
    <row r="38" spans="1:26" ht="31.5" customHeight="1">
      <c r="A38" s="57">
        <v>32</v>
      </c>
      <c r="B38" s="58" t="s">
        <v>259</v>
      </c>
      <c r="C38" s="58" t="s">
        <v>260</v>
      </c>
      <c r="D38" s="58" t="s">
        <v>13</v>
      </c>
      <c r="E38" s="57" t="s">
        <v>1855</v>
      </c>
      <c r="F38" s="57" t="s">
        <v>1910</v>
      </c>
      <c r="G38" s="57">
        <v>1</v>
      </c>
      <c r="H38" s="58" t="s">
        <v>1932</v>
      </c>
      <c r="I38" s="57" t="s">
        <v>1933</v>
      </c>
      <c r="J38" s="57" t="s">
        <v>1934</v>
      </c>
      <c r="K38" s="57" t="s">
        <v>1855</v>
      </c>
      <c r="L38" s="57" t="s">
        <v>1935</v>
      </c>
      <c r="M38" s="59" t="s">
        <v>77</v>
      </c>
      <c r="N38" s="64"/>
      <c r="O38" s="64"/>
      <c r="P38" s="64"/>
      <c r="Q38" s="64"/>
      <c r="R38" s="64"/>
      <c r="S38" s="64"/>
      <c r="T38" s="64"/>
      <c r="U38" s="64"/>
      <c r="V38" s="64"/>
      <c r="W38" s="64"/>
      <c r="X38" s="64"/>
      <c r="Y38" s="64"/>
      <c r="Z38" s="64"/>
    </row>
    <row r="39" spans="1:26" ht="31.5" customHeight="1">
      <c r="A39" s="57">
        <v>33</v>
      </c>
      <c r="B39" s="58" t="s">
        <v>268</v>
      </c>
      <c r="C39" s="58" t="s">
        <v>269</v>
      </c>
      <c r="D39" s="58" t="s">
        <v>13</v>
      </c>
      <c r="E39" s="57" t="s">
        <v>1855</v>
      </c>
      <c r="F39" s="57" t="s">
        <v>77</v>
      </c>
      <c r="G39" s="57" t="s">
        <v>77</v>
      </c>
      <c r="H39" s="58" t="s">
        <v>77</v>
      </c>
      <c r="I39" s="57" t="s">
        <v>77</v>
      </c>
      <c r="J39" s="57" t="s">
        <v>77</v>
      </c>
      <c r="K39" s="57" t="s">
        <v>77</v>
      </c>
      <c r="L39" s="57" t="s">
        <v>77</v>
      </c>
      <c r="M39" s="57" t="s">
        <v>77</v>
      </c>
      <c r="N39" s="64"/>
      <c r="O39" s="64"/>
      <c r="P39" s="64"/>
      <c r="Q39" s="64"/>
      <c r="R39" s="64"/>
      <c r="S39" s="64"/>
      <c r="T39" s="64"/>
      <c r="U39" s="64"/>
      <c r="V39" s="64"/>
      <c r="W39" s="64"/>
      <c r="X39" s="64"/>
      <c r="Y39" s="64"/>
      <c r="Z39" s="64"/>
    </row>
    <row r="40" spans="1:26" ht="31.5" customHeight="1">
      <c r="A40" s="57">
        <v>34</v>
      </c>
      <c r="B40" s="58" t="s">
        <v>279</v>
      </c>
      <c r="C40" s="58" t="s">
        <v>280</v>
      </c>
      <c r="D40" s="58" t="s">
        <v>13</v>
      </c>
      <c r="E40" s="57" t="s">
        <v>1855</v>
      </c>
      <c r="F40" s="57" t="s">
        <v>77</v>
      </c>
      <c r="G40" s="57" t="s">
        <v>77</v>
      </c>
      <c r="H40" s="58" t="s">
        <v>77</v>
      </c>
      <c r="I40" s="57" t="s">
        <v>77</v>
      </c>
      <c r="J40" s="57" t="s">
        <v>77</v>
      </c>
      <c r="K40" s="57" t="s">
        <v>77</v>
      </c>
      <c r="L40" s="57" t="s">
        <v>77</v>
      </c>
      <c r="M40" s="57" t="s">
        <v>77</v>
      </c>
      <c r="N40" s="64"/>
      <c r="O40" s="64"/>
      <c r="P40" s="64"/>
      <c r="Q40" s="64"/>
      <c r="R40" s="64"/>
      <c r="S40" s="64"/>
      <c r="T40" s="64"/>
      <c r="U40" s="64"/>
      <c r="V40" s="64"/>
      <c r="W40" s="64"/>
      <c r="X40" s="64"/>
      <c r="Y40" s="64"/>
      <c r="Z40" s="64"/>
    </row>
    <row r="41" spans="1:26" ht="31.5" customHeight="1">
      <c r="A41" s="57">
        <v>35</v>
      </c>
      <c r="B41" s="58" t="s">
        <v>286</v>
      </c>
      <c r="C41" s="58" t="s">
        <v>287</v>
      </c>
      <c r="D41" s="58" t="s">
        <v>288</v>
      </c>
      <c r="E41" s="57" t="s">
        <v>1855</v>
      </c>
      <c r="F41" s="57" t="s">
        <v>77</v>
      </c>
      <c r="G41" s="57" t="s">
        <v>77</v>
      </c>
      <c r="H41" s="58" t="s">
        <v>77</v>
      </c>
      <c r="I41" s="57" t="s">
        <v>77</v>
      </c>
      <c r="J41" s="57" t="s">
        <v>77</v>
      </c>
      <c r="K41" s="57" t="s">
        <v>77</v>
      </c>
      <c r="L41" s="57" t="s">
        <v>77</v>
      </c>
      <c r="M41" s="57" t="s">
        <v>77</v>
      </c>
      <c r="N41" s="64"/>
      <c r="O41" s="64"/>
      <c r="P41" s="64"/>
      <c r="Q41" s="64"/>
      <c r="R41" s="64"/>
      <c r="S41" s="64"/>
      <c r="T41" s="64"/>
      <c r="U41" s="64"/>
      <c r="V41" s="64"/>
      <c r="W41" s="64"/>
      <c r="X41" s="64"/>
      <c r="Y41" s="64"/>
      <c r="Z41" s="64"/>
    </row>
    <row r="42" spans="1:26" ht="31.5" customHeight="1">
      <c r="A42" s="57">
        <v>36</v>
      </c>
      <c r="B42" s="58" t="s">
        <v>299</v>
      </c>
      <c r="C42" s="58" t="s">
        <v>300</v>
      </c>
      <c r="D42" s="58" t="s">
        <v>301</v>
      </c>
      <c r="E42" s="57" t="s">
        <v>1855</v>
      </c>
      <c r="F42" s="57" t="s">
        <v>1936</v>
      </c>
      <c r="G42" s="57">
        <v>1</v>
      </c>
      <c r="H42" s="58" t="s">
        <v>1937</v>
      </c>
      <c r="I42" s="57" t="s">
        <v>1938</v>
      </c>
      <c r="J42" s="57" t="s">
        <v>1939</v>
      </c>
      <c r="K42" s="57" t="s">
        <v>1855</v>
      </c>
      <c r="L42" s="57" t="s">
        <v>1940</v>
      </c>
      <c r="M42" s="57" t="s">
        <v>77</v>
      </c>
      <c r="N42" s="64"/>
      <c r="O42" s="64"/>
      <c r="P42" s="64"/>
      <c r="Q42" s="64"/>
      <c r="R42" s="64"/>
      <c r="S42" s="64"/>
      <c r="T42" s="64"/>
      <c r="U42" s="64"/>
      <c r="V42" s="64"/>
      <c r="W42" s="64"/>
      <c r="X42" s="64"/>
      <c r="Y42" s="64"/>
      <c r="Z42" s="64"/>
    </row>
    <row r="43" spans="1:26" ht="31.5" customHeight="1">
      <c r="A43" s="57">
        <v>37</v>
      </c>
      <c r="B43" s="58" t="s">
        <v>328</v>
      </c>
      <c r="C43" s="58" t="s">
        <v>329</v>
      </c>
      <c r="D43" s="58" t="s">
        <v>13</v>
      </c>
      <c r="E43" s="57" t="s">
        <v>1855</v>
      </c>
      <c r="F43" s="57" t="s">
        <v>77</v>
      </c>
      <c r="G43" s="57" t="s">
        <v>77</v>
      </c>
      <c r="H43" s="58" t="s">
        <v>77</v>
      </c>
      <c r="I43" s="57" t="s">
        <v>77</v>
      </c>
      <c r="J43" s="57" t="s">
        <v>77</v>
      </c>
      <c r="K43" s="57" t="s">
        <v>77</v>
      </c>
      <c r="L43" s="57" t="s">
        <v>77</v>
      </c>
      <c r="M43" s="57" t="s">
        <v>77</v>
      </c>
      <c r="N43" s="64"/>
      <c r="O43" s="64"/>
      <c r="P43" s="64"/>
      <c r="Q43" s="64"/>
      <c r="R43" s="64"/>
      <c r="S43" s="64"/>
      <c r="T43" s="64"/>
      <c r="U43" s="64"/>
      <c r="V43" s="64"/>
      <c r="W43" s="64"/>
      <c r="X43" s="64"/>
      <c r="Y43" s="64"/>
      <c r="Z43" s="64"/>
    </row>
    <row r="44" spans="1:26" ht="31.5" customHeight="1">
      <c r="A44" s="57">
        <v>38</v>
      </c>
      <c r="B44" s="58" t="s">
        <v>982</v>
      </c>
      <c r="C44" s="58" t="s">
        <v>1820</v>
      </c>
      <c r="D44" s="58" t="s">
        <v>13</v>
      </c>
      <c r="E44" s="57" t="s">
        <v>1855</v>
      </c>
      <c r="F44" s="57"/>
      <c r="G44" s="57"/>
      <c r="H44" s="58"/>
      <c r="I44" s="57"/>
      <c r="J44" s="57"/>
      <c r="K44" s="57"/>
      <c r="L44" s="57"/>
      <c r="M44" s="57"/>
      <c r="N44" s="64"/>
      <c r="O44" s="64"/>
      <c r="P44" s="64"/>
      <c r="Q44" s="64"/>
      <c r="R44" s="64"/>
      <c r="S44" s="64"/>
      <c r="T44" s="64"/>
      <c r="U44" s="64"/>
      <c r="V44" s="64"/>
      <c r="W44" s="64"/>
      <c r="X44" s="64"/>
      <c r="Y44" s="64"/>
      <c r="Z44" s="64"/>
    </row>
    <row r="45" spans="1:26" ht="31.5" customHeight="1">
      <c r="A45" s="57">
        <v>39</v>
      </c>
      <c r="B45" s="58" t="s">
        <v>1002</v>
      </c>
      <c r="C45" s="58" t="s">
        <v>1822</v>
      </c>
      <c r="D45" s="58" t="s">
        <v>1291</v>
      </c>
      <c r="E45" s="57" t="s">
        <v>1855</v>
      </c>
      <c r="F45" s="57" t="s">
        <v>77</v>
      </c>
      <c r="G45" s="57" t="s">
        <v>77</v>
      </c>
      <c r="H45" s="58" t="s">
        <v>77</v>
      </c>
      <c r="I45" s="57" t="s">
        <v>77</v>
      </c>
      <c r="J45" s="57" t="s">
        <v>77</v>
      </c>
      <c r="K45" s="57" t="s">
        <v>77</v>
      </c>
      <c r="L45" s="57" t="s">
        <v>77</v>
      </c>
      <c r="M45" s="57" t="s">
        <v>77</v>
      </c>
      <c r="N45" s="64"/>
      <c r="O45" s="64"/>
      <c r="P45" s="64"/>
      <c r="Q45" s="64"/>
      <c r="R45" s="64"/>
      <c r="S45" s="64"/>
      <c r="T45" s="64"/>
      <c r="U45" s="64"/>
      <c r="V45" s="64"/>
      <c r="W45" s="64"/>
      <c r="X45" s="64"/>
      <c r="Y45" s="64"/>
      <c r="Z45" s="64"/>
    </row>
    <row r="46" spans="1:26" ht="31.5" customHeight="1">
      <c r="A46" s="57">
        <v>40</v>
      </c>
      <c r="B46" s="58" t="s">
        <v>1016</v>
      </c>
      <c r="C46" s="58" t="s">
        <v>1824</v>
      </c>
      <c r="D46" s="58" t="s">
        <v>1295</v>
      </c>
      <c r="E46" s="57" t="s">
        <v>1855</v>
      </c>
      <c r="F46" s="57" t="s">
        <v>77</v>
      </c>
      <c r="G46" s="57" t="s">
        <v>77</v>
      </c>
      <c r="H46" s="58" t="s">
        <v>77</v>
      </c>
      <c r="I46" s="57" t="s">
        <v>77</v>
      </c>
      <c r="J46" s="57" t="s">
        <v>77</v>
      </c>
      <c r="K46" s="57" t="s">
        <v>77</v>
      </c>
      <c r="L46" s="57" t="s">
        <v>77</v>
      </c>
      <c r="M46" s="57" t="s">
        <v>77</v>
      </c>
      <c r="N46" s="64"/>
      <c r="O46" s="64"/>
      <c r="P46" s="64"/>
      <c r="Q46" s="64"/>
      <c r="R46" s="64"/>
      <c r="S46" s="64"/>
      <c r="T46" s="64"/>
      <c r="U46" s="64"/>
      <c r="V46" s="64"/>
      <c r="W46" s="64"/>
      <c r="X46" s="64"/>
      <c r="Y46" s="64"/>
      <c r="Z46" s="64"/>
    </row>
    <row r="47" spans="1:26" ht="31.5" customHeight="1">
      <c r="A47" s="57">
        <v>41</v>
      </c>
      <c r="B47" s="58" t="s">
        <v>1023</v>
      </c>
      <c r="C47" s="58" t="s">
        <v>1825</v>
      </c>
      <c r="D47" s="58" t="s">
        <v>13</v>
      </c>
      <c r="E47" s="57" t="s">
        <v>1855</v>
      </c>
      <c r="F47" s="57" t="s">
        <v>77</v>
      </c>
      <c r="G47" s="57" t="s">
        <v>77</v>
      </c>
      <c r="H47" s="58" t="s">
        <v>77</v>
      </c>
      <c r="I47" s="57" t="s">
        <v>77</v>
      </c>
      <c r="J47" s="57" t="s">
        <v>77</v>
      </c>
      <c r="K47" s="57" t="s">
        <v>77</v>
      </c>
      <c r="L47" s="57" t="s">
        <v>77</v>
      </c>
      <c r="M47" s="57" t="s">
        <v>77</v>
      </c>
      <c r="N47" s="64"/>
      <c r="O47" s="64"/>
      <c r="P47" s="64"/>
      <c r="Q47" s="64"/>
      <c r="R47" s="64"/>
      <c r="S47" s="64"/>
      <c r="T47" s="64"/>
      <c r="U47" s="64"/>
      <c r="V47" s="64"/>
      <c r="W47" s="64"/>
      <c r="X47" s="64"/>
      <c r="Y47" s="64"/>
      <c r="Z47" s="64"/>
    </row>
    <row r="48" spans="1:26" ht="31.5" customHeight="1">
      <c r="A48" s="57">
        <v>42</v>
      </c>
      <c r="B48" s="58" t="s">
        <v>1036</v>
      </c>
      <c r="C48" s="58" t="s">
        <v>1826</v>
      </c>
      <c r="D48" s="58" t="s">
        <v>1301</v>
      </c>
      <c r="E48" s="57" t="s">
        <v>1855</v>
      </c>
      <c r="F48" s="57" t="s">
        <v>77</v>
      </c>
      <c r="G48" s="57" t="s">
        <v>77</v>
      </c>
      <c r="H48" s="58" t="s">
        <v>77</v>
      </c>
      <c r="I48" s="57" t="s">
        <v>77</v>
      </c>
      <c r="J48" s="57" t="s">
        <v>77</v>
      </c>
      <c r="K48" s="57" t="s">
        <v>77</v>
      </c>
      <c r="L48" s="57" t="s">
        <v>77</v>
      </c>
      <c r="M48" s="57" t="s">
        <v>77</v>
      </c>
      <c r="N48" s="64"/>
      <c r="O48" s="64"/>
      <c r="P48" s="64"/>
      <c r="Q48" s="64"/>
      <c r="R48" s="64"/>
      <c r="S48" s="64"/>
      <c r="T48" s="64"/>
      <c r="U48" s="64"/>
      <c r="V48" s="64"/>
      <c r="W48" s="64"/>
      <c r="X48" s="64"/>
      <c r="Y48" s="64"/>
      <c r="Z48" s="64"/>
    </row>
    <row r="49" spans="1:26" ht="31.5" customHeight="1">
      <c r="A49" s="57">
        <v>43</v>
      </c>
      <c r="B49" s="58" t="s">
        <v>1043</v>
      </c>
      <c r="C49" s="58" t="s">
        <v>1827</v>
      </c>
      <c r="D49" s="58" t="s">
        <v>1295</v>
      </c>
      <c r="E49" s="57" t="s">
        <v>1855</v>
      </c>
      <c r="F49" s="57" t="s">
        <v>77</v>
      </c>
      <c r="G49" s="57" t="s">
        <v>77</v>
      </c>
      <c r="H49" s="58" t="s">
        <v>77</v>
      </c>
      <c r="I49" s="57" t="s">
        <v>77</v>
      </c>
      <c r="J49" s="57" t="s">
        <v>77</v>
      </c>
      <c r="K49" s="57" t="s">
        <v>77</v>
      </c>
      <c r="L49" s="57" t="s">
        <v>77</v>
      </c>
      <c r="M49" s="57" t="s">
        <v>77</v>
      </c>
      <c r="N49" s="64"/>
      <c r="O49" s="64"/>
      <c r="P49" s="64"/>
      <c r="Q49" s="64"/>
      <c r="R49" s="64"/>
      <c r="S49" s="64"/>
      <c r="T49" s="64"/>
      <c r="U49" s="64"/>
      <c r="V49" s="64"/>
      <c r="W49" s="64"/>
      <c r="X49" s="64"/>
      <c r="Y49" s="64"/>
      <c r="Z49" s="64"/>
    </row>
    <row r="50" spans="1:26" ht="31.5" customHeight="1">
      <c r="A50" s="57">
        <v>44</v>
      </c>
      <c r="B50" s="58" t="s">
        <v>1050</v>
      </c>
      <c r="C50" s="58" t="s">
        <v>1828</v>
      </c>
      <c r="D50" s="58" t="s">
        <v>13</v>
      </c>
      <c r="E50" s="57" t="s">
        <v>1855</v>
      </c>
      <c r="F50" s="57" t="s">
        <v>77</v>
      </c>
      <c r="G50" s="57" t="s">
        <v>77</v>
      </c>
      <c r="H50" s="58" t="s">
        <v>77</v>
      </c>
      <c r="I50" s="57" t="s">
        <v>77</v>
      </c>
      <c r="J50" s="57" t="s">
        <v>77</v>
      </c>
      <c r="K50" s="57" t="s">
        <v>77</v>
      </c>
      <c r="L50" s="57" t="s">
        <v>77</v>
      </c>
      <c r="M50" s="57" t="s">
        <v>77</v>
      </c>
      <c r="N50" s="64"/>
      <c r="O50" s="64"/>
      <c r="P50" s="64"/>
      <c r="Q50" s="64"/>
      <c r="R50" s="64"/>
      <c r="S50" s="64"/>
      <c r="T50" s="64"/>
      <c r="U50" s="64"/>
      <c r="V50" s="64"/>
      <c r="W50" s="64"/>
      <c r="X50" s="64"/>
      <c r="Y50" s="64"/>
      <c r="Z50" s="64"/>
    </row>
    <row r="51" spans="1:26" ht="31.5" customHeight="1">
      <c r="A51" s="57">
        <v>45</v>
      </c>
      <c r="B51" s="58" t="s">
        <v>1059</v>
      </c>
      <c r="C51" s="58" t="s">
        <v>1829</v>
      </c>
      <c r="D51" s="58" t="s">
        <v>13</v>
      </c>
      <c r="E51" s="57" t="s">
        <v>1855</v>
      </c>
      <c r="F51" s="57" t="s">
        <v>77</v>
      </c>
      <c r="G51" s="57" t="s">
        <v>77</v>
      </c>
      <c r="H51" s="58" t="s">
        <v>77</v>
      </c>
      <c r="I51" s="57" t="s">
        <v>77</v>
      </c>
      <c r="J51" s="57" t="s">
        <v>77</v>
      </c>
      <c r="K51" s="57" t="s">
        <v>77</v>
      </c>
      <c r="L51" s="57" t="s">
        <v>77</v>
      </c>
      <c r="M51" s="57" t="s">
        <v>77</v>
      </c>
      <c r="N51" s="64"/>
      <c r="O51" s="64"/>
      <c r="P51" s="64"/>
      <c r="Q51" s="64"/>
      <c r="R51" s="64"/>
      <c r="S51" s="64"/>
      <c r="T51" s="64"/>
      <c r="U51" s="64"/>
      <c r="V51" s="64"/>
      <c r="W51" s="64"/>
      <c r="X51" s="64"/>
      <c r="Y51" s="64"/>
      <c r="Z51" s="64"/>
    </row>
    <row r="52" spans="1:26" ht="31.5" customHeight="1">
      <c r="A52" s="57">
        <v>46</v>
      </c>
      <c r="B52" s="58" t="s">
        <v>1085</v>
      </c>
      <c r="C52" s="58" t="s">
        <v>1830</v>
      </c>
      <c r="D52" s="58" t="s">
        <v>13</v>
      </c>
      <c r="E52" s="57" t="s">
        <v>1855</v>
      </c>
      <c r="F52" s="57" t="s">
        <v>77</v>
      </c>
      <c r="G52" s="57" t="s">
        <v>77</v>
      </c>
      <c r="H52" s="58" t="s">
        <v>77</v>
      </c>
      <c r="I52" s="57" t="s">
        <v>77</v>
      </c>
      <c r="J52" s="57" t="s">
        <v>77</v>
      </c>
      <c r="K52" s="57" t="s">
        <v>77</v>
      </c>
      <c r="L52" s="57" t="s">
        <v>77</v>
      </c>
      <c r="M52" s="57" t="s">
        <v>77</v>
      </c>
      <c r="N52" s="64"/>
      <c r="O52" s="64"/>
      <c r="P52" s="64"/>
      <c r="Q52" s="64"/>
      <c r="R52" s="64"/>
      <c r="S52" s="64"/>
      <c r="T52" s="64"/>
      <c r="U52" s="64"/>
      <c r="V52" s="64"/>
      <c r="W52" s="64"/>
      <c r="X52" s="64"/>
      <c r="Y52" s="64"/>
      <c r="Z52" s="64"/>
    </row>
    <row r="53" spans="1:26" ht="31.5" customHeight="1">
      <c r="A53" s="57">
        <v>47</v>
      </c>
      <c r="B53" s="58" t="s">
        <v>1094</v>
      </c>
      <c r="C53" s="58" t="s">
        <v>1831</v>
      </c>
      <c r="D53" s="58" t="s">
        <v>13</v>
      </c>
      <c r="E53" s="57" t="s">
        <v>1855</v>
      </c>
      <c r="F53" s="57" t="s">
        <v>77</v>
      </c>
      <c r="G53" s="57" t="s">
        <v>77</v>
      </c>
      <c r="H53" s="58" t="s">
        <v>77</v>
      </c>
      <c r="I53" s="57" t="s">
        <v>77</v>
      </c>
      <c r="J53" s="57" t="s">
        <v>77</v>
      </c>
      <c r="K53" s="57" t="s">
        <v>77</v>
      </c>
      <c r="L53" s="57" t="s">
        <v>77</v>
      </c>
      <c r="M53" s="57" t="s">
        <v>77</v>
      </c>
      <c r="N53" s="64"/>
      <c r="O53" s="64"/>
      <c r="P53" s="64"/>
      <c r="Q53" s="64"/>
      <c r="R53" s="64"/>
      <c r="S53" s="64"/>
      <c r="T53" s="64"/>
      <c r="U53" s="64"/>
      <c r="V53" s="64"/>
      <c r="W53" s="64"/>
      <c r="X53" s="64"/>
      <c r="Y53" s="64"/>
      <c r="Z53" s="64"/>
    </row>
    <row r="54" spans="1:26" ht="31.5" customHeight="1">
      <c r="A54" s="57">
        <v>48</v>
      </c>
      <c r="B54" s="58" t="s">
        <v>1105</v>
      </c>
      <c r="C54" s="58" t="s">
        <v>1832</v>
      </c>
      <c r="D54" s="58" t="s">
        <v>13</v>
      </c>
      <c r="E54" s="57" t="s">
        <v>1855</v>
      </c>
      <c r="F54" s="57" t="s">
        <v>77</v>
      </c>
      <c r="G54" s="57" t="s">
        <v>77</v>
      </c>
      <c r="H54" s="58" t="s">
        <v>77</v>
      </c>
      <c r="I54" s="57" t="s">
        <v>77</v>
      </c>
      <c r="J54" s="57" t="s">
        <v>77</v>
      </c>
      <c r="K54" s="57" t="s">
        <v>77</v>
      </c>
      <c r="L54" s="57" t="s">
        <v>77</v>
      </c>
      <c r="M54" s="57" t="s">
        <v>77</v>
      </c>
      <c r="N54" s="64"/>
      <c r="O54" s="64"/>
      <c r="P54" s="64"/>
      <c r="Q54" s="64"/>
      <c r="R54" s="64"/>
      <c r="S54" s="64"/>
      <c r="T54" s="64"/>
      <c r="U54" s="64"/>
      <c r="V54" s="64"/>
      <c r="W54" s="64"/>
      <c r="X54" s="64"/>
      <c r="Y54" s="64"/>
      <c r="Z54" s="64"/>
    </row>
    <row r="55" spans="1:26" ht="31.5" customHeight="1">
      <c r="A55" s="57">
        <v>49</v>
      </c>
      <c r="B55" s="58" t="s">
        <v>1116</v>
      </c>
      <c r="C55" s="58" t="s">
        <v>1834</v>
      </c>
      <c r="D55" s="58" t="s">
        <v>1301</v>
      </c>
      <c r="E55" s="57" t="s">
        <v>1855</v>
      </c>
      <c r="F55" s="57" t="s">
        <v>77</v>
      </c>
      <c r="G55" s="57" t="s">
        <v>77</v>
      </c>
      <c r="H55" s="58" t="s">
        <v>77</v>
      </c>
      <c r="I55" s="57" t="s">
        <v>77</v>
      </c>
      <c r="J55" s="57" t="s">
        <v>77</v>
      </c>
      <c r="K55" s="57" t="s">
        <v>77</v>
      </c>
      <c r="L55" s="57" t="s">
        <v>77</v>
      </c>
      <c r="M55" s="57" t="s">
        <v>77</v>
      </c>
      <c r="N55" s="64"/>
      <c r="O55" s="64"/>
      <c r="P55" s="64"/>
      <c r="Q55" s="64"/>
      <c r="R55" s="64"/>
      <c r="S55" s="64"/>
      <c r="T55" s="64"/>
      <c r="U55" s="64"/>
      <c r="V55" s="64"/>
      <c r="W55" s="64"/>
      <c r="X55" s="64"/>
      <c r="Y55" s="64"/>
      <c r="Z55" s="64"/>
    </row>
    <row r="56" spans="1:26" ht="31.5" customHeight="1">
      <c r="A56" s="57">
        <v>50</v>
      </c>
      <c r="B56" s="58" t="s">
        <v>1119</v>
      </c>
      <c r="C56" s="58" t="s">
        <v>1836</v>
      </c>
      <c r="D56" s="58" t="s">
        <v>1313</v>
      </c>
      <c r="E56" s="57" t="s">
        <v>1855</v>
      </c>
      <c r="F56" s="57" t="s">
        <v>77</v>
      </c>
      <c r="G56" s="57" t="s">
        <v>77</v>
      </c>
      <c r="H56" s="58" t="s">
        <v>77</v>
      </c>
      <c r="I56" s="57" t="s">
        <v>77</v>
      </c>
      <c r="J56" s="57" t="s">
        <v>77</v>
      </c>
      <c r="K56" s="57" t="s">
        <v>77</v>
      </c>
      <c r="L56" s="57" t="s">
        <v>77</v>
      </c>
      <c r="M56" s="57" t="s">
        <v>77</v>
      </c>
      <c r="N56" s="64"/>
      <c r="O56" s="64"/>
      <c r="P56" s="64"/>
      <c r="Q56" s="64"/>
      <c r="R56" s="64"/>
      <c r="S56" s="64"/>
      <c r="T56" s="64"/>
      <c r="U56" s="64"/>
      <c r="V56" s="64"/>
      <c r="W56" s="64"/>
      <c r="X56" s="64"/>
      <c r="Y56" s="64"/>
      <c r="Z56" s="64"/>
    </row>
    <row r="57" spans="1:26" ht="31.5" customHeight="1">
      <c r="A57" s="57">
        <v>51</v>
      </c>
      <c r="B57" s="58" t="s">
        <v>1124</v>
      </c>
      <c r="C57" s="58" t="s">
        <v>1837</v>
      </c>
      <c r="D57" s="58" t="s">
        <v>13</v>
      </c>
      <c r="E57" s="57" t="s">
        <v>1855</v>
      </c>
      <c r="F57" s="57" t="s">
        <v>77</v>
      </c>
      <c r="G57" s="57" t="s">
        <v>77</v>
      </c>
      <c r="H57" s="58" t="s">
        <v>77</v>
      </c>
      <c r="I57" s="57" t="s">
        <v>77</v>
      </c>
      <c r="J57" s="57" t="s">
        <v>77</v>
      </c>
      <c r="K57" s="57" t="s">
        <v>77</v>
      </c>
      <c r="L57" s="57" t="s">
        <v>77</v>
      </c>
      <c r="M57" s="57" t="s">
        <v>77</v>
      </c>
      <c r="N57" s="64"/>
      <c r="O57" s="64"/>
      <c r="P57" s="64"/>
      <c r="Q57" s="64"/>
      <c r="R57" s="64"/>
      <c r="S57" s="64"/>
      <c r="T57" s="64"/>
      <c r="U57" s="64"/>
      <c r="V57" s="64"/>
      <c r="W57" s="64"/>
      <c r="X57" s="64"/>
      <c r="Y57" s="64"/>
      <c r="Z57" s="64"/>
    </row>
    <row r="58" spans="1:26" ht="31.5" customHeight="1">
      <c r="A58" s="57">
        <v>52</v>
      </c>
      <c r="B58" s="58" t="s">
        <v>1132</v>
      </c>
      <c r="C58" s="58" t="s">
        <v>1838</v>
      </c>
      <c r="D58" s="58" t="s">
        <v>1291</v>
      </c>
      <c r="E58" s="57" t="s">
        <v>1855</v>
      </c>
      <c r="F58" s="57" t="s">
        <v>77</v>
      </c>
      <c r="G58" s="57" t="s">
        <v>77</v>
      </c>
      <c r="H58" s="58" t="s">
        <v>77</v>
      </c>
      <c r="I58" s="57" t="s">
        <v>77</v>
      </c>
      <c r="J58" s="57" t="s">
        <v>77</v>
      </c>
      <c r="K58" s="57" t="s">
        <v>77</v>
      </c>
      <c r="L58" s="57" t="s">
        <v>77</v>
      </c>
      <c r="M58" s="57" t="s">
        <v>77</v>
      </c>
      <c r="N58" s="64"/>
      <c r="O58" s="64"/>
      <c r="P58" s="64"/>
      <c r="Q58" s="64"/>
      <c r="R58" s="64"/>
      <c r="S58" s="64"/>
      <c r="T58" s="64"/>
      <c r="U58" s="64"/>
      <c r="V58" s="64"/>
      <c r="W58" s="64"/>
      <c r="X58" s="64"/>
      <c r="Y58" s="64"/>
      <c r="Z58" s="64"/>
    </row>
    <row r="59" spans="1:26" ht="31.5" customHeight="1">
      <c r="A59" s="57">
        <v>53</v>
      </c>
      <c r="B59" s="58" t="s">
        <v>337</v>
      </c>
      <c r="C59" s="58" t="s">
        <v>338</v>
      </c>
      <c r="D59" s="58" t="s">
        <v>130</v>
      </c>
      <c r="E59" s="57" t="s">
        <v>1855</v>
      </c>
      <c r="F59" s="57" t="s">
        <v>1936</v>
      </c>
      <c r="G59" s="57">
        <v>1</v>
      </c>
      <c r="H59" s="58" t="s">
        <v>1941</v>
      </c>
      <c r="I59" s="57" t="s">
        <v>1942</v>
      </c>
      <c r="J59" s="57" t="s">
        <v>1939</v>
      </c>
      <c r="K59" s="57" t="s">
        <v>1855</v>
      </c>
      <c r="L59" s="57" t="s">
        <v>1943</v>
      </c>
      <c r="M59" s="59" t="s">
        <v>77</v>
      </c>
      <c r="N59" s="64"/>
      <c r="O59" s="64"/>
      <c r="P59" s="64"/>
      <c r="Q59" s="64"/>
      <c r="R59" s="64"/>
      <c r="S59" s="64"/>
      <c r="T59" s="64"/>
      <c r="U59" s="64"/>
      <c r="V59" s="64"/>
      <c r="W59" s="64"/>
      <c r="X59" s="64"/>
      <c r="Y59" s="64"/>
      <c r="Z59" s="64"/>
    </row>
    <row r="60" spans="1:26" ht="31.5" customHeight="1">
      <c r="A60" s="57">
        <v>54</v>
      </c>
      <c r="B60" s="58" t="s">
        <v>339</v>
      </c>
      <c r="C60" s="58" t="s">
        <v>340</v>
      </c>
      <c r="D60" s="58" t="s">
        <v>341</v>
      </c>
      <c r="E60" s="57" t="s">
        <v>1855</v>
      </c>
      <c r="F60" s="57" t="s">
        <v>77</v>
      </c>
      <c r="G60" s="57" t="s">
        <v>77</v>
      </c>
      <c r="H60" s="58" t="s">
        <v>77</v>
      </c>
      <c r="I60" s="57" t="s">
        <v>77</v>
      </c>
      <c r="J60" s="57" t="s">
        <v>77</v>
      </c>
      <c r="K60" s="57" t="s">
        <v>77</v>
      </c>
      <c r="L60" s="57" t="s">
        <v>77</v>
      </c>
      <c r="M60" s="57" t="s">
        <v>77</v>
      </c>
      <c r="N60" s="64"/>
      <c r="O60" s="64"/>
      <c r="P60" s="64"/>
      <c r="Q60" s="64"/>
      <c r="R60" s="64"/>
      <c r="S60" s="64"/>
      <c r="T60" s="64"/>
      <c r="U60" s="64"/>
      <c r="V60" s="64"/>
      <c r="W60" s="64"/>
      <c r="X60" s="64"/>
      <c r="Y60" s="64"/>
      <c r="Z60" s="64"/>
    </row>
    <row r="61" spans="1:26" ht="31.5" customHeight="1">
      <c r="A61" s="57">
        <v>55</v>
      </c>
      <c r="B61" s="58" t="s">
        <v>342</v>
      </c>
      <c r="C61" s="58" t="s">
        <v>343</v>
      </c>
      <c r="D61" s="58" t="s">
        <v>341</v>
      </c>
      <c r="E61" s="57" t="s">
        <v>1855</v>
      </c>
      <c r="F61" s="57" t="s">
        <v>77</v>
      </c>
      <c r="G61" s="57" t="s">
        <v>77</v>
      </c>
      <c r="H61" s="58" t="s">
        <v>77</v>
      </c>
      <c r="I61" s="57" t="s">
        <v>77</v>
      </c>
      <c r="J61" s="57" t="s">
        <v>77</v>
      </c>
      <c r="K61" s="57" t="s">
        <v>77</v>
      </c>
      <c r="L61" s="57" t="s">
        <v>77</v>
      </c>
      <c r="M61" s="57" t="s">
        <v>77</v>
      </c>
      <c r="N61" s="64"/>
      <c r="O61" s="64"/>
      <c r="P61" s="64"/>
      <c r="Q61" s="64"/>
      <c r="R61" s="64"/>
      <c r="S61" s="64"/>
      <c r="T61" s="64"/>
      <c r="U61" s="64"/>
      <c r="V61" s="64"/>
      <c r="W61" s="64"/>
      <c r="X61" s="64"/>
      <c r="Y61" s="64"/>
      <c r="Z61" s="64"/>
    </row>
    <row r="62" spans="1:26" ht="31.5" customHeight="1">
      <c r="A62" s="57">
        <v>56</v>
      </c>
      <c r="B62" s="58" t="s">
        <v>344</v>
      </c>
      <c r="C62" s="58" t="s">
        <v>345</v>
      </c>
      <c r="D62" s="58" t="s">
        <v>346</v>
      </c>
      <c r="E62" s="57" t="s">
        <v>1855</v>
      </c>
      <c r="F62" s="57" t="s">
        <v>77</v>
      </c>
      <c r="G62" s="57" t="s">
        <v>77</v>
      </c>
      <c r="H62" s="58" t="s">
        <v>77</v>
      </c>
      <c r="I62" s="57" t="s">
        <v>77</v>
      </c>
      <c r="J62" s="57" t="s">
        <v>77</v>
      </c>
      <c r="K62" s="57" t="s">
        <v>77</v>
      </c>
      <c r="L62" s="57" t="s">
        <v>77</v>
      </c>
      <c r="M62" s="57" t="s">
        <v>77</v>
      </c>
      <c r="N62" s="64"/>
      <c r="O62" s="64"/>
      <c r="P62" s="64"/>
      <c r="Q62" s="64"/>
      <c r="R62" s="64"/>
      <c r="S62" s="64"/>
      <c r="T62" s="64"/>
      <c r="U62" s="64"/>
      <c r="V62" s="64"/>
      <c r="W62" s="64"/>
      <c r="X62" s="64"/>
      <c r="Y62" s="64"/>
      <c r="Z62" s="64"/>
    </row>
    <row r="63" spans="1:26" ht="31.5" customHeight="1">
      <c r="A63" s="57">
        <v>57</v>
      </c>
      <c r="B63" s="58" t="s">
        <v>347</v>
      </c>
      <c r="C63" s="58" t="s">
        <v>348</v>
      </c>
      <c r="D63" s="58" t="s">
        <v>349</v>
      </c>
      <c r="E63" s="57" t="s">
        <v>1855</v>
      </c>
      <c r="F63" s="57" t="s">
        <v>77</v>
      </c>
      <c r="G63" s="57" t="s">
        <v>77</v>
      </c>
      <c r="H63" s="58" t="s">
        <v>77</v>
      </c>
      <c r="I63" s="57" t="s">
        <v>77</v>
      </c>
      <c r="J63" s="57" t="s">
        <v>77</v>
      </c>
      <c r="K63" s="57" t="s">
        <v>77</v>
      </c>
      <c r="L63" s="57" t="s">
        <v>77</v>
      </c>
      <c r="M63" s="57" t="s">
        <v>77</v>
      </c>
      <c r="N63" s="64"/>
      <c r="O63" s="64"/>
      <c r="P63" s="64"/>
      <c r="Q63" s="64"/>
      <c r="R63" s="64"/>
      <c r="S63" s="64"/>
      <c r="T63" s="64"/>
      <c r="U63" s="64"/>
      <c r="V63" s="64"/>
      <c r="W63" s="64"/>
      <c r="X63" s="64"/>
      <c r="Y63" s="64"/>
      <c r="Z63" s="64"/>
    </row>
    <row r="64" spans="1:26" ht="31.5" customHeight="1">
      <c r="A64" s="57">
        <v>58</v>
      </c>
      <c r="B64" s="58" t="s">
        <v>350</v>
      </c>
      <c r="C64" s="58" t="s">
        <v>351</v>
      </c>
      <c r="D64" s="58" t="s">
        <v>349</v>
      </c>
      <c r="E64" s="57" t="s">
        <v>1855</v>
      </c>
      <c r="F64" s="57" t="s">
        <v>77</v>
      </c>
      <c r="G64" s="57" t="s">
        <v>77</v>
      </c>
      <c r="H64" s="58" t="s">
        <v>77</v>
      </c>
      <c r="I64" s="57" t="s">
        <v>77</v>
      </c>
      <c r="J64" s="57" t="s">
        <v>77</v>
      </c>
      <c r="K64" s="57" t="s">
        <v>77</v>
      </c>
      <c r="L64" s="57" t="s">
        <v>77</v>
      </c>
      <c r="M64" s="57" t="s">
        <v>77</v>
      </c>
      <c r="N64" s="64"/>
      <c r="O64" s="64"/>
      <c r="P64" s="64"/>
      <c r="Q64" s="64"/>
      <c r="R64" s="64"/>
      <c r="S64" s="64"/>
      <c r="T64" s="64"/>
      <c r="U64" s="64"/>
      <c r="V64" s="64"/>
      <c r="W64" s="64"/>
      <c r="X64" s="64"/>
      <c r="Y64" s="64"/>
      <c r="Z64" s="64"/>
    </row>
    <row r="65" spans="1:26" ht="31.5" customHeight="1">
      <c r="A65" s="57">
        <v>59</v>
      </c>
      <c r="B65" s="58" t="s">
        <v>352</v>
      </c>
      <c r="C65" s="58" t="s">
        <v>353</v>
      </c>
      <c r="D65" s="58" t="s">
        <v>346</v>
      </c>
      <c r="E65" s="57" t="s">
        <v>1857</v>
      </c>
      <c r="F65" s="57" t="s">
        <v>77</v>
      </c>
      <c r="G65" s="57" t="s">
        <v>77</v>
      </c>
      <c r="H65" s="58" t="s">
        <v>77</v>
      </c>
      <c r="I65" s="57" t="s">
        <v>77</v>
      </c>
      <c r="J65" s="57" t="s">
        <v>77</v>
      </c>
      <c r="K65" s="57" t="s">
        <v>77</v>
      </c>
      <c r="L65" s="57" t="s">
        <v>77</v>
      </c>
      <c r="M65" s="57" t="s">
        <v>77</v>
      </c>
      <c r="N65" s="64"/>
      <c r="O65" s="64"/>
      <c r="P65" s="64"/>
      <c r="Q65" s="64"/>
      <c r="R65" s="64"/>
      <c r="S65" s="64"/>
      <c r="T65" s="64"/>
      <c r="U65" s="64"/>
      <c r="V65" s="64"/>
      <c r="W65" s="64"/>
      <c r="X65" s="64"/>
      <c r="Y65" s="64"/>
      <c r="Z65" s="64"/>
    </row>
    <row r="66" spans="1:26" ht="31.5" customHeight="1">
      <c r="A66" s="57">
        <v>60</v>
      </c>
      <c r="B66" s="58" t="s">
        <v>354</v>
      </c>
      <c r="C66" s="58" t="s">
        <v>353</v>
      </c>
      <c r="D66" s="58" t="s">
        <v>346</v>
      </c>
      <c r="E66" s="57" t="s">
        <v>1857</v>
      </c>
      <c r="F66" s="57" t="s">
        <v>77</v>
      </c>
      <c r="G66" s="57" t="s">
        <v>77</v>
      </c>
      <c r="H66" s="58" t="s">
        <v>77</v>
      </c>
      <c r="I66" s="57" t="s">
        <v>77</v>
      </c>
      <c r="J66" s="57" t="s">
        <v>77</v>
      </c>
      <c r="K66" s="57" t="s">
        <v>77</v>
      </c>
      <c r="L66" s="57" t="s">
        <v>77</v>
      </c>
      <c r="M66" s="57" t="s">
        <v>77</v>
      </c>
      <c r="N66" s="64"/>
      <c r="O66" s="64"/>
      <c r="P66" s="64"/>
      <c r="Q66" s="64"/>
      <c r="R66" s="64"/>
      <c r="S66" s="64"/>
      <c r="T66" s="64"/>
      <c r="U66" s="64"/>
      <c r="V66" s="64"/>
      <c r="W66" s="64"/>
      <c r="X66" s="64"/>
      <c r="Y66" s="64"/>
      <c r="Z66" s="64"/>
    </row>
    <row r="67" spans="1:26" ht="31.5" customHeight="1">
      <c r="A67" s="57">
        <v>61</v>
      </c>
      <c r="B67" s="58" t="s">
        <v>1842</v>
      </c>
      <c r="C67" s="58" t="s">
        <v>353</v>
      </c>
      <c r="D67" s="58" t="s">
        <v>349</v>
      </c>
      <c r="E67" s="57" t="s">
        <v>1857</v>
      </c>
      <c r="F67" s="57" t="s">
        <v>77</v>
      </c>
      <c r="G67" s="57" t="s">
        <v>77</v>
      </c>
      <c r="H67" s="58" t="s">
        <v>77</v>
      </c>
      <c r="I67" s="57" t="s">
        <v>77</v>
      </c>
      <c r="J67" s="57" t="s">
        <v>77</v>
      </c>
      <c r="K67" s="57" t="s">
        <v>77</v>
      </c>
      <c r="L67" s="57" t="s">
        <v>77</v>
      </c>
      <c r="M67" s="57" t="s">
        <v>77</v>
      </c>
      <c r="N67" s="64"/>
      <c r="O67" s="64"/>
      <c r="P67" s="64"/>
      <c r="Q67" s="64"/>
      <c r="R67" s="64"/>
      <c r="S67" s="64"/>
      <c r="T67" s="64"/>
      <c r="U67" s="64"/>
      <c r="V67" s="64"/>
      <c r="W67" s="64"/>
      <c r="X67" s="64"/>
      <c r="Y67" s="64"/>
      <c r="Z67" s="64"/>
    </row>
    <row r="68" spans="1:26" ht="40.5" customHeight="1">
      <c r="A68" s="57">
        <v>62</v>
      </c>
      <c r="B68" s="69" t="s">
        <v>56</v>
      </c>
      <c r="C68" s="69" t="s">
        <v>1844</v>
      </c>
      <c r="D68" s="58" t="s">
        <v>13</v>
      </c>
      <c r="E68" s="57" t="s">
        <v>1855</v>
      </c>
      <c r="F68" s="57" t="s">
        <v>1910</v>
      </c>
      <c r="G68" s="61">
        <v>1</v>
      </c>
      <c r="H68" s="62" t="s">
        <v>1944</v>
      </c>
      <c r="I68" s="61" t="s">
        <v>1945</v>
      </c>
      <c r="J68" s="57" t="s">
        <v>1946</v>
      </c>
      <c r="K68" s="61" t="s">
        <v>1855</v>
      </c>
      <c r="L68" s="57" t="s">
        <v>1947</v>
      </c>
      <c r="M68" s="61" t="s">
        <v>77</v>
      </c>
      <c r="N68" s="70"/>
      <c r="O68" s="70"/>
      <c r="P68" s="70"/>
      <c r="Q68" s="70"/>
      <c r="R68" s="70"/>
      <c r="S68" s="70"/>
      <c r="T68" s="70"/>
      <c r="U68" s="70"/>
      <c r="V68" s="70"/>
      <c r="W68" s="70"/>
      <c r="X68" s="70"/>
      <c r="Y68" s="70"/>
      <c r="Z68" s="70"/>
    </row>
    <row r="69" spans="1:26" ht="15.75" customHeight="1">
      <c r="A69" s="71"/>
      <c r="B69" s="70"/>
      <c r="C69" s="70"/>
      <c r="D69" s="70"/>
      <c r="E69" s="70"/>
      <c r="F69" s="72"/>
      <c r="G69" s="73"/>
      <c r="H69" s="70"/>
      <c r="I69" s="73"/>
      <c r="J69" s="73"/>
      <c r="K69" s="73"/>
      <c r="L69" s="73"/>
      <c r="M69" s="73"/>
      <c r="N69" s="70"/>
      <c r="O69" s="70"/>
      <c r="P69" s="70"/>
      <c r="Q69" s="70"/>
      <c r="R69" s="70"/>
      <c r="S69" s="70"/>
      <c r="T69" s="70"/>
      <c r="U69" s="70"/>
      <c r="V69" s="70"/>
      <c r="W69" s="70"/>
      <c r="X69" s="70"/>
      <c r="Y69" s="70"/>
      <c r="Z69" s="70"/>
    </row>
    <row r="70" spans="1:26" ht="15.75" customHeight="1">
      <c r="A70" s="71"/>
      <c r="B70" s="70"/>
      <c r="C70" s="70"/>
      <c r="D70" s="70"/>
      <c r="E70" s="70"/>
      <c r="F70" s="72"/>
      <c r="G70" s="73"/>
      <c r="H70" s="70"/>
      <c r="I70" s="73"/>
      <c r="J70" s="73"/>
      <c r="K70" s="73"/>
      <c r="L70" s="73"/>
      <c r="M70" s="73"/>
      <c r="N70" s="70"/>
      <c r="O70" s="70"/>
      <c r="P70" s="70"/>
      <c r="Q70" s="70"/>
      <c r="R70" s="70"/>
      <c r="S70" s="70"/>
      <c r="T70" s="70"/>
      <c r="U70" s="70"/>
      <c r="V70" s="70"/>
      <c r="W70" s="70"/>
      <c r="X70" s="70"/>
      <c r="Y70" s="70"/>
      <c r="Z70" s="70"/>
    </row>
    <row r="71" spans="1:26" ht="15.75" customHeight="1">
      <c r="A71" s="71"/>
      <c r="B71" s="70"/>
      <c r="C71" s="70"/>
      <c r="D71" s="70"/>
      <c r="E71" s="70"/>
      <c r="F71" s="72"/>
      <c r="G71" s="73"/>
      <c r="H71" s="70"/>
      <c r="I71" s="73"/>
      <c r="J71" s="73"/>
      <c r="K71" s="73"/>
      <c r="L71" s="73"/>
      <c r="M71" s="73"/>
      <c r="N71" s="70"/>
      <c r="O71" s="70"/>
      <c r="P71" s="70"/>
      <c r="Q71" s="70"/>
      <c r="R71" s="70"/>
      <c r="S71" s="70"/>
      <c r="T71" s="70"/>
      <c r="U71" s="70"/>
      <c r="V71" s="70"/>
      <c r="W71" s="70"/>
      <c r="X71" s="70"/>
      <c r="Y71" s="70"/>
      <c r="Z71" s="70"/>
    </row>
    <row r="72" spans="1:26" ht="15.75" customHeight="1">
      <c r="A72" s="71"/>
      <c r="B72" s="70"/>
      <c r="C72" s="70"/>
      <c r="D72" s="70"/>
      <c r="E72" s="70"/>
      <c r="F72" s="72"/>
      <c r="G72" s="73"/>
      <c r="H72" s="70"/>
      <c r="I72" s="73"/>
      <c r="J72" s="73"/>
      <c r="K72" s="73"/>
      <c r="L72" s="73"/>
      <c r="M72" s="73"/>
      <c r="N72" s="70"/>
      <c r="O72" s="70"/>
      <c r="P72" s="70"/>
      <c r="Q72" s="70"/>
      <c r="R72" s="70"/>
      <c r="S72" s="70"/>
      <c r="T72" s="70"/>
      <c r="U72" s="70"/>
      <c r="V72" s="70"/>
      <c r="W72" s="70"/>
      <c r="X72" s="70"/>
      <c r="Y72" s="70"/>
      <c r="Z72" s="70"/>
    </row>
    <row r="73" spans="1:26" ht="15.75" customHeight="1">
      <c r="A73" s="71"/>
      <c r="B73" s="70"/>
      <c r="C73" s="70"/>
      <c r="D73" s="70"/>
      <c r="E73" s="70"/>
      <c r="F73" s="72"/>
      <c r="G73" s="73"/>
      <c r="H73" s="70"/>
      <c r="I73" s="73"/>
      <c r="J73" s="73"/>
      <c r="K73" s="73"/>
      <c r="L73" s="73"/>
      <c r="M73" s="73"/>
      <c r="N73" s="70"/>
      <c r="O73" s="70"/>
      <c r="P73" s="70"/>
      <c r="Q73" s="70"/>
      <c r="R73" s="70"/>
      <c r="S73" s="70"/>
      <c r="T73" s="70"/>
      <c r="U73" s="70"/>
      <c r="V73" s="70"/>
      <c r="W73" s="70"/>
      <c r="X73" s="70"/>
      <c r="Y73" s="70"/>
      <c r="Z73" s="70"/>
    </row>
    <row r="74" spans="1:26" ht="15.75" customHeight="1">
      <c r="A74" s="71"/>
      <c r="B74" s="70"/>
      <c r="C74" s="70"/>
      <c r="D74" s="70"/>
      <c r="E74" s="70"/>
      <c r="F74" s="72"/>
      <c r="G74" s="73"/>
      <c r="H74" s="70"/>
      <c r="I74" s="73"/>
      <c r="J74" s="73"/>
      <c r="K74" s="73"/>
      <c r="L74" s="73"/>
      <c r="M74" s="73"/>
      <c r="N74" s="70"/>
      <c r="O74" s="70"/>
      <c r="P74" s="70"/>
      <c r="Q74" s="70"/>
      <c r="R74" s="70"/>
      <c r="S74" s="70"/>
      <c r="T74" s="70"/>
      <c r="U74" s="70"/>
      <c r="V74" s="70"/>
      <c r="W74" s="70"/>
      <c r="X74" s="70"/>
      <c r="Y74" s="70"/>
      <c r="Z74" s="70"/>
    </row>
    <row r="75" spans="1:26" ht="15.75" customHeight="1">
      <c r="A75" s="71"/>
      <c r="B75" s="70"/>
      <c r="C75" s="70"/>
      <c r="D75" s="70"/>
      <c r="E75" s="70"/>
      <c r="F75" s="72"/>
      <c r="G75" s="73"/>
      <c r="H75" s="70"/>
      <c r="I75" s="73"/>
      <c r="J75" s="73"/>
      <c r="K75" s="73"/>
      <c r="L75" s="73"/>
      <c r="M75" s="73"/>
      <c r="N75" s="70"/>
      <c r="O75" s="70"/>
      <c r="P75" s="70"/>
      <c r="Q75" s="70"/>
      <c r="R75" s="70"/>
      <c r="S75" s="70"/>
      <c r="T75" s="70"/>
      <c r="U75" s="70"/>
      <c r="V75" s="70"/>
      <c r="W75" s="70"/>
      <c r="X75" s="70"/>
      <c r="Y75" s="70"/>
      <c r="Z75" s="70"/>
    </row>
    <row r="76" spans="1:26" ht="15.75" customHeight="1">
      <c r="A76" s="71"/>
      <c r="B76" s="70"/>
      <c r="C76" s="70"/>
      <c r="D76" s="70"/>
      <c r="E76" s="70"/>
      <c r="F76" s="72"/>
      <c r="G76" s="73"/>
      <c r="H76" s="70"/>
      <c r="I76" s="73"/>
      <c r="J76" s="73"/>
      <c r="K76" s="73"/>
      <c r="L76" s="73"/>
      <c r="M76" s="73"/>
      <c r="N76" s="70"/>
      <c r="O76" s="70"/>
      <c r="P76" s="70"/>
      <c r="Q76" s="70"/>
      <c r="R76" s="70"/>
      <c r="S76" s="70"/>
      <c r="T76" s="70"/>
      <c r="U76" s="70"/>
      <c r="V76" s="70"/>
      <c r="W76" s="70"/>
      <c r="X76" s="70"/>
      <c r="Y76" s="70"/>
      <c r="Z76" s="70"/>
    </row>
    <row r="77" spans="1:26" ht="15.75" customHeight="1">
      <c r="A77" s="71"/>
      <c r="B77" s="70"/>
      <c r="C77" s="70"/>
      <c r="D77" s="70"/>
      <c r="E77" s="70"/>
      <c r="F77" s="72"/>
      <c r="G77" s="73"/>
      <c r="H77" s="70"/>
      <c r="I77" s="73"/>
      <c r="J77" s="73"/>
      <c r="K77" s="73"/>
      <c r="L77" s="73"/>
      <c r="M77" s="73"/>
      <c r="N77" s="70"/>
      <c r="O77" s="70"/>
      <c r="P77" s="70"/>
      <c r="Q77" s="70"/>
      <c r="R77" s="70"/>
      <c r="S77" s="70"/>
      <c r="T77" s="70"/>
      <c r="U77" s="70"/>
      <c r="V77" s="70"/>
      <c r="W77" s="70"/>
      <c r="X77" s="70"/>
      <c r="Y77" s="70"/>
      <c r="Z77" s="70"/>
    </row>
    <row r="78" spans="1:26" ht="15.75" customHeight="1">
      <c r="A78" s="71"/>
      <c r="B78" s="70"/>
      <c r="C78" s="70"/>
      <c r="D78" s="70"/>
      <c r="E78" s="70"/>
      <c r="F78" s="72"/>
      <c r="G78" s="73"/>
      <c r="H78" s="70"/>
      <c r="I78" s="73"/>
      <c r="J78" s="73"/>
      <c r="K78" s="73"/>
      <c r="L78" s="73"/>
      <c r="M78" s="73"/>
      <c r="N78" s="70"/>
      <c r="O78" s="70"/>
      <c r="P78" s="70"/>
      <c r="Q78" s="70"/>
      <c r="R78" s="70"/>
      <c r="S78" s="70"/>
      <c r="T78" s="70"/>
      <c r="U78" s="70"/>
      <c r="V78" s="70"/>
      <c r="W78" s="70"/>
      <c r="X78" s="70"/>
      <c r="Y78" s="70"/>
      <c r="Z78" s="70"/>
    </row>
    <row r="79" spans="1:26" ht="15.75" customHeight="1">
      <c r="A79" s="71"/>
      <c r="B79" s="70"/>
      <c r="C79" s="70"/>
      <c r="D79" s="70"/>
      <c r="E79" s="70"/>
      <c r="F79" s="72"/>
      <c r="G79" s="73"/>
      <c r="H79" s="70"/>
      <c r="I79" s="73"/>
      <c r="J79" s="73"/>
      <c r="K79" s="73"/>
      <c r="L79" s="73"/>
      <c r="M79" s="73"/>
      <c r="N79" s="70"/>
      <c r="O79" s="70"/>
      <c r="P79" s="70"/>
      <c r="Q79" s="70"/>
      <c r="R79" s="70"/>
      <c r="S79" s="70"/>
      <c r="T79" s="70"/>
      <c r="U79" s="70"/>
      <c r="V79" s="70"/>
      <c r="W79" s="70"/>
      <c r="X79" s="70"/>
      <c r="Y79" s="70"/>
      <c r="Z79" s="70"/>
    </row>
    <row r="80" spans="1:26" ht="15.75" customHeight="1">
      <c r="A80" s="71"/>
      <c r="B80" s="70"/>
      <c r="C80" s="70"/>
      <c r="D80" s="70"/>
      <c r="E80" s="70"/>
      <c r="F80" s="72"/>
      <c r="G80" s="73"/>
      <c r="H80" s="70"/>
      <c r="I80" s="73"/>
      <c r="J80" s="73"/>
      <c r="K80" s="73"/>
      <c r="L80" s="73"/>
      <c r="M80" s="73"/>
      <c r="N80" s="70"/>
      <c r="O80" s="70"/>
      <c r="P80" s="70"/>
      <c r="Q80" s="70"/>
      <c r="R80" s="70"/>
      <c r="S80" s="70"/>
      <c r="T80" s="70"/>
      <c r="U80" s="70"/>
      <c r="V80" s="70"/>
      <c r="W80" s="70"/>
      <c r="X80" s="70"/>
      <c r="Y80" s="70"/>
      <c r="Z80" s="70"/>
    </row>
    <row r="81" spans="1:26" ht="15.75" customHeight="1">
      <c r="A81" s="71"/>
      <c r="B81" s="70"/>
      <c r="C81" s="70"/>
      <c r="D81" s="70"/>
      <c r="E81" s="70"/>
      <c r="F81" s="72"/>
      <c r="G81" s="73"/>
      <c r="H81" s="70"/>
      <c r="I81" s="73"/>
      <c r="J81" s="73"/>
      <c r="K81" s="73"/>
      <c r="L81" s="73"/>
      <c r="M81" s="73"/>
      <c r="N81" s="70"/>
      <c r="O81" s="70"/>
      <c r="P81" s="70"/>
      <c r="Q81" s="70"/>
      <c r="R81" s="70"/>
      <c r="S81" s="70"/>
      <c r="T81" s="70"/>
      <c r="U81" s="70"/>
      <c r="V81" s="70"/>
      <c r="W81" s="70"/>
      <c r="X81" s="70"/>
      <c r="Y81" s="70"/>
      <c r="Z81" s="70"/>
    </row>
    <row r="82" spans="1:26" ht="15.75" customHeight="1">
      <c r="A82" s="71"/>
      <c r="B82" s="70"/>
      <c r="C82" s="70"/>
      <c r="D82" s="70"/>
      <c r="E82" s="70"/>
      <c r="F82" s="72"/>
      <c r="G82" s="73"/>
      <c r="H82" s="70"/>
      <c r="I82" s="73"/>
      <c r="J82" s="73"/>
      <c r="K82" s="73"/>
      <c r="L82" s="73"/>
      <c r="M82" s="73"/>
      <c r="N82" s="70"/>
      <c r="O82" s="70"/>
      <c r="P82" s="70"/>
      <c r="Q82" s="70"/>
      <c r="R82" s="70"/>
      <c r="S82" s="70"/>
      <c r="T82" s="70"/>
      <c r="U82" s="70"/>
      <c r="V82" s="70"/>
      <c r="W82" s="70"/>
      <c r="X82" s="70"/>
      <c r="Y82" s="70"/>
      <c r="Z82" s="70"/>
    </row>
    <row r="83" spans="1:26" ht="15.75" customHeight="1">
      <c r="A83" s="71"/>
      <c r="B83" s="70"/>
      <c r="C83" s="70"/>
      <c r="D83" s="70"/>
      <c r="E83" s="70"/>
      <c r="F83" s="72"/>
      <c r="G83" s="73"/>
      <c r="H83" s="70"/>
      <c r="I83" s="73"/>
      <c r="J83" s="73"/>
      <c r="K83" s="73"/>
      <c r="L83" s="73"/>
      <c r="M83" s="73"/>
      <c r="N83" s="70"/>
      <c r="O83" s="70"/>
      <c r="P83" s="70"/>
      <c r="Q83" s="70"/>
      <c r="R83" s="70"/>
      <c r="S83" s="70"/>
      <c r="T83" s="70"/>
      <c r="U83" s="70"/>
      <c r="V83" s="70"/>
      <c r="W83" s="70"/>
      <c r="X83" s="70"/>
      <c r="Y83" s="70"/>
      <c r="Z83" s="70"/>
    </row>
    <row r="84" spans="1:26" ht="15.75" customHeight="1">
      <c r="A84" s="71"/>
      <c r="B84" s="70"/>
      <c r="C84" s="70"/>
      <c r="D84" s="70"/>
      <c r="E84" s="70"/>
      <c r="F84" s="72"/>
      <c r="G84" s="73"/>
      <c r="H84" s="70"/>
      <c r="I84" s="73"/>
      <c r="J84" s="73"/>
      <c r="K84" s="73"/>
      <c r="L84" s="73"/>
      <c r="M84" s="73"/>
      <c r="N84" s="70"/>
      <c r="O84" s="70"/>
      <c r="P84" s="70"/>
      <c r="Q84" s="70"/>
      <c r="R84" s="70"/>
      <c r="S84" s="70"/>
      <c r="T84" s="70"/>
      <c r="U84" s="70"/>
      <c r="V84" s="70"/>
      <c r="W84" s="70"/>
      <c r="X84" s="70"/>
      <c r="Y84" s="70"/>
      <c r="Z84" s="70"/>
    </row>
    <row r="85" spans="1:26" ht="15.75" customHeight="1">
      <c r="A85" s="71"/>
      <c r="B85" s="70"/>
      <c r="C85" s="70"/>
      <c r="D85" s="70"/>
      <c r="E85" s="70"/>
      <c r="F85" s="72"/>
      <c r="G85" s="73"/>
      <c r="H85" s="70"/>
      <c r="I85" s="73"/>
      <c r="J85" s="73"/>
      <c r="K85" s="73"/>
      <c r="L85" s="73"/>
      <c r="M85" s="73"/>
      <c r="N85" s="70"/>
      <c r="O85" s="70"/>
      <c r="P85" s="70"/>
      <c r="Q85" s="70"/>
      <c r="R85" s="70"/>
      <c r="S85" s="70"/>
      <c r="T85" s="70"/>
      <c r="U85" s="70"/>
      <c r="V85" s="70"/>
      <c r="W85" s="70"/>
      <c r="X85" s="70"/>
      <c r="Y85" s="70"/>
      <c r="Z85" s="70"/>
    </row>
    <row r="86" spans="1:26" ht="15.75" customHeight="1">
      <c r="A86" s="71"/>
      <c r="B86" s="70"/>
      <c r="C86" s="70"/>
      <c r="D86" s="70"/>
      <c r="E86" s="70"/>
      <c r="F86" s="72"/>
      <c r="G86" s="73"/>
      <c r="H86" s="70"/>
      <c r="I86" s="73"/>
      <c r="J86" s="73"/>
      <c r="K86" s="73"/>
      <c r="L86" s="73"/>
      <c r="M86" s="73"/>
      <c r="N86" s="70"/>
      <c r="O86" s="70"/>
      <c r="P86" s="70"/>
      <c r="Q86" s="70"/>
      <c r="R86" s="70"/>
      <c r="S86" s="70"/>
      <c r="T86" s="70"/>
      <c r="U86" s="70"/>
      <c r="V86" s="70"/>
      <c r="W86" s="70"/>
      <c r="X86" s="70"/>
      <c r="Y86" s="70"/>
      <c r="Z86" s="70"/>
    </row>
    <row r="87" spans="1:26" ht="15.75" customHeight="1">
      <c r="A87" s="71"/>
      <c r="B87" s="70"/>
      <c r="C87" s="70"/>
      <c r="D87" s="70"/>
      <c r="E87" s="70"/>
      <c r="F87" s="72"/>
      <c r="G87" s="73"/>
      <c r="H87" s="70"/>
      <c r="I87" s="73"/>
      <c r="J87" s="73"/>
      <c r="K87" s="73"/>
      <c r="L87" s="73"/>
      <c r="M87" s="73"/>
      <c r="N87" s="70"/>
      <c r="O87" s="70"/>
      <c r="P87" s="70"/>
      <c r="Q87" s="70"/>
      <c r="R87" s="70"/>
      <c r="S87" s="70"/>
      <c r="T87" s="70"/>
      <c r="U87" s="70"/>
      <c r="V87" s="70"/>
      <c r="W87" s="70"/>
      <c r="X87" s="70"/>
      <c r="Y87" s="70"/>
      <c r="Z87" s="70"/>
    </row>
    <row r="88" spans="1:26" ht="15.75" customHeight="1">
      <c r="A88" s="71"/>
      <c r="B88" s="70"/>
      <c r="C88" s="70"/>
      <c r="D88" s="70"/>
      <c r="E88" s="70"/>
      <c r="F88" s="72"/>
      <c r="G88" s="73"/>
      <c r="H88" s="70"/>
      <c r="I88" s="73"/>
      <c r="J88" s="73"/>
      <c r="K88" s="73"/>
      <c r="L88" s="73"/>
      <c r="M88" s="73"/>
      <c r="N88" s="70"/>
      <c r="O88" s="70"/>
      <c r="P88" s="70"/>
      <c r="Q88" s="70"/>
      <c r="R88" s="70"/>
      <c r="S88" s="70"/>
      <c r="T88" s="70"/>
      <c r="U88" s="70"/>
      <c r="V88" s="70"/>
      <c r="W88" s="70"/>
      <c r="X88" s="70"/>
      <c r="Y88" s="70"/>
      <c r="Z88" s="70"/>
    </row>
    <row r="89" spans="1:26" ht="15.75" customHeight="1">
      <c r="A89" s="71"/>
      <c r="B89" s="70"/>
      <c r="C89" s="70"/>
      <c r="D89" s="70"/>
      <c r="E89" s="70"/>
      <c r="F89" s="72"/>
      <c r="G89" s="73"/>
      <c r="H89" s="70"/>
      <c r="I89" s="73"/>
      <c r="J89" s="73"/>
      <c r="K89" s="73"/>
      <c r="L89" s="73"/>
      <c r="M89" s="73"/>
      <c r="N89" s="70"/>
      <c r="O89" s="70"/>
      <c r="P89" s="70"/>
      <c r="Q89" s="70"/>
      <c r="R89" s="70"/>
      <c r="S89" s="70"/>
      <c r="T89" s="70"/>
      <c r="U89" s="70"/>
      <c r="V89" s="70"/>
      <c r="W89" s="70"/>
      <c r="X89" s="70"/>
      <c r="Y89" s="70"/>
      <c r="Z89" s="70"/>
    </row>
    <row r="90" spans="1:26" ht="15.75" customHeight="1">
      <c r="A90" s="71"/>
      <c r="B90" s="70"/>
      <c r="C90" s="70"/>
      <c r="D90" s="70"/>
      <c r="E90" s="70"/>
      <c r="F90" s="72"/>
      <c r="G90" s="73"/>
      <c r="H90" s="70"/>
      <c r="I90" s="73"/>
      <c r="J90" s="73"/>
      <c r="K90" s="73"/>
      <c r="L90" s="73"/>
      <c r="M90" s="73"/>
      <c r="N90" s="70"/>
      <c r="O90" s="70"/>
      <c r="P90" s="70"/>
      <c r="Q90" s="70"/>
      <c r="R90" s="70"/>
      <c r="S90" s="70"/>
      <c r="T90" s="70"/>
      <c r="U90" s="70"/>
      <c r="V90" s="70"/>
      <c r="W90" s="70"/>
      <c r="X90" s="70"/>
      <c r="Y90" s="70"/>
      <c r="Z90" s="70"/>
    </row>
    <row r="91" spans="1:26" ht="15.75" customHeight="1">
      <c r="A91" s="71"/>
      <c r="B91" s="70"/>
      <c r="C91" s="70"/>
      <c r="D91" s="70"/>
      <c r="E91" s="70"/>
      <c r="F91" s="72"/>
      <c r="G91" s="73"/>
      <c r="H91" s="70"/>
      <c r="I91" s="73"/>
      <c r="J91" s="73"/>
      <c r="K91" s="73"/>
      <c r="L91" s="73"/>
      <c r="M91" s="73"/>
      <c r="N91" s="70"/>
      <c r="O91" s="70"/>
      <c r="P91" s="70"/>
      <c r="Q91" s="70"/>
      <c r="R91" s="70"/>
      <c r="S91" s="70"/>
      <c r="T91" s="70"/>
      <c r="U91" s="70"/>
      <c r="V91" s="70"/>
      <c r="W91" s="70"/>
      <c r="X91" s="70"/>
      <c r="Y91" s="70"/>
      <c r="Z91" s="70"/>
    </row>
    <row r="92" spans="1:26" ht="15.75" customHeight="1">
      <c r="A92" s="71"/>
      <c r="B92" s="70"/>
      <c r="C92" s="70"/>
      <c r="D92" s="70"/>
      <c r="E92" s="70"/>
      <c r="F92" s="72"/>
      <c r="G92" s="73"/>
      <c r="H92" s="70"/>
      <c r="I92" s="73"/>
      <c r="J92" s="73"/>
      <c r="K92" s="73"/>
      <c r="L92" s="73"/>
      <c r="M92" s="73"/>
      <c r="N92" s="70"/>
      <c r="O92" s="70"/>
      <c r="P92" s="70"/>
      <c r="Q92" s="70"/>
      <c r="R92" s="70"/>
      <c r="S92" s="70"/>
      <c r="T92" s="70"/>
      <c r="U92" s="70"/>
      <c r="V92" s="70"/>
      <c r="W92" s="70"/>
      <c r="X92" s="70"/>
      <c r="Y92" s="70"/>
      <c r="Z92" s="70"/>
    </row>
    <row r="93" spans="1:26" ht="15.75" customHeight="1">
      <c r="A93" s="71"/>
      <c r="B93" s="70"/>
      <c r="C93" s="70"/>
      <c r="D93" s="70"/>
      <c r="E93" s="70"/>
      <c r="F93" s="72"/>
      <c r="G93" s="73"/>
      <c r="H93" s="70"/>
      <c r="I93" s="73"/>
      <c r="J93" s="73"/>
      <c r="K93" s="73"/>
      <c r="L93" s="73"/>
      <c r="M93" s="73"/>
      <c r="N93" s="70"/>
      <c r="O93" s="70"/>
      <c r="P93" s="70"/>
      <c r="Q93" s="70"/>
      <c r="R93" s="70"/>
      <c r="S93" s="70"/>
      <c r="T93" s="70"/>
      <c r="U93" s="70"/>
      <c r="V93" s="70"/>
      <c r="W93" s="70"/>
      <c r="X93" s="70"/>
      <c r="Y93" s="70"/>
      <c r="Z93" s="70"/>
    </row>
    <row r="94" spans="1:26" ht="15.75" customHeight="1">
      <c r="A94" s="71"/>
      <c r="B94" s="70"/>
      <c r="C94" s="70"/>
      <c r="D94" s="70"/>
      <c r="E94" s="70"/>
      <c r="F94" s="72"/>
      <c r="G94" s="73"/>
      <c r="H94" s="70"/>
      <c r="I94" s="73"/>
      <c r="J94" s="73"/>
      <c r="K94" s="73"/>
      <c r="L94" s="73"/>
      <c r="M94" s="73"/>
      <c r="N94" s="70"/>
      <c r="O94" s="70"/>
      <c r="P94" s="70"/>
      <c r="Q94" s="70"/>
      <c r="R94" s="70"/>
      <c r="S94" s="70"/>
      <c r="T94" s="70"/>
      <c r="U94" s="70"/>
      <c r="V94" s="70"/>
      <c r="W94" s="70"/>
      <c r="X94" s="70"/>
      <c r="Y94" s="70"/>
      <c r="Z94" s="70"/>
    </row>
    <row r="95" spans="1:26" ht="15.75" customHeight="1">
      <c r="A95" s="71"/>
      <c r="B95" s="70"/>
      <c r="C95" s="70"/>
      <c r="D95" s="70"/>
      <c r="E95" s="70"/>
      <c r="F95" s="72"/>
      <c r="G95" s="73"/>
      <c r="H95" s="70"/>
      <c r="I95" s="73"/>
      <c r="J95" s="73"/>
      <c r="K95" s="73"/>
      <c r="L95" s="73"/>
      <c r="M95" s="73"/>
      <c r="N95" s="70"/>
      <c r="O95" s="70"/>
      <c r="P95" s="70"/>
      <c r="Q95" s="70"/>
      <c r="R95" s="70"/>
      <c r="S95" s="70"/>
      <c r="T95" s="70"/>
      <c r="U95" s="70"/>
      <c r="V95" s="70"/>
      <c r="W95" s="70"/>
      <c r="X95" s="70"/>
      <c r="Y95" s="70"/>
      <c r="Z95" s="70"/>
    </row>
    <row r="96" spans="1:26" ht="15.75" customHeight="1">
      <c r="A96" s="71"/>
      <c r="B96" s="70"/>
      <c r="C96" s="70"/>
      <c r="D96" s="70"/>
      <c r="E96" s="70"/>
      <c r="F96" s="72"/>
      <c r="G96" s="73"/>
      <c r="H96" s="70"/>
      <c r="I96" s="73"/>
      <c r="J96" s="73"/>
      <c r="K96" s="73"/>
      <c r="L96" s="73"/>
      <c r="M96" s="73"/>
      <c r="N96" s="70"/>
      <c r="O96" s="70"/>
      <c r="P96" s="70"/>
      <c r="Q96" s="70"/>
      <c r="R96" s="70"/>
      <c r="S96" s="70"/>
      <c r="T96" s="70"/>
      <c r="U96" s="70"/>
      <c r="V96" s="70"/>
      <c r="W96" s="70"/>
      <c r="X96" s="70"/>
      <c r="Y96" s="70"/>
      <c r="Z96" s="70"/>
    </row>
    <row r="97" spans="1:26" ht="15.75" customHeight="1">
      <c r="A97" s="71"/>
      <c r="B97" s="70"/>
      <c r="C97" s="70"/>
      <c r="D97" s="70"/>
      <c r="E97" s="70"/>
      <c r="F97" s="72"/>
      <c r="G97" s="73"/>
      <c r="H97" s="70"/>
      <c r="I97" s="73"/>
      <c r="J97" s="73"/>
      <c r="K97" s="73"/>
      <c r="L97" s="73"/>
      <c r="M97" s="73"/>
      <c r="N97" s="70"/>
      <c r="O97" s="70"/>
      <c r="P97" s="70"/>
      <c r="Q97" s="70"/>
      <c r="R97" s="70"/>
      <c r="S97" s="70"/>
      <c r="T97" s="70"/>
      <c r="U97" s="70"/>
      <c r="V97" s="70"/>
      <c r="W97" s="70"/>
      <c r="X97" s="70"/>
      <c r="Y97" s="70"/>
      <c r="Z97" s="70"/>
    </row>
    <row r="98" spans="1:26" ht="15.75" customHeight="1">
      <c r="A98" s="71"/>
      <c r="B98" s="70"/>
      <c r="C98" s="70"/>
      <c r="D98" s="70"/>
      <c r="E98" s="70"/>
      <c r="F98" s="72"/>
      <c r="G98" s="73"/>
      <c r="H98" s="70"/>
      <c r="I98" s="73"/>
      <c r="J98" s="73"/>
      <c r="K98" s="73"/>
      <c r="L98" s="73"/>
      <c r="M98" s="73"/>
      <c r="N98" s="70"/>
      <c r="O98" s="70"/>
      <c r="P98" s="70"/>
      <c r="Q98" s="70"/>
      <c r="R98" s="70"/>
      <c r="S98" s="70"/>
      <c r="T98" s="70"/>
      <c r="U98" s="70"/>
      <c r="V98" s="70"/>
      <c r="W98" s="70"/>
      <c r="X98" s="70"/>
      <c r="Y98" s="70"/>
      <c r="Z98" s="70"/>
    </row>
    <row r="99" spans="1:26" ht="15.75" customHeight="1">
      <c r="A99" s="71"/>
      <c r="B99" s="70"/>
      <c r="C99" s="70"/>
      <c r="D99" s="70"/>
      <c r="E99" s="70"/>
      <c r="F99" s="72"/>
      <c r="G99" s="73"/>
      <c r="H99" s="70"/>
      <c r="I99" s="73"/>
      <c r="J99" s="73"/>
      <c r="K99" s="73"/>
      <c r="L99" s="73"/>
      <c r="M99" s="73"/>
      <c r="N99" s="70"/>
      <c r="O99" s="70"/>
      <c r="P99" s="70"/>
      <c r="Q99" s="70"/>
      <c r="R99" s="70"/>
      <c r="S99" s="70"/>
      <c r="T99" s="70"/>
      <c r="U99" s="70"/>
      <c r="V99" s="70"/>
      <c r="W99" s="70"/>
      <c r="X99" s="70"/>
      <c r="Y99" s="70"/>
      <c r="Z99" s="70"/>
    </row>
    <row r="100" spans="1:26" ht="15.75" customHeight="1">
      <c r="A100" s="71"/>
      <c r="B100" s="70"/>
      <c r="C100" s="70"/>
      <c r="D100" s="70"/>
      <c r="E100" s="70"/>
      <c r="F100" s="72"/>
      <c r="G100" s="73"/>
      <c r="H100" s="70"/>
      <c r="I100" s="73"/>
      <c r="J100" s="73"/>
      <c r="K100" s="73"/>
      <c r="L100" s="73"/>
      <c r="M100" s="73"/>
      <c r="N100" s="70"/>
      <c r="O100" s="70"/>
      <c r="P100" s="70"/>
      <c r="Q100" s="70"/>
      <c r="R100" s="70"/>
      <c r="S100" s="70"/>
      <c r="T100" s="70"/>
      <c r="U100" s="70"/>
      <c r="V100" s="70"/>
      <c r="W100" s="70"/>
      <c r="X100" s="70"/>
      <c r="Y100" s="70"/>
      <c r="Z100" s="70"/>
    </row>
    <row r="101" spans="1:26" ht="15.75" customHeight="1">
      <c r="A101" s="71"/>
      <c r="B101" s="70"/>
      <c r="C101" s="70"/>
      <c r="D101" s="70"/>
      <c r="E101" s="70"/>
      <c r="F101" s="72"/>
      <c r="G101" s="73"/>
      <c r="H101" s="70"/>
      <c r="I101" s="73"/>
      <c r="J101" s="73"/>
      <c r="K101" s="73"/>
      <c r="L101" s="73"/>
      <c r="M101" s="73"/>
      <c r="N101" s="70"/>
      <c r="O101" s="70"/>
      <c r="P101" s="70"/>
      <c r="Q101" s="70"/>
      <c r="R101" s="70"/>
      <c r="S101" s="70"/>
      <c r="T101" s="70"/>
      <c r="U101" s="70"/>
      <c r="V101" s="70"/>
      <c r="W101" s="70"/>
      <c r="X101" s="70"/>
      <c r="Y101" s="70"/>
      <c r="Z101" s="70"/>
    </row>
    <row r="102" spans="1:26" ht="15.75" customHeight="1">
      <c r="A102" s="71"/>
      <c r="B102" s="70"/>
      <c r="C102" s="70"/>
      <c r="D102" s="70"/>
      <c r="E102" s="70"/>
      <c r="F102" s="72"/>
      <c r="G102" s="73"/>
      <c r="H102" s="70"/>
      <c r="I102" s="73"/>
      <c r="J102" s="73"/>
      <c r="K102" s="73"/>
      <c r="L102" s="73"/>
      <c r="M102" s="73"/>
      <c r="N102" s="70"/>
      <c r="O102" s="70"/>
      <c r="P102" s="70"/>
      <c r="Q102" s="70"/>
      <c r="R102" s="70"/>
      <c r="S102" s="70"/>
      <c r="T102" s="70"/>
      <c r="U102" s="70"/>
      <c r="V102" s="70"/>
      <c r="W102" s="70"/>
      <c r="X102" s="70"/>
      <c r="Y102" s="70"/>
      <c r="Z102" s="70"/>
    </row>
    <row r="103" spans="1:26" ht="15.75" customHeight="1">
      <c r="A103" s="71"/>
      <c r="B103" s="70"/>
      <c r="C103" s="70"/>
      <c r="D103" s="70"/>
      <c r="E103" s="70"/>
      <c r="F103" s="72"/>
      <c r="G103" s="73"/>
      <c r="H103" s="70"/>
      <c r="I103" s="73"/>
      <c r="J103" s="73"/>
      <c r="K103" s="73"/>
      <c r="L103" s="73"/>
      <c r="M103" s="73"/>
      <c r="N103" s="70"/>
      <c r="O103" s="70"/>
      <c r="P103" s="70"/>
      <c r="Q103" s="70"/>
      <c r="R103" s="70"/>
      <c r="S103" s="70"/>
      <c r="T103" s="70"/>
      <c r="U103" s="70"/>
      <c r="V103" s="70"/>
      <c r="W103" s="70"/>
      <c r="X103" s="70"/>
      <c r="Y103" s="70"/>
      <c r="Z103" s="70"/>
    </row>
    <row r="104" spans="1:26" ht="15.75" customHeight="1">
      <c r="A104" s="71"/>
      <c r="B104" s="70"/>
      <c r="C104" s="70"/>
      <c r="D104" s="70"/>
      <c r="E104" s="70"/>
      <c r="F104" s="72"/>
      <c r="G104" s="73"/>
      <c r="H104" s="70"/>
      <c r="I104" s="73"/>
      <c r="J104" s="73"/>
      <c r="K104" s="73"/>
      <c r="L104" s="73"/>
      <c r="M104" s="73"/>
      <c r="N104" s="70"/>
      <c r="O104" s="70"/>
      <c r="P104" s="70"/>
      <c r="Q104" s="70"/>
      <c r="R104" s="70"/>
      <c r="S104" s="70"/>
      <c r="T104" s="70"/>
      <c r="U104" s="70"/>
      <c r="V104" s="70"/>
      <c r="W104" s="70"/>
      <c r="X104" s="70"/>
      <c r="Y104" s="70"/>
      <c r="Z104" s="70"/>
    </row>
    <row r="105" spans="1:26" ht="15.75" customHeight="1">
      <c r="A105" s="71"/>
      <c r="B105" s="70"/>
      <c r="C105" s="70"/>
      <c r="D105" s="70"/>
      <c r="E105" s="70"/>
      <c r="F105" s="72"/>
      <c r="G105" s="73"/>
      <c r="H105" s="70"/>
      <c r="I105" s="73"/>
      <c r="J105" s="73"/>
      <c r="K105" s="73"/>
      <c r="L105" s="73"/>
      <c r="M105" s="73"/>
      <c r="N105" s="70"/>
      <c r="O105" s="70"/>
      <c r="P105" s="70"/>
      <c r="Q105" s="70"/>
      <c r="R105" s="70"/>
      <c r="S105" s="70"/>
      <c r="T105" s="70"/>
      <c r="U105" s="70"/>
      <c r="V105" s="70"/>
      <c r="W105" s="70"/>
      <c r="X105" s="70"/>
      <c r="Y105" s="70"/>
      <c r="Z105" s="70"/>
    </row>
    <row r="106" spans="1:26" ht="15.75" customHeight="1">
      <c r="A106" s="71"/>
      <c r="B106" s="70"/>
      <c r="C106" s="70"/>
      <c r="D106" s="70"/>
      <c r="E106" s="70"/>
      <c r="F106" s="72"/>
      <c r="G106" s="73"/>
      <c r="H106" s="70"/>
      <c r="I106" s="73"/>
      <c r="J106" s="73"/>
      <c r="K106" s="73"/>
      <c r="L106" s="73"/>
      <c r="M106" s="73"/>
      <c r="N106" s="70"/>
      <c r="O106" s="70"/>
      <c r="P106" s="70"/>
      <c r="Q106" s="70"/>
      <c r="R106" s="70"/>
      <c r="S106" s="70"/>
      <c r="T106" s="70"/>
      <c r="U106" s="70"/>
      <c r="V106" s="70"/>
      <c r="W106" s="70"/>
      <c r="X106" s="70"/>
      <c r="Y106" s="70"/>
      <c r="Z106" s="70"/>
    </row>
    <row r="107" spans="1:26" ht="15.75" customHeight="1">
      <c r="A107" s="71"/>
      <c r="B107" s="70"/>
      <c r="C107" s="70"/>
      <c r="D107" s="70"/>
      <c r="E107" s="70"/>
      <c r="F107" s="72"/>
      <c r="G107" s="73"/>
      <c r="H107" s="70"/>
      <c r="I107" s="73"/>
      <c r="J107" s="73"/>
      <c r="K107" s="73"/>
      <c r="L107" s="73"/>
      <c r="M107" s="73"/>
      <c r="N107" s="70"/>
      <c r="O107" s="70"/>
      <c r="P107" s="70"/>
      <c r="Q107" s="70"/>
      <c r="R107" s="70"/>
      <c r="S107" s="70"/>
      <c r="T107" s="70"/>
      <c r="U107" s="70"/>
      <c r="V107" s="70"/>
      <c r="W107" s="70"/>
      <c r="X107" s="70"/>
      <c r="Y107" s="70"/>
      <c r="Z107" s="70"/>
    </row>
    <row r="108" spans="1:26" ht="15.75" customHeight="1">
      <c r="A108" s="71"/>
      <c r="B108" s="70"/>
      <c r="C108" s="70"/>
      <c r="D108" s="70"/>
      <c r="E108" s="70"/>
      <c r="F108" s="72"/>
      <c r="G108" s="73"/>
      <c r="H108" s="70"/>
      <c r="I108" s="73"/>
      <c r="J108" s="73"/>
      <c r="K108" s="73"/>
      <c r="L108" s="73"/>
      <c r="M108" s="73"/>
      <c r="N108" s="70"/>
      <c r="O108" s="70"/>
      <c r="P108" s="70"/>
      <c r="Q108" s="70"/>
      <c r="R108" s="70"/>
      <c r="S108" s="70"/>
      <c r="T108" s="70"/>
      <c r="U108" s="70"/>
      <c r="V108" s="70"/>
      <c r="W108" s="70"/>
      <c r="X108" s="70"/>
      <c r="Y108" s="70"/>
      <c r="Z108" s="70"/>
    </row>
    <row r="109" spans="1:26" ht="15.75" customHeight="1">
      <c r="A109" s="71"/>
      <c r="B109" s="70"/>
      <c r="C109" s="70"/>
      <c r="D109" s="70"/>
      <c r="E109" s="70"/>
      <c r="F109" s="72"/>
      <c r="G109" s="73"/>
      <c r="H109" s="70"/>
      <c r="I109" s="73"/>
      <c r="J109" s="73"/>
      <c r="K109" s="73"/>
      <c r="L109" s="73"/>
      <c r="M109" s="73"/>
      <c r="N109" s="70"/>
      <c r="O109" s="70"/>
      <c r="P109" s="70"/>
      <c r="Q109" s="70"/>
      <c r="R109" s="70"/>
      <c r="S109" s="70"/>
      <c r="T109" s="70"/>
      <c r="U109" s="70"/>
      <c r="V109" s="70"/>
      <c r="W109" s="70"/>
      <c r="X109" s="70"/>
      <c r="Y109" s="70"/>
      <c r="Z109" s="70"/>
    </row>
    <row r="110" spans="1:26" ht="15.75" customHeight="1">
      <c r="A110" s="71"/>
      <c r="B110" s="70"/>
      <c r="C110" s="70"/>
      <c r="D110" s="70"/>
      <c r="E110" s="70"/>
      <c r="F110" s="72"/>
      <c r="G110" s="73"/>
      <c r="H110" s="70"/>
      <c r="I110" s="73"/>
      <c r="J110" s="73"/>
      <c r="K110" s="73"/>
      <c r="L110" s="73"/>
      <c r="M110" s="73"/>
      <c r="N110" s="70"/>
      <c r="O110" s="70"/>
      <c r="P110" s="70"/>
      <c r="Q110" s="70"/>
      <c r="R110" s="70"/>
      <c r="S110" s="70"/>
      <c r="T110" s="70"/>
      <c r="U110" s="70"/>
      <c r="V110" s="70"/>
      <c r="W110" s="70"/>
      <c r="X110" s="70"/>
      <c r="Y110" s="70"/>
      <c r="Z110" s="70"/>
    </row>
    <row r="111" spans="1:26" ht="15.75" customHeight="1">
      <c r="A111" s="71"/>
      <c r="B111" s="70"/>
      <c r="C111" s="70"/>
      <c r="D111" s="70"/>
      <c r="E111" s="70"/>
      <c r="F111" s="72"/>
      <c r="G111" s="73"/>
      <c r="H111" s="70"/>
      <c r="I111" s="73"/>
      <c r="J111" s="73"/>
      <c r="K111" s="73"/>
      <c r="L111" s="73"/>
      <c r="M111" s="73"/>
      <c r="N111" s="70"/>
      <c r="O111" s="70"/>
      <c r="P111" s="70"/>
      <c r="Q111" s="70"/>
      <c r="R111" s="70"/>
      <c r="S111" s="70"/>
      <c r="T111" s="70"/>
      <c r="U111" s="70"/>
      <c r="V111" s="70"/>
      <c r="W111" s="70"/>
      <c r="X111" s="70"/>
      <c r="Y111" s="70"/>
      <c r="Z111" s="70"/>
    </row>
    <row r="112" spans="1:26" ht="15.75" customHeight="1">
      <c r="A112" s="71"/>
      <c r="B112" s="70"/>
      <c r="C112" s="70"/>
      <c r="D112" s="70"/>
      <c r="E112" s="70"/>
      <c r="F112" s="72"/>
      <c r="G112" s="73"/>
      <c r="H112" s="70"/>
      <c r="I112" s="73"/>
      <c r="J112" s="73"/>
      <c r="K112" s="73"/>
      <c r="L112" s="73"/>
      <c r="M112" s="73"/>
      <c r="N112" s="70"/>
      <c r="O112" s="70"/>
      <c r="P112" s="70"/>
      <c r="Q112" s="70"/>
      <c r="R112" s="70"/>
      <c r="S112" s="70"/>
      <c r="T112" s="70"/>
      <c r="U112" s="70"/>
      <c r="V112" s="70"/>
      <c r="W112" s="70"/>
      <c r="X112" s="70"/>
      <c r="Y112" s="70"/>
      <c r="Z112" s="70"/>
    </row>
    <row r="113" spans="1:26" ht="15.75" customHeight="1">
      <c r="A113" s="71"/>
      <c r="B113" s="70"/>
      <c r="C113" s="70"/>
      <c r="D113" s="70"/>
      <c r="E113" s="70"/>
      <c r="F113" s="72"/>
      <c r="G113" s="73"/>
      <c r="H113" s="70"/>
      <c r="I113" s="73"/>
      <c r="J113" s="73"/>
      <c r="K113" s="73"/>
      <c r="L113" s="73"/>
      <c r="M113" s="73"/>
      <c r="N113" s="70"/>
      <c r="O113" s="70"/>
      <c r="P113" s="70"/>
      <c r="Q113" s="70"/>
      <c r="R113" s="70"/>
      <c r="S113" s="70"/>
      <c r="T113" s="70"/>
      <c r="U113" s="70"/>
      <c r="V113" s="70"/>
      <c r="W113" s="70"/>
      <c r="X113" s="70"/>
      <c r="Y113" s="70"/>
      <c r="Z113" s="70"/>
    </row>
    <row r="114" spans="1:26" ht="15.75" customHeight="1">
      <c r="A114" s="71"/>
      <c r="B114" s="70"/>
      <c r="C114" s="70"/>
      <c r="D114" s="70"/>
      <c r="E114" s="70"/>
      <c r="F114" s="72"/>
      <c r="G114" s="73"/>
      <c r="H114" s="70"/>
      <c r="I114" s="73"/>
      <c r="J114" s="73"/>
      <c r="K114" s="73"/>
      <c r="L114" s="73"/>
      <c r="M114" s="73"/>
      <c r="N114" s="70"/>
      <c r="O114" s="70"/>
      <c r="P114" s="70"/>
      <c r="Q114" s="70"/>
      <c r="R114" s="70"/>
      <c r="S114" s="70"/>
      <c r="T114" s="70"/>
      <c r="U114" s="70"/>
      <c r="V114" s="70"/>
      <c r="W114" s="70"/>
      <c r="X114" s="70"/>
      <c r="Y114" s="70"/>
      <c r="Z114" s="70"/>
    </row>
    <row r="115" spans="1:26" ht="15.75" customHeight="1">
      <c r="A115" s="71"/>
      <c r="B115" s="70"/>
      <c r="C115" s="70"/>
      <c r="D115" s="70"/>
      <c r="E115" s="70"/>
      <c r="F115" s="72"/>
      <c r="G115" s="73"/>
      <c r="H115" s="70"/>
      <c r="I115" s="73"/>
      <c r="J115" s="73"/>
      <c r="K115" s="73"/>
      <c r="L115" s="73"/>
      <c r="M115" s="73"/>
      <c r="N115" s="70"/>
      <c r="O115" s="70"/>
      <c r="P115" s="70"/>
      <c r="Q115" s="70"/>
      <c r="R115" s="70"/>
      <c r="S115" s="70"/>
      <c r="T115" s="70"/>
      <c r="U115" s="70"/>
      <c r="V115" s="70"/>
      <c r="W115" s="70"/>
      <c r="X115" s="70"/>
      <c r="Y115" s="70"/>
      <c r="Z115" s="70"/>
    </row>
    <row r="116" spans="1:26" ht="15.75" customHeight="1">
      <c r="A116" s="71"/>
      <c r="B116" s="70"/>
      <c r="C116" s="70"/>
      <c r="D116" s="70"/>
      <c r="E116" s="70"/>
      <c r="F116" s="72"/>
      <c r="G116" s="73"/>
      <c r="H116" s="70"/>
      <c r="I116" s="73"/>
      <c r="J116" s="73"/>
      <c r="K116" s="73"/>
      <c r="L116" s="73"/>
      <c r="M116" s="73"/>
      <c r="N116" s="70"/>
      <c r="O116" s="70"/>
      <c r="P116" s="70"/>
      <c r="Q116" s="70"/>
      <c r="R116" s="70"/>
      <c r="S116" s="70"/>
      <c r="T116" s="70"/>
      <c r="U116" s="70"/>
      <c r="V116" s="70"/>
      <c r="W116" s="70"/>
      <c r="X116" s="70"/>
      <c r="Y116" s="70"/>
      <c r="Z116" s="70"/>
    </row>
    <row r="117" spans="1:26" ht="15.75" customHeight="1">
      <c r="A117" s="71"/>
      <c r="B117" s="70"/>
      <c r="C117" s="70"/>
      <c r="D117" s="70"/>
      <c r="E117" s="70"/>
      <c r="F117" s="72"/>
      <c r="G117" s="73"/>
      <c r="H117" s="70"/>
      <c r="I117" s="73"/>
      <c r="J117" s="73"/>
      <c r="K117" s="73"/>
      <c r="L117" s="73"/>
      <c r="M117" s="73"/>
      <c r="N117" s="70"/>
      <c r="O117" s="70"/>
      <c r="P117" s="70"/>
      <c r="Q117" s="70"/>
      <c r="R117" s="70"/>
      <c r="S117" s="70"/>
      <c r="T117" s="70"/>
      <c r="U117" s="70"/>
      <c r="V117" s="70"/>
      <c r="W117" s="70"/>
      <c r="X117" s="70"/>
      <c r="Y117" s="70"/>
      <c r="Z117" s="70"/>
    </row>
    <row r="118" spans="1:26" ht="15.75" customHeight="1">
      <c r="A118" s="71"/>
      <c r="B118" s="70"/>
      <c r="C118" s="70"/>
      <c r="D118" s="70"/>
      <c r="E118" s="70"/>
      <c r="F118" s="72"/>
      <c r="G118" s="73"/>
      <c r="H118" s="70"/>
      <c r="I118" s="73"/>
      <c r="J118" s="73"/>
      <c r="K118" s="73"/>
      <c r="L118" s="73"/>
      <c r="M118" s="73"/>
      <c r="N118" s="70"/>
      <c r="O118" s="70"/>
      <c r="P118" s="70"/>
      <c r="Q118" s="70"/>
      <c r="R118" s="70"/>
      <c r="S118" s="70"/>
      <c r="T118" s="70"/>
      <c r="U118" s="70"/>
      <c r="V118" s="70"/>
      <c r="W118" s="70"/>
      <c r="X118" s="70"/>
      <c r="Y118" s="70"/>
      <c r="Z118" s="70"/>
    </row>
    <row r="119" spans="1:26" ht="15.75" customHeight="1">
      <c r="A119" s="71"/>
      <c r="B119" s="70"/>
      <c r="C119" s="70"/>
      <c r="D119" s="70"/>
      <c r="E119" s="70"/>
      <c r="F119" s="72"/>
      <c r="G119" s="73"/>
      <c r="H119" s="70"/>
      <c r="I119" s="73"/>
      <c r="J119" s="73"/>
      <c r="K119" s="73"/>
      <c r="L119" s="73"/>
      <c r="M119" s="73"/>
      <c r="N119" s="70"/>
      <c r="O119" s="70"/>
      <c r="P119" s="70"/>
      <c r="Q119" s="70"/>
      <c r="R119" s="70"/>
      <c r="S119" s="70"/>
      <c r="T119" s="70"/>
      <c r="U119" s="70"/>
      <c r="V119" s="70"/>
      <c r="W119" s="70"/>
      <c r="X119" s="70"/>
      <c r="Y119" s="70"/>
      <c r="Z119" s="70"/>
    </row>
    <row r="120" spans="1:26" ht="15.75" customHeight="1">
      <c r="A120" s="71"/>
      <c r="B120" s="70"/>
      <c r="C120" s="70"/>
      <c r="D120" s="70"/>
      <c r="E120" s="70"/>
      <c r="F120" s="72"/>
      <c r="G120" s="73"/>
      <c r="H120" s="70"/>
      <c r="I120" s="73"/>
      <c r="J120" s="73"/>
      <c r="K120" s="73"/>
      <c r="L120" s="73"/>
      <c r="M120" s="73"/>
      <c r="N120" s="70"/>
      <c r="O120" s="70"/>
      <c r="P120" s="70"/>
      <c r="Q120" s="70"/>
      <c r="R120" s="70"/>
      <c r="S120" s="70"/>
      <c r="T120" s="70"/>
      <c r="U120" s="70"/>
      <c r="V120" s="70"/>
      <c r="W120" s="70"/>
      <c r="X120" s="70"/>
      <c r="Y120" s="70"/>
      <c r="Z120" s="70"/>
    </row>
    <row r="121" spans="1:26" ht="15.75" customHeight="1">
      <c r="A121" s="71"/>
      <c r="B121" s="70"/>
      <c r="C121" s="70"/>
      <c r="D121" s="70"/>
      <c r="E121" s="70"/>
      <c r="F121" s="72"/>
      <c r="G121" s="73"/>
      <c r="H121" s="70"/>
      <c r="I121" s="73"/>
      <c r="J121" s="73"/>
      <c r="K121" s="73"/>
      <c r="L121" s="73"/>
      <c r="M121" s="73"/>
      <c r="N121" s="70"/>
      <c r="O121" s="70"/>
      <c r="P121" s="70"/>
      <c r="Q121" s="70"/>
      <c r="R121" s="70"/>
      <c r="S121" s="70"/>
      <c r="T121" s="70"/>
      <c r="U121" s="70"/>
      <c r="V121" s="70"/>
      <c r="W121" s="70"/>
      <c r="X121" s="70"/>
      <c r="Y121" s="70"/>
      <c r="Z121" s="70"/>
    </row>
    <row r="122" spans="1:26" ht="15.75" customHeight="1">
      <c r="A122" s="71"/>
      <c r="B122" s="70"/>
      <c r="C122" s="70"/>
      <c r="D122" s="70"/>
      <c r="E122" s="70"/>
      <c r="F122" s="72"/>
      <c r="G122" s="73"/>
      <c r="H122" s="70"/>
      <c r="I122" s="73"/>
      <c r="J122" s="73"/>
      <c r="K122" s="73"/>
      <c r="L122" s="73"/>
      <c r="M122" s="73"/>
      <c r="N122" s="70"/>
      <c r="O122" s="70"/>
      <c r="P122" s="70"/>
      <c r="Q122" s="70"/>
      <c r="R122" s="70"/>
      <c r="S122" s="70"/>
      <c r="T122" s="70"/>
      <c r="U122" s="70"/>
      <c r="V122" s="70"/>
      <c r="W122" s="70"/>
      <c r="X122" s="70"/>
      <c r="Y122" s="70"/>
      <c r="Z122" s="70"/>
    </row>
    <row r="123" spans="1:26" ht="15.75" customHeight="1">
      <c r="A123" s="71"/>
      <c r="B123" s="70"/>
      <c r="C123" s="70"/>
      <c r="D123" s="70"/>
      <c r="E123" s="70"/>
      <c r="F123" s="72"/>
      <c r="G123" s="73"/>
      <c r="H123" s="70"/>
      <c r="I123" s="73"/>
      <c r="J123" s="73"/>
      <c r="K123" s="73"/>
      <c r="L123" s="73"/>
      <c r="M123" s="73"/>
      <c r="N123" s="70"/>
      <c r="O123" s="70"/>
      <c r="P123" s="70"/>
      <c r="Q123" s="70"/>
      <c r="R123" s="70"/>
      <c r="S123" s="70"/>
      <c r="T123" s="70"/>
      <c r="U123" s="70"/>
      <c r="V123" s="70"/>
      <c r="W123" s="70"/>
      <c r="X123" s="70"/>
      <c r="Y123" s="70"/>
      <c r="Z123" s="70"/>
    </row>
    <row r="124" spans="1:26" ht="15.75" customHeight="1">
      <c r="A124" s="71"/>
      <c r="B124" s="70"/>
      <c r="C124" s="70"/>
      <c r="D124" s="70"/>
      <c r="E124" s="70"/>
      <c r="F124" s="72"/>
      <c r="G124" s="73"/>
      <c r="H124" s="70"/>
      <c r="I124" s="73"/>
      <c r="J124" s="73"/>
      <c r="K124" s="73"/>
      <c r="L124" s="73"/>
      <c r="M124" s="73"/>
      <c r="N124" s="70"/>
      <c r="O124" s="70"/>
      <c r="P124" s="70"/>
      <c r="Q124" s="70"/>
      <c r="R124" s="70"/>
      <c r="S124" s="70"/>
      <c r="T124" s="70"/>
      <c r="U124" s="70"/>
      <c r="V124" s="70"/>
      <c r="W124" s="70"/>
      <c r="X124" s="70"/>
      <c r="Y124" s="70"/>
      <c r="Z124" s="70"/>
    </row>
    <row r="125" spans="1:26" ht="15.75" customHeight="1">
      <c r="A125" s="71"/>
      <c r="B125" s="70"/>
      <c r="C125" s="70"/>
      <c r="D125" s="70"/>
      <c r="E125" s="70"/>
      <c r="F125" s="72"/>
      <c r="G125" s="73"/>
      <c r="H125" s="70"/>
      <c r="I125" s="73"/>
      <c r="J125" s="73"/>
      <c r="K125" s="73"/>
      <c r="L125" s="73"/>
      <c r="M125" s="73"/>
      <c r="N125" s="70"/>
      <c r="O125" s="70"/>
      <c r="P125" s="70"/>
      <c r="Q125" s="70"/>
      <c r="R125" s="70"/>
      <c r="S125" s="70"/>
      <c r="T125" s="70"/>
      <c r="U125" s="70"/>
      <c r="V125" s="70"/>
      <c r="W125" s="70"/>
      <c r="X125" s="70"/>
      <c r="Y125" s="70"/>
      <c r="Z125" s="70"/>
    </row>
    <row r="126" spans="1:26" ht="15.75" customHeight="1">
      <c r="A126" s="71"/>
      <c r="B126" s="70"/>
      <c r="C126" s="70"/>
      <c r="D126" s="70"/>
      <c r="E126" s="70"/>
      <c r="F126" s="72"/>
      <c r="G126" s="73"/>
      <c r="H126" s="70"/>
      <c r="I126" s="73"/>
      <c r="J126" s="73"/>
      <c r="K126" s="73"/>
      <c r="L126" s="73"/>
      <c r="M126" s="73"/>
      <c r="N126" s="70"/>
      <c r="O126" s="70"/>
      <c r="P126" s="70"/>
      <c r="Q126" s="70"/>
      <c r="R126" s="70"/>
      <c r="S126" s="70"/>
      <c r="T126" s="70"/>
      <c r="U126" s="70"/>
      <c r="V126" s="70"/>
      <c r="W126" s="70"/>
      <c r="X126" s="70"/>
      <c r="Y126" s="70"/>
      <c r="Z126" s="70"/>
    </row>
    <row r="127" spans="1:26" ht="15.75" customHeight="1">
      <c r="A127" s="71"/>
      <c r="B127" s="70"/>
      <c r="C127" s="70"/>
      <c r="D127" s="70"/>
      <c r="E127" s="70"/>
      <c r="F127" s="72"/>
      <c r="G127" s="73"/>
      <c r="H127" s="70"/>
      <c r="I127" s="73"/>
      <c r="J127" s="73"/>
      <c r="K127" s="73"/>
      <c r="L127" s="73"/>
      <c r="M127" s="73"/>
      <c r="N127" s="70"/>
      <c r="O127" s="70"/>
      <c r="P127" s="70"/>
      <c r="Q127" s="70"/>
      <c r="R127" s="70"/>
      <c r="S127" s="70"/>
      <c r="T127" s="70"/>
      <c r="U127" s="70"/>
      <c r="V127" s="70"/>
      <c r="W127" s="70"/>
      <c r="X127" s="70"/>
      <c r="Y127" s="70"/>
      <c r="Z127" s="70"/>
    </row>
    <row r="128" spans="1:26" ht="15.75" customHeight="1">
      <c r="A128" s="71"/>
      <c r="B128" s="70"/>
      <c r="C128" s="70"/>
      <c r="D128" s="70"/>
      <c r="E128" s="70"/>
      <c r="F128" s="72"/>
      <c r="G128" s="73"/>
      <c r="H128" s="70"/>
      <c r="I128" s="73"/>
      <c r="J128" s="73"/>
      <c r="K128" s="73"/>
      <c r="L128" s="73"/>
      <c r="M128" s="73"/>
      <c r="N128" s="70"/>
      <c r="O128" s="70"/>
      <c r="P128" s="70"/>
      <c r="Q128" s="70"/>
      <c r="R128" s="70"/>
      <c r="S128" s="70"/>
      <c r="T128" s="70"/>
      <c r="U128" s="70"/>
      <c r="V128" s="70"/>
      <c r="W128" s="70"/>
      <c r="X128" s="70"/>
      <c r="Y128" s="70"/>
      <c r="Z128" s="70"/>
    </row>
    <row r="129" spans="1:26" ht="15.75" customHeight="1">
      <c r="A129" s="71"/>
      <c r="B129" s="70"/>
      <c r="C129" s="70"/>
      <c r="D129" s="70"/>
      <c r="E129" s="70"/>
      <c r="F129" s="72"/>
      <c r="G129" s="73"/>
      <c r="H129" s="70"/>
      <c r="I129" s="73"/>
      <c r="J129" s="73"/>
      <c r="K129" s="73"/>
      <c r="L129" s="73"/>
      <c r="M129" s="73"/>
      <c r="N129" s="70"/>
      <c r="O129" s="70"/>
      <c r="P129" s="70"/>
      <c r="Q129" s="70"/>
      <c r="R129" s="70"/>
      <c r="S129" s="70"/>
      <c r="T129" s="70"/>
      <c r="U129" s="70"/>
      <c r="V129" s="70"/>
      <c r="W129" s="70"/>
      <c r="X129" s="70"/>
      <c r="Y129" s="70"/>
      <c r="Z129" s="70"/>
    </row>
    <row r="130" spans="1:26" ht="15.75" customHeight="1">
      <c r="A130" s="71"/>
      <c r="B130" s="70"/>
      <c r="C130" s="70"/>
      <c r="D130" s="70"/>
      <c r="E130" s="70"/>
      <c r="F130" s="72"/>
      <c r="G130" s="73"/>
      <c r="H130" s="70"/>
      <c r="I130" s="73"/>
      <c r="J130" s="73"/>
      <c r="K130" s="73"/>
      <c r="L130" s="73"/>
      <c r="M130" s="73"/>
      <c r="N130" s="70"/>
      <c r="O130" s="70"/>
      <c r="P130" s="70"/>
      <c r="Q130" s="70"/>
      <c r="R130" s="70"/>
      <c r="S130" s="70"/>
      <c r="T130" s="70"/>
      <c r="U130" s="70"/>
      <c r="V130" s="70"/>
      <c r="W130" s="70"/>
      <c r="X130" s="70"/>
      <c r="Y130" s="70"/>
      <c r="Z130" s="70"/>
    </row>
    <row r="131" spans="1:26" ht="15.75" customHeight="1">
      <c r="A131" s="71"/>
      <c r="B131" s="70"/>
      <c r="C131" s="70"/>
      <c r="D131" s="70"/>
      <c r="E131" s="70"/>
      <c r="F131" s="72"/>
      <c r="G131" s="73"/>
      <c r="H131" s="70"/>
      <c r="I131" s="73"/>
      <c r="J131" s="73"/>
      <c r="K131" s="73"/>
      <c r="L131" s="73"/>
      <c r="M131" s="73"/>
      <c r="N131" s="70"/>
      <c r="O131" s="70"/>
      <c r="P131" s="70"/>
      <c r="Q131" s="70"/>
      <c r="R131" s="70"/>
      <c r="S131" s="70"/>
      <c r="T131" s="70"/>
      <c r="U131" s="70"/>
      <c r="V131" s="70"/>
      <c r="W131" s="70"/>
      <c r="X131" s="70"/>
      <c r="Y131" s="70"/>
      <c r="Z131" s="70"/>
    </row>
    <row r="132" spans="1:26" ht="15.75" customHeight="1">
      <c r="A132" s="71"/>
      <c r="B132" s="70"/>
      <c r="C132" s="70"/>
      <c r="D132" s="70"/>
      <c r="E132" s="70"/>
      <c r="F132" s="72"/>
      <c r="G132" s="73"/>
      <c r="H132" s="70"/>
      <c r="I132" s="73"/>
      <c r="J132" s="73"/>
      <c r="K132" s="73"/>
      <c r="L132" s="73"/>
      <c r="M132" s="73"/>
      <c r="N132" s="70"/>
      <c r="O132" s="70"/>
      <c r="P132" s="70"/>
      <c r="Q132" s="70"/>
      <c r="R132" s="70"/>
      <c r="S132" s="70"/>
      <c r="T132" s="70"/>
      <c r="U132" s="70"/>
      <c r="V132" s="70"/>
      <c r="W132" s="70"/>
      <c r="X132" s="70"/>
      <c r="Y132" s="70"/>
      <c r="Z132" s="70"/>
    </row>
    <row r="133" spans="1:26" ht="15.75" customHeight="1">
      <c r="A133" s="71"/>
      <c r="B133" s="70"/>
      <c r="C133" s="70"/>
      <c r="D133" s="70"/>
      <c r="E133" s="70"/>
      <c r="F133" s="72"/>
      <c r="G133" s="73"/>
      <c r="H133" s="70"/>
      <c r="I133" s="73"/>
      <c r="J133" s="73"/>
      <c r="K133" s="73"/>
      <c r="L133" s="73"/>
      <c r="M133" s="73"/>
      <c r="N133" s="70"/>
      <c r="O133" s="70"/>
      <c r="P133" s="70"/>
      <c r="Q133" s="70"/>
      <c r="R133" s="70"/>
      <c r="S133" s="70"/>
      <c r="T133" s="70"/>
      <c r="U133" s="70"/>
      <c r="V133" s="70"/>
      <c r="W133" s="70"/>
      <c r="X133" s="70"/>
      <c r="Y133" s="70"/>
      <c r="Z133" s="70"/>
    </row>
    <row r="134" spans="1:26" ht="15.75" customHeight="1">
      <c r="A134" s="71"/>
      <c r="B134" s="70"/>
      <c r="C134" s="70"/>
      <c r="D134" s="70"/>
      <c r="E134" s="70"/>
      <c r="F134" s="72"/>
      <c r="G134" s="73"/>
      <c r="H134" s="70"/>
      <c r="I134" s="73"/>
      <c r="J134" s="73"/>
      <c r="K134" s="73"/>
      <c r="L134" s="73"/>
      <c r="M134" s="73"/>
      <c r="N134" s="70"/>
      <c r="O134" s="70"/>
      <c r="P134" s="70"/>
      <c r="Q134" s="70"/>
      <c r="R134" s="70"/>
      <c r="S134" s="70"/>
      <c r="T134" s="70"/>
      <c r="U134" s="70"/>
      <c r="V134" s="70"/>
      <c r="W134" s="70"/>
      <c r="X134" s="70"/>
      <c r="Y134" s="70"/>
      <c r="Z134" s="70"/>
    </row>
    <row r="135" spans="1:26" ht="15.75" customHeight="1">
      <c r="A135" s="71"/>
      <c r="B135" s="70"/>
      <c r="C135" s="70"/>
      <c r="D135" s="70"/>
      <c r="E135" s="70"/>
      <c r="F135" s="72"/>
      <c r="G135" s="73"/>
      <c r="H135" s="70"/>
      <c r="I135" s="73"/>
      <c r="J135" s="73"/>
      <c r="K135" s="73"/>
      <c r="L135" s="73"/>
      <c r="M135" s="73"/>
      <c r="N135" s="70"/>
      <c r="O135" s="70"/>
      <c r="P135" s="70"/>
      <c r="Q135" s="70"/>
      <c r="R135" s="70"/>
      <c r="S135" s="70"/>
      <c r="T135" s="70"/>
      <c r="U135" s="70"/>
      <c r="V135" s="70"/>
      <c r="W135" s="70"/>
      <c r="X135" s="70"/>
      <c r="Y135" s="70"/>
      <c r="Z135" s="70"/>
    </row>
    <row r="136" spans="1:26" ht="15.75" customHeight="1">
      <c r="A136" s="71"/>
      <c r="B136" s="70"/>
      <c r="C136" s="70"/>
      <c r="D136" s="70"/>
      <c r="E136" s="70"/>
      <c r="F136" s="72"/>
      <c r="G136" s="73"/>
      <c r="H136" s="70"/>
      <c r="I136" s="73"/>
      <c r="J136" s="73"/>
      <c r="K136" s="73"/>
      <c r="L136" s="73"/>
      <c r="M136" s="73"/>
      <c r="N136" s="70"/>
      <c r="O136" s="70"/>
      <c r="P136" s="70"/>
      <c r="Q136" s="70"/>
      <c r="R136" s="70"/>
      <c r="S136" s="70"/>
      <c r="T136" s="70"/>
      <c r="U136" s="70"/>
      <c r="V136" s="70"/>
      <c r="W136" s="70"/>
      <c r="X136" s="70"/>
      <c r="Y136" s="70"/>
      <c r="Z136" s="70"/>
    </row>
    <row r="137" spans="1:26" ht="15.75" customHeight="1">
      <c r="A137" s="71"/>
      <c r="B137" s="70"/>
      <c r="C137" s="70"/>
      <c r="D137" s="70"/>
      <c r="E137" s="70"/>
      <c r="F137" s="72"/>
      <c r="G137" s="73"/>
      <c r="H137" s="70"/>
      <c r="I137" s="73"/>
      <c r="J137" s="73"/>
      <c r="K137" s="73"/>
      <c r="L137" s="73"/>
      <c r="M137" s="73"/>
      <c r="N137" s="70"/>
      <c r="O137" s="70"/>
      <c r="P137" s="70"/>
      <c r="Q137" s="70"/>
      <c r="R137" s="70"/>
      <c r="S137" s="70"/>
      <c r="T137" s="70"/>
      <c r="U137" s="70"/>
      <c r="V137" s="70"/>
      <c r="W137" s="70"/>
      <c r="X137" s="70"/>
      <c r="Y137" s="70"/>
      <c r="Z137" s="70"/>
    </row>
    <row r="138" spans="1:26" ht="15.75" customHeight="1">
      <c r="A138" s="71"/>
      <c r="B138" s="70"/>
      <c r="C138" s="70"/>
      <c r="D138" s="70"/>
      <c r="E138" s="70"/>
      <c r="F138" s="72"/>
      <c r="G138" s="73"/>
      <c r="H138" s="70"/>
      <c r="I138" s="73"/>
      <c r="J138" s="73"/>
      <c r="K138" s="73"/>
      <c r="L138" s="73"/>
      <c r="M138" s="73"/>
      <c r="N138" s="70"/>
      <c r="O138" s="70"/>
      <c r="P138" s="70"/>
      <c r="Q138" s="70"/>
      <c r="R138" s="70"/>
      <c r="S138" s="70"/>
      <c r="T138" s="70"/>
      <c r="U138" s="70"/>
      <c r="V138" s="70"/>
      <c r="W138" s="70"/>
      <c r="X138" s="70"/>
      <c r="Y138" s="70"/>
      <c r="Z138" s="70"/>
    </row>
    <row r="139" spans="1:26" ht="15.75" customHeight="1">
      <c r="A139" s="71"/>
      <c r="B139" s="70"/>
      <c r="C139" s="70"/>
      <c r="D139" s="70"/>
      <c r="E139" s="70"/>
      <c r="F139" s="72"/>
      <c r="G139" s="73"/>
      <c r="H139" s="70"/>
      <c r="I139" s="73"/>
      <c r="J139" s="73"/>
      <c r="K139" s="73"/>
      <c r="L139" s="73"/>
      <c r="M139" s="73"/>
      <c r="N139" s="70"/>
      <c r="O139" s="70"/>
      <c r="P139" s="70"/>
      <c r="Q139" s="70"/>
      <c r="R139" s="70"/>
      <c r="S139" s="70"/>
      <c r="T139" s="70"/>
      <c r="U139" s="70"/>
      <c r="V139" s="70"/>
      <c r="W139" s="70"/>
      <c r="X139" s="70"/>
      <c r="Y139" s="70"/>
      <c r="Z139" s="70"/>
    </row>
    <row r="140" spans="1:26" ht="15.75" customHeight="1">
      <c r="A140" s="71"/>
      <c r="B140" s="70"/>
      <c r="C140" s="70"/>
      <c r="D140" s="70"/>
      <c r="E140" s="70"/>
      <c r="F140" s="72"/>
      <c r="G140" s="73"/>
      <c r="H140" s="70"/>
      <c r="I140" s="73"/>
      <c r="J140" s="73"/>
      <c r="K140" s="73"/>
      <c r="L140" s="73"/>
      <c r="M140" s="73"/>
      <c r="N140" s="70"/>
      <c r="O140" s="70"/>
      <c r="P140" s="70"/>
      <c r="Q140" s="70"/>
      <c r="R140" s="70"/>
      <c r="S140" s="70"/>
      <c r="T140" s="70"/>
      <c r="U140" s="70"/>
      <c r="V140" s="70"/>
      <c r="W140" s="70"/>
      <c r="X140" s="70"/>
      <c r="Y140" s="70"/>
      <c r="Z140" s="70"/>
    </row>
    <row r="141" spans="1:26" ht="15.75" customHeight="1">
      <c r="A141" s="71"/>
      <c r="B141" s="70"/>
      <c r="C141" s="70"/>
      <c r="D141" s="70"/>
      <c r="E141" s="70"/>
      <c r="F141" s="72"/>
      <c r="G141" s="73"/>
      <c r="H141" s="70"/>
      <c r="I141" s="73"/>
      <c r="J141" s="73"/>
      <c r="K141" s="73"/>
      <c r="L141" s="73"/>
      <c r="M141" s="73"/>
      <c r="N141" s="70"/>
      <c r="O141" s="70"/>
      <c r="P141" s="70"/>
      <c r="Q141" s="70"/>
      <c r="R141" s="70"/>
      <c r="S141" s="70"/>
      <c r="T141" s="70"/>
      <c r="U141" s="70"/>
      <c r="V141" s="70"/>
      <c r="W141" s="70"/>
      <c r="X141" s="70"/>
      <c r="Y141" s="70"/>
      <c r="Z141" s="70"/>
    </row>
    <row r="142" spans="1:26" ht="15.75" customHeight="1">
      <c r="A142" s="71"/>
      <c r="B142" s="70"/>
      <c r="C142" s="70"/>
      <c r="D142" s="70"/>
      <c r="E142" s="70"/>
      <c r="F142" s="72"/>
      <c r="G142" s="73"/>
      <c r="H142" s="70"/>
      <c r="I142" s="73"/>
      <c r="J142" s="73"/>
      <c r="K142" s="73"/>
      <c r="L142" s="73"/>
      <c r="M142" s="73"/>
      <c r="N142" s="70"/>
      <c r="O142" s="70"/>
      <c r="P142" s="70"/>
      <c r="Q142" s="70"/>
      <c r="R142" s="70"/>
      <c r="S142" s="70"/>
      <c r="T142" s="70"/>
      <c r="U142" s="70"/>
      <c r="V142" s="70"/>
      <c r="W142" s="70"/>
      <c r="X142" s="70"/>
      <c r="Y142" s="70"/>
      <c r="Z142" s="70"/>
    </row>
    <row r="143" spans="1:26" ht="15.75" customHeight="1">
      <c r="A143" s="71"/>
      <c r="B143" s="70"/>
      <c r="C143" s="70"/>
      <c r="D143" s="70"/>
      <c r="E143" s="70"/>
      <c r="F143" s="72"/>
      <c r="G143" s="73"/>
      <c r="H143" s="70"/>
      <c r="I143" s="73"/>
      <c r="J143" s="73"/>
      <c r="K143" s="73"/>
      <c r="L143" s="73"/>
      <c r="M143" s="73"/>
      <c r="N143" s="70"/>
      <c r="O143" s="70"/>
      <c r="P143" s="70"/>
      <c r="Q143" s="70"/>
      <c r="R143" s="70"/>
      <c r="S143" s="70"/>
      <c r="T143" s="70"/>
      <c r="U143" s="70"/>
      <c r="V143" s="70"/>
      <c r="W143" s="70"/>
      <c r="X143" s="70"/>
      <c r="Y143" s="70"/>
      <c r="Z143" s="70"/>
    </row>
    <row r="144" spans="1:26" ht="15.75" customHeight="1">
      <c r="A144" s="71"/>
      <c r="B144" s="70"/>
      <c r="C144" s="70"/>
      <c r="D144" s="70"/>
      <c r="E144" s="70"/>
      <c r="F144" s="72"/>
      <c r="G144" s="73"/>
      <c r="H144" s="70"/>
      <c r="I144" s="73"/>
      <c r="J144" s="73"/>
      <c r="K144" s="73"/>
      <c r="L144" s="73"/>
      <c r="M144" s="73"/>
      <c r="N144" s="70"/>
      <c r="O144" s="70"/>
      <c r="P144" s="70"/>
      <c r="Q144" s="70"/>
      <c r="R144" s="70"/>
      <c r="S144" s="70"/>
      <c r="T144" s="70"/>
      <c r="U144" s="70"/>
      <c r="V144" s="70"/>
      <c r="W144" s="70"/>
      <c r="X144" s="70"/>
      <c r="Y144" s="70"/>
      <c r="Z144" s="70"/>
    </row>
    <row r="145" spans="1:26" ht="15.75" customHeight="1">
      <c r="A145" s="71"/>
      <c r="B145" s="70"/>
      <c r="C145" s="70"/>
      <c r="D145" s="70"/>
      <c r="E145" s="70"/>
      <c r="F145" s="72"/>
      <c r="G145" s="73"/>
      <c r="H145" s="70"/>
      <c r="I145" s="73"/>
      <c r="J145" s="73"/>
      <c r="K145" s="73"/>
      <c r="L145" s="73"/>
      <c r="M145" s="73"/>
      <c r="N145" s="70"/>
      <c r="O145" s="70"/>
      <c r="P145" s="70"/>
      <c r="Q145" s="70"/>
      <c r="R145" s="70"/>
      <c r="S145" s="70"/>
      <c r="T145" s="70"/>
      <c r="U145" s="70"/>
      <c r="V145" s="70"/>
      <c r="W145" s="70"/>
      <c r="X145" s="70"/>
      <c r="Y145" s="70"/>
      <c r="Z145" s="70"/>
    </row>
    <row r="146" spans="1:26" ht="15.75" customHeight="1">
      <c r="A146" s="71"/>
      <c r="B146" s="70"/>
      <c r="C146" s="70"/>
      <c r="D146" s="70"/>
      <c r="E146" s="70"/>
      <c r="F146" s="72"/>
      <c r="G146" s="73"/>
      <c r="H146" s="70"/>
      <c r="I146" s="73"/>
      <c r="J146" s="73"/>
      <c r="K146" s="73"/>
      <c r="L146" s="73"/>
      <c r="M146" s="73"/>
      <c r="N146" s="70"/>
      <c r="O146" s="70"/>
      <c r="P146" s="70"/>
      <c r="Q146" s="70"/>
      <c r="R146" s="70"/>
      <c r="S146" s="70"/>
      <c r="T146" s="70"/>
      <c r="U146" s="70"/>
      <c r="V146" s="70"/>
      <c r="W146" s="70"/>
      <c r="X146" s="70"/>
      <c r="Y146" s="70"/>
      <c r="Z146" s="70"/>
    </row>
    <row r="147" spans="1:26" ht="15.75" customHeight="1">
      <c r="A147" s="71"/>
      <c r="B147" s="70"/>
      <c r="C147" s="70"/>
      <c r="D147" s="70"/>
      <c r="E147" s="70"/>
      <c r="F147" s="72"/>
      <c r="G147" s="73"/>
      <c r="H147" s="70"/>
      <c r="I147" s="73"/>
      <c r="J147" s="73"/>
      <c r="K147" s="73"/>
      <c r="L147" s="73"/>
      <c r="M147" s="73"/>
      <c r="N147" s="70"/>
      <c r="O147" s="70"/>
      <c r="P147" s="70"/>
      <c r="Q147" s="70"/>
      <c r="R147" s="70"/>
      <c r="S147" s="70"/>
      <c r="T147" s="70"/>
      <c r="U147" s="70"/>
      <c r="V147" s="70"/>
      <c r="W147" s="70"/>
      <c r="X147" s="70"/>
      <c r="Y147" s="70"/>
      <c r="Z147" s="70"/>
    </row>
    <row r="148" spans="1:26" ht="15.75" customHeight="1">
      <c r="A148" s="71"/>
      <c r="B148" s="70"/>
      <c r="C148" s="70"/>
      <c r="D148" s="70"/>
      <c r="E148" s="70"/>
      <c r="F148" s="72"/>
      <c r="G148" s="73"/>
      <c r="H148" s="70"/>
      <c r="I148" s="73"/>
      <c r="J148" s="73"/>
      <c r="K148" s="73"/>
      <c r="L148" s="73"/>
      <c r="M148" s="73"/>
      <c r="N148" s="70"/>
      <c r="O148" s="70"/>
      <c r="P148" s="70"/>
      <c r="Q148" s="70"/>
      <c r="R148" s="70"/>
      <c r="S148" s="70"/>
      <c r="T148" s="70"/>
      <c r="U148" s="70"/>
      <c r="V148" s="70"/>
      <c r="W148" s="70"/>
      <c r="X148" s="70"/>
      <c r="Y148" s="70"/>
      <c r="Z148" s="70"/>
    </row>
    <row r="149" spans="1:26" ht="15.75" customHeight="1">
      <c r="A149" s="71"/>
      <c r="B149" s="70"/>
      <c r="C149" s="70"/>
      <c r="D149" s="70"/>
      <c r="E149" s="70"/>
      <c r="F149" s="72"/>
      <c r="G149" s="73"/>
      <c r="H149" s="70"/>
      <c r="I149" s="73"/>
      <c r="J149" s="73"/>
      <c r="K149" s="73"/>
      <c r="L149" s="73"/>
      <c r="M149" s="73"/>
      <c r="N149" s="70"/>
      <c r="O149" s="70"/>
      <c r="P149" s="70"/>
      <c r="Q149" s="70"/>
      <c r="R149" s="70"/>
      <c r="S149" s="70"/>
      <c r="T149" s="70"/>
      <c r="U149" s="70"/>
      <c r="V149" s="70"/>
      <c r="W149" s="70"/>
      <c r="X149" s="70"/>
      <c r="Y149" s="70"/>
      <c r="Z149" s="70"/>
    </row>
    <row r="150" spans="1:26" ht="15.75" customHeight="1">
      <c r="A150" s="71"/>
      <c r="B150" s="70"/>
      <c r="C150" s="70"/>
      <c r="D150" s="70"/>
      <c r="E150" s="70"/>
      <c r="F150" s="72"/>
      <c r="G150" s="73"/>
      <c r="H150" s="70"/>
      <c r="I150" s="73"/>
      <c r="J150" s="73"/>
      <c r="K150" s="73"/>
      <c r="L150" s="73"/>
      <c r="M150" s="73"/>
      <c r="N150" s="70"/>
      <c r="O150" s="70"/>
      <c r="P150" s="70"/>
      <c r="Q150" s="70"/>
      <c r="R150" s="70"/>
      <c r="S150" s="70"/>
      <c r="T150" s="70"/>
      <c r="U150" s="70"/>
      <c r="V150" s="70"/>
      <c r="W150" s="70"/>
      <c r="X150" s="70"/>
      <c r="Y150" s="70"/>
      <c r="Z150" s="70"/>
    </row>
    <row r="151" spans="1:26" ht="15.75" customHeight="1">
      <c r="A151" s="71"/>
      <c r="B151" s="70"/>
      <c r="C151" s="70"/>
      <c r="D151" s="70"/>
      <c r="E151" s="70"/>
      <c r="F151" s="72"/>
      <c r="G151" s="73"/>
      <c r="H151" s="70"/>
      <c r="I151" s="73"/>
      <c r="J151" s="73"/>
      <c r="K151" s="73"/>
      <c r="L151" s="73"/>
      <c r="M151" s="73"/>
      <c r="N151" s="70"/>
      <c r="O151" s="70"/>
      <c r="P151" s="70"/>
      <c r="Q151" s="70"/>
      <c r="R151" s="70"/>
      <c r="S151" s="70"/>
      <c r="T151" s="70"/>
      <c r="U151" s="70"/>
      <c r="V151" s="70"/>
      <c r="W151" s="70"/>
      <c r="X151" s="70"/>
      <c r="Y151" s="70"/>
      <c r="Z151" s="70"/>
    </row>
    <row r="152" spans="1:26" ht="15.75" customHeight="1">
      <c r="A152" s="71"/>
      <c r="B152" s="70"/>
      <c r="C152" s="70"/>
      <c r="D152" s="70"/>
      <c r="E152" s="70"/>
      <c r="F152" s="72"/>
      <c r="G152" s="73"/>
      <c r="H152" s="70"/>
      <c r="I152" s="73"/>
      <c r="J152" s="73"/>
      <c r="K152" s="73"/>
      <c r="L152" s="73"/>
      <c r="M152" s="73"/>
      <c r="N152" s="70"/>
      <c r="O152" s="70"/>
      <c r="P152" s="70"/>
      <c r="Q152" s="70"/>
      <c r="R152" s="70"/>
      <c r="S152" s="70"/>
      <c r="T152" s="70"/>
      <c r="U152" s="70"/>
      <c r="V152" s="70"/>
      <c r="W152" s="70"/>
      <c r="X152" s="70"/>
      <c r="Y152" s="70"/>
      <c r="Z152" s="70"/>
    </row>
    <row r="153" spans="1:26" ht="15.75" customHeight="1">
      <c r="A153" s="71"/>
      <c r="B153" s="70"/>
      <c r="C153" s="70"/>
      <c r="D153" s="70"/>
      <c r="E153" s="70"/>
      <c r="F153" s="72"/>
      <c r="G153" s="73"/>
      <c r="H153" s="70"/>
      <c r="I153" s="73"/>
      <c r="J153" s="73"/>
      <c r="K153" s="73"/>
      <c r="L153" s="73"/>
      <c r="M153" s="73"/>
      <c r="N153" s="70"/>
      <c r="O153" s="70"/>
      <c r="P153" s="70"/>
      <c r="Q153" s="70"/>
      <c r="R153" s="70"/>
      <c r="S153" s="70"/>
      <c r="T153" s="70"/>
      <c r="U153" s="70"/>
      <c r="V153" s="70"/>
      <c r="W153" s="70"/>
      <c r="X153" s="70"/>
      <c r="Y153" s="70"/>
      <c r="Z153" s="70"/>
    </row>
    <row r="154" spans="1:26" ht="15.75" customHeight="1">
      <c r="A154" s="71"/>
      <c r="B154" s="70"/>
      <c r="C154" s="70"/>
      <c r="D154" s="70"/>
      <c r="E154" s="70"/>
      <c r="F154" s="72"/>
      <c r="G154" s="73"/>
      <c r="H154" s="70"/>
      <c r="I154" s="73"/>
      <c r="J154" s="73"/>
      <c r="K154" s="73"/>
      <c r="L154" s="73"/>
      <c r="M154" s="73"/>
      <c r="N154" s="70"/>
      <c r="O154" s="70"/>
      <c r="P154" s="70"/>
      <c r="Q154" s="70"/>
      <c r="R154" s="70"/>
      <c r="S154" s="70"/>
      <c r="T154" s="70"/>
      <c r="U154" s="70"/>
      <c r="V154" s="70"/>
      <c r="W154" s="70"/>
      <c r="X154" s="70"/>
      <c r="Y154" s="70"/>
      <c r="Z154" s="70"/>
    </row>
    <row r="155" spans="1:26" ht="15.75" customHeight="1">
      <c r="A155" s="71"/>
      <c r="B155" s="70"/>
      <c r="C155" s="70"/>
      <c r="D155" s="70"/>
      <c r="E155" s="70"/>
      <c r="F155" s="72"/>
      <c r="G155" s="73"/>
      <c r="H155" s="70"/>
      <c r="I155" s="73"/>
      <c r="J155" s="73"/>
      <c r="K155" s="73"/>
      <c r="L155" s="73"/>
      <c r="M155" s="73"/>
      <c r="N155" s="70"/>
      <c r="O155" s="70"/>
      <c r="P155" s="70"/>
      <c r="Q155" s="70"/>
      <c r="R155" s="70"/>
      <c r="S155" s="70"/>
      <c r="T155" s="70"/>
      <c r="U155" s="70"/>
      <c r="V155" s="70"/>
      <c r="W155" s="70"/>
      <c r="X155" s="70"/>
      <c r="Y155" s="70"/>
      <c r="Z155" s="70"/>
    </row>
    <row r="156" spans="1:26" ht="15.75" customHeight="1">
      <c r="A156" s="71"/>
      <c r="B156" s="70"/>
      <c r="C156" s="70"/>
      <c r="D156" s="70"/>
      <c r="E156" s="70"/>
      <c r="F156" s="72"/>
      <c r="G156" s="73"/>
      <c r="H156" s="70"/>
      <c r="I156" s="73"/>
      <c r="J156" s="73"/>
      <c r="K156" s="73"/>
      <c r="L156" s="73"/>
      <c r="M156" s="73"/>
      <c r="N156" s="70"/>
      <c r="O156" s="70"/>
      <c r="P156" s="70"/>
      <c r="Q156" s="70"/>
      <c r="R156" s="70"/>
      <c r="S156" s="70"/>
      <c r="T156" s="70"/>
      <c r="U156" s="70"/>
      <c r="V156" s="70"/>
      <c r="W156" s="70"/>
      <c r="X156" s="70"/>
      <c r="Y156" s="70"/>
      <c r="Z156" s="70"/>
    </row>
    <row r="157" spans="1:26" ht="15.75" customHeight="1">
      <c r="A157" s="71"/>
      <c r="B157" s="70"/>
      <c r="C157" s="70"/>
      <c r="D157" s="70"/>
      <c r="E157" s="70"/>
      <c r="F157" s="72"/>
      <c r="G157" s="73"/>
      <c r="H157" s="70"/>
      <c r="I157" s="73"/>
      <c r="J157" s="73"/>
      <c r="K157" s="73"/>
      <c r="L157" s="73"/>
      <c r="M157" s="73"/>
      <c r="N157" s="70"/>
      <c r="O157" s="70"/>
      <c r="P157" s="70"/>
      <c r="Q157" s="70"/>
      <c r="R157" s="70"/>
      <c r="S157" s="70"/>
      <c r="T157" s="70"/>
      <c r="U157" s="70"/>
      <c r="V157" s="70"/>
      <c r="W157" s="70"/>
      <c r="X157" s="70"/>
      <c r="Y157" s="70"/>
      <c r="Z157" s="70"/>
    </row>
    <row r="158" spans="1:26" ht="15.75" customHeight="1">
      <c r="A158" s="71"/>
      <c r="B158" s="70"/>
      <c r="C158" s="70"/>
      <c r="D158" s="70"/>
      <c r="E158" s="70"/>
      <c r="F158" s="72"/>
      <c r="G158" s="73"/>
      <c r="H158" s="70"/>
      <c r="I158" s="73"/>
      <c r="J158" s="73"/>
      <c r="K158" s="73"/>
      <c r="L158" s="73"/>
      <c r="M158" s="73"/>
      <c r="N158" s="70"/>
      <c r="O158" s="70"/>
      <c r="P158" s="70"/>
      <c r="Q158" s="70"/>
      <c r="R158" s="70"/>
      <c r="S158" s="70"/>
      <c r="T158" s="70"/>
      <c r="U158" s="70"/>
      <c r="V158" s="70"/>
      <c r="W158" s="70"/>
      <c r="X158" s="70"/>
      <c r="Y158" s="70"/>
      <c r="Z158" s="70"/>
    </row>
    <row r="159" spans="1:26" ht="15.75" customHeight="1">
      <c r="A159" s="71"/>
      <c r="B159" s="70"/>
      <c r="C159" s="70"/>
      <c r="D159" s="70"/>
      <c r="E159" s="70"/>
      <c r="F159" s="72"/>
      <c r="G159" s="73"/>
      <c r="H159" s="70"/>
      <c r="I159" s="73"/>
      <c r="J159" s="73"/>
      <c r="K159" s="73"/>
      <c r="L159" s="73"/>
      <c r="M159" s="73"/>
      <c r="N159" s="70"/>
      <c r="O159" s="70"/>
      <c r="P159" s="70"/>
      <c r="Q159" s="70"/>
      <c r="R159" s="70"/>
      <c r="S159" s="70"/>
      <c r="T159" s="70"/>
      <c r="U159" s="70"/>
      <c r="V159" s="70"/>
      <c r="W159" s="70"/>
      <c r="X159" s="70"/>
      <c r="Y159" s="70"/>
      <c r="Z159" s="70"/>
    </row>
    <row r="160" spans="1:26" ht="15.75" customHeight="1">
      <c r="A160" s="71"/>
      <c r="B160" s="70"/>
      <c r="C160" s="70"/>
      <c r="D160" s="70"/>
      <c r="E160" s="70"/>
      <c r="F160" s="72"/>
      <c r="G160" s="73"/>
      <c r="H160" s="70"/>
      <c r="I160" s="73"/>
      <c r="J160" s="73"/>
      <c r="K160" s="73"/>
      <c r="L160" s="73"/>
      <c r="M160" s="73"/>
      <c r="N160" s="70"/>
      <c r="O160" s="70"/>
      <c r="P160" s="70"/>
      <c r="Q160" s="70"/>
      <c r="R160" s="70"/>
      <c r="S160" s="70"/>
      <c r="T160" s="70"/>
      <c r="U160" s="70"/>
      <c r="V160" s="70"/>
      <c r="W160" s="70"/>
      <c r="X160" s="70"/>
      <c r="Y160" s="70"/>
      <c r="Z160" s="70"/>
    </row>
    <row r="161" spans="1:26" ht="15.75" customHeight="1">
      <c r="A161" s="71"/>
      <c r="B161" s="70"/>
      <c r="C161" s="70"/>
      <c r="D161" s="70"/>
      <c r="E161" s="70"/>
      <c r="F161" s="72"/>
      <c r="G161" s="73"/>
      <c r="H161" s="70"/>
      <c r="I161" s="73"/>
      <c r="J161" s="73"/>
      <c r="K161" s="73"/>
      <c r="L161" s="73"/>
      <c r="M161" s="73"/>
      <c r="N161" s="70"/>
      <c r="O161" s="70"/>
      <c r="P161" s="70"/>
      <c r="Q161" s="70"/>
      <c r="R161" s="70"/>
      <c r="S161" s="70"/>
      <c r="T161" s="70"/>
      <c r="U161" s="70"/>
      <c r="V161" s="70"/>
      <c r="W161" s="70"/>
      <c r="X161" s="70"/>
      <c r="Y161" s="70"/>
      <c r="Z161" s="70"/>
    </row>
    <row r="162" spans="1:26" ht="15.75" customHeight="1">
      <c r="A162" s="71"/>
      <c r="B162" s="70"/>
      <c r="C162" s="70"/>
      <c r="D162" s="70"/>
      <c r="E162" s="70"/>
      <c r="F162" s="72"/>
      <c r="G162" s="73"/>
      <c r="H162" s="70"/>
      <c r="I162" s="73"/>
      <c r="J162" s="73"/>
      <c r="K162" s="73"/>
      <c r="L162" s="73"/>
      <c r="M162" s="73"/>
      <c r="N162" s="70"/>
      <c r="O162" s="70"/>
      <c r="P162" s="70"/>
      <c r="Q162" s="70"/>
      <c r="R162" s="70"/>
      <c r="S162" s="70"/>
      <c r="T162" s="70"/>
      <c r="U162" s="70"/>
      <c r="V162" s="70"/>
      <c r="W162" s="70"/>
      <c r="X162" s="70"/>
      <c r="Y162" s="70"/>
      <c r="Z162" s="70"/>
    </row>
    <row r="163" spans="1:26" ht="15.75" customHeight="1">
      <c r="A163" s="71"/>
      <c r="B163" s="70"/>
      <c r="C163" s="70"/>
      <c r="D163" s="70"/>
      <c r="E163" s="70"/>
      <c r="F163" s="72"/>
      <c r="G163" s="73"/>
      <c r="H163" s="70"/>
      <c r="I163" s="73"/>
      <c r="J163" s="73"/>
      <c r="K163" s="73"/>
      <c r="L163" s="73"/>
      <c r="M163" s="73"/>
      <c r="N163" s="70"/>
      <c r="O163" s="70"/>
      <c r="P163" s="70"/>
      <c r="Q163" s="70"/>
      <c r="R163" s="70"/>
      <c r="S163" s="70"/>
      <c r="T163" s="70"/>
      <c r="U163" s="70"/>
      <c r="V163" s="70"/>
      <c r="W163" s="70"/>
      <c r="X163" s="70"/>
      <c r="Y163" s="70"/>
      <c r="Z163" s="70"/>
    </row>
    <row r="164" spans="1:26" ht="15.75" customHeight="1">
      <c r="A164" s="71"/>
      <c r="B164" s="70"/>
      <c r="C164" s="70"/>
      <c r="D164" s="70"/>
      <c r="E164" s="70"/>
      <c r="F164" s="72"/>
      <c r="G164" s="73"/>
      <c r="H164" s="70"/>
      <c r="I164" s="73"/>
      <c r="J164" s="73"/>
      <c r="K164" s="73"/>
      <c r="L164" s="73"/>
      <c r="M164" s="73"/>
      <c r="N164" s="70"/>
      <c r="O164" s="70"/>
      <c r="P164" s="70"/>
      <c r="Q164" s="70"/>
      <c r="R164" s="70"/>
      <c r="S164" s="70"/>
      <c r="T164" s="70"/>
      <c r="U164" s="70"/>
      <c r="V164" s="70"/>
      <c r="W164" s="70"/>
      <c r="X164" s="70"/>
      <c r="Y164" s="70"/>
      <c r="Z164" s="70"/>
    </row>
    <row r="165" spans="1:26" ht="15.75" customHeight="1">
      <c r="A165" s="71"/>
      <c r="B165" s="70"/>
      <c r="C165" s="70"/>
      <c r="D165" s="70"/>
      <c r="E165" s="70"/>
      <c r="F165" s="72"/>
      <c r="G165" s="73"/>
      <c r="H165" s="70"/>
      <c r="I165" s="73"/>
      <c r="J165" s="73"/>
      <c r="K165" s="73"/>
      <c r="L165" s="73"/>
      <c r="M165" s="73"/>
      <c r="N165" s="70"/>
      <c r="O165" s="70"/>
      <c r="P165" s="70"/>
      <c r="Q165" s="70"/>
      <c r="R165" s="70"/>
      <c r="S165" s="70"/>
      <c r="T165" s="70"/>
      <c r="U165" s="70"/>
      <c r="V165" s="70"/>
      <c r="W165" s="70"/>
      <c r="X165" s="70"/>
      <c r="Y165" s="70"/>
      <c r="Z165" s="70"/>
    </row>
    <row r="166" spans="1:26" ht="15.75" customHeight="1">
      <c r="A166" s="71"/>
      <c r="B166" s="70"/>
      <c r="C166" s="70"/>
      <c r="D166" s="70"/>
      <c r="E166" s="70"/>
      <c r="F166" s="72"/>
      <c r="G166" s="73"/>
      <c r="H166" s="70"/>
      <c r="I166" s="73"/>
      <c r="J166" s="73"/>
      <c r="K166" s="73"/>
      <c r="L166" s="73"/>
      <c r="M166" s="73"/>
      <c r="N166" s="70"/>
      <c r="O166" s="70"/>
      <c r="P166" s="70"/>
      <c r="Q166" s="70"/>
      <c r="R166" s="70"/>
      <c r="S166" s="70"/>
      <c r="T166" s="70"/>
      <c r="U166" s="70"/>
      <c r="V166" s="70"/>
      <c r="W166" s="70"/>
      <c r="X166" s="70"/>
      <c r="Y166" s="70"/>
      <c r="Z166" s="70"/>
    </row>
    <row r="167" spans="1:26" ht="15.75" customHeight="1">
      <c r="A167" s="71"/>
      <c r="B167" s="70"/>
      <c r="C167" s="70"/>
      <c r="D167" s="70"/>
      <c r="E167" s="70"/>
      <c r="F167" s="72"/>
      <c r="G167" s="73"/>
      <c r="H167" s="70"/>
      <c r="I167" s="73"/>
      <c r="J167" s="73"/>
      <c r="K167" s="73"/>
      <c r="L167" s="73"/>
      <c r="M167" s="73"/>
      <c r="N167" s="70"/>
      <c r="O167" s="70"/>
      <c r="P167" s="70"/>
      <c r="Q167" s="70"/>
      <c r="R167" s="70"/>
      <c r="S167" s="70"/>
      <c r="T167" s="70"/>
      <c r="U167" s="70"/>
      <c r="V167" s="70"/>
      <c r="W167" s="70"/>
      <c r="X167" s="70"/>
      <c r="Y167" s="70"/>
      <c r="Z167" s="70"/>
    </row>
    <row r="168" spans="1:26" ht="15.75" customHeight="1">
      <c r="A168" s="71"/>
      <c r="B168" s="70"/>
      <c r="C168" s="70"/>
      <c r="D168" s="70"/>
      <c r="E168" s="70"/>
      <c r="F168" s="72"/>
      <c r="G168" s="73"/>
      <c r="H168" s="70"/>
      <c r="I168" s="73"/>
      <c r="J168" s="73"/>
      <c r="K168" s="73"/>
      <c r="L168" s="73"/>
      <c r="M168" s="73"/>
      <c r="N168" s="70"/>
      <c r="O168" s="70"/>
      <c r="P168" s="70"/>
      <c r="Q168" s="70"/>
      <c r="R168" s="70"/>
      <c r="S168" s="70"/>
      <c r="T168" s="70"/>
      <c r="U168" s="70"/>
      <c r="V168" s="70"/>
      <c r="W168" s="70"/>
      <c r="X168" s="70"/>
      <c r="Y168" s="70"/>
      <c r="Z168" s="70"/>
    </row>
    <row r="169" spans="1:26" ht="15.75" customHeight="1">
      <c r="A169" s="71"/>
      <c r="B169" s="70"/>
      <c r="C169" s="70"/>
      <c r="D169" s="70"/>
      <c r="E169" s="70"/>
      <c r="F169" s="72"/>
      <c r="G169" s="73"/>
      <c r="H169" s="70"/>
      <c r="I169" s="73"/>
      <c r="J169" s="73"/>
      <c r="K169" s="73"/>
      <c r="L169" s="73"/>
      <c r="M169" s="73"/>
      <c r="N169" s="70"/>
      <c r="O169" s="70"/>
      <c r="P169" s="70"/>
      <c r="Q169" s="70"/>
      <c r="R169" s="70"/>
      <c r="S169" s="70"/>
      <c r="T169" s="70"/>
      <c r="U169" s="70"/>
      <c r="V169" s="70"/>
      <c r="W169" s="70"/>
      <c r="X169" s="70"/>
      <c r="Y169" s="70"/>
      <c r="Z169" s="70"/>
    </row>
    <row r="170" spans="1:26" ht="15.75" customHeight="1">
      <c r="A170" s="71"/>
      <c r="B170" s="70"/>
      <c r="C170" s="70"/>
      <c r="D170" s="70"/>
      <c r="E170" s="70"/>
      <c r="F170" s="72"/>
      <c r="G170" s="73"/>
      <c r="H170" s="70"/>
      <c r="I170" s="73"/>
      <c r="J170" s="73"/>
      <c r="K170" s="73"/>
      <c r="L170" s="73"/>
      <c r="M170" s="73"/>
      <c r="N170" s="70"/>
      <c r="O170" s="70"/>
      <c r="P170" s="70"/>
      <c r="Q170" s="70"/>
      <c r="R170" s="70"/>
      <c r="S170" s="70"/>
      <c r="T170" s="70"/>
      <c r="U170" s="70"/>
      <c r="V170" s="70"/>
      <c r="W170" s="70"/>
      <c r="X170" s="70"/>
      <c r="Y170" s="70"/>
      <c r="Z170" s="70"/>
    </row>
    <row r="171" spans="1:26" ht="15.75" customHeight="1">
      <c r="A171" s="71"/>
      <c r="B171" s="70"/>
      <c r="C171" s="70"/>
      <c r="D171" s="70"/>
      <c r="E171" s="70"/>
      <c r="F171" s="72"/>
      <c r="G171" s="73"/>
      <c r="H171" s="70"/>
      <c r="I171" s="73"/>
      <c r="J171" s="73"/>
      <c r="K171" s="73"/>
      <c r="L171" s="73"/>
      <c r="M171" s="73"/>
      <c r="N171" s="70"/>
      <c r="O171" s="70"/>
      <c r="P171" s="70"/>
      <c r="Q171" s="70"/>
      <c r="R171" s="70"/>
      <c r="S171" s="70"/>
      <c r="T171" s="70"/>
      <c r="U171" s="70"/>
      <c r="V171" s="70"/>
      <c r="W171" s="70"/>
      <c r="X171" s="70"/>
      <c r="Y171" s="70"/>
      <c r="Z171" s="70"/>
    </row>
    <row r="172" spans="1:26" ht="15.75" customHeight="1">
      <c r="A172" s="71"/>
      <c r="B172" s="70"/>
      <c r="C172" s="70"/>
      <c r="D172" s="70"/>
      <c r="E172" s="70"/>
      <c r="F172" s="72"/>
      <c r="G172" s="73"/>
      <c r="H172" s="70"/>
      <c r="I172" s="73"/>
      <c r="J172" s="73"/>
      <c r="K172" s="73"/>
      <c r="L172" s="73"/>
      <c r="M172" s="73"/>
      <c r="N172" s="70"/>
      <c r="O172" s="70"/>
      <c r="P172" s="70"/>
      <c r="Q172" s="70"/>
      <c r="R172" s="70"/>
      <c r="S172" s="70"/>
      <c r="T172" s="70"/>
      <c r="U172" s="70"/>
      <c r="V172" s="70"/>
      <c r="W172" s="70"/>
      <c r="X172" s="70"/>
      <c r="Y172" s="70"/>
      <c r="Z172" s="70"/>
    </row>
    <row r="173" spans="1:26" ht="15.75" customHeight="1">
      <c r="A173" s="71"/>
      <c r="B173" s="70"/>
      <c r="C173" s="70"/>
      <c r="D173" s="70"/>
      <c r="E173" s="70"/>
      <c r="F173" s="72"/>
      <c r="G173" s="73"/>
      <c r="H173" s="70"/>
      <c r="I173" s="73"/>
      <c r="J173" s="73"/>
      <c r="K173" s="73"/>
      <c r="L173" s="73"/>
      <c r="M173" s="73"/>
      <c r="N173" s="70"/>
      <c r="O173" s="70"/>
      <c r="P173" s="70"/>
      <c r="Q173" s="70"/>
      <c r="R173" s="70"/>
      <c r="S173" s="70"/>
      <c r="T173" s="70"/>
      <c r="U173" s="70"/>
      <c r="V173" s="70"/>
      <c r="W173" s="70"/>
      <c r="X173" s="70"/>
      <c r="Y173" s="70"/>
      <c r="Z173" s="70"/>
    </row>
    <row r="174" spans="1:26" ht="15.75" customHeight="1">
      <c r="A174" s="71"/>
      <c r="B174" s="70"/>
      <c r="C174" s="70"/>
      <c r="D174" s="70"/>
      <c r="E174" s="70"/>
      <c r="F174" s="72"/>
      <c r="G174" s="73"/>
      <c r="H174" s="70"/>
      <c r="I174" s="73"/>
      <c r="J174" s="73"/>
      <c r="K174" s="73"/>
      <c r="L174" s="73"/>
      <c r="M174" s="73"/>
      <c r="N174" s="70"/>
      <c r="O174" s="70"/>
      <c r="P174" s="70"/>
      <c r="Q174" s="70"/>
      <c r="R174" s="70"/>
      <c r="S174" s="70"/>
      <c r="T174" s="70"/>
      <c r="U174" s="70"/>
      <c r="V174" s="70"/>
      <c r="W174" s="70"/>
      <c r="X174" s="70"/>
      <c r="Y174" s="70"/>
      <c r="Z174" s="70"/>
    </row>
    <row r="175" spans="1:26" ht="15.75" customHeight="1">
      <c r="A175" s="71"/>
      <c r="B175" s="70"/>
      <c r="C175" s="70"/>
      <c r="D175" s="70"/>
      <c r="E175" s="70"/>
      <c r="F175" s="72"/>
      <c r="G175" s="73"/>
      <c r="H175" s="70"/>
      <c r="I175" s="73"/>
      <c r="J175" s="73"/>
      <c r="K175" s="73"/>
      <c r="L175" s="73"/>
      <c r="M175" s="73"/>
      <c r="N175" s="70"/>
      <c r="O175" s="70"/>
      <c r="P175" s="70"/>
      <c r="Q175" s="70"/>
      <c r="R175" s="70"/>
      <c r="S175" s="70"/>
      <c r="T175" s="70"/>
      <c r="U175" s="70"/>
      <c r="V175" s="70"/>
      <c r="W175" s="70"/>
      <c r="X175" s="70"/>
      <c r="Y175" s="70"/>
      <c r="Z175" s="70"/>
    </row>
    <row r="176" spans="1:26" ht="15.75" customHeight="1">
      <c r="A176" s="71"/>
      <c r="B176" s="70"/>
      <c r="C176" s="70"/>
      <c r="D176" s="70"/>
      <c r="E176" s="70"/>
      <c r="F176" s="72"/>
      <c r="G176" s="73"/>
      <c r="H176" s="70"/>
      <c r="I176" s="73"/>
      <c r="J176" s="73"/>
      <c r="K176" s="73"/>
      <c r="L176" s="73"/>
      <c r="M176" s="73"/>
      <c r="N176" s="70"/>
      <c r="O176" s="70"/>
      <c r="P176" s="70"/>
      <c r="Q176" s="70"/>
      <c r="R176" s="70"/>
      <c r="S176" s="70"/>
      <c r="T176" s="70"/>
      <c r="U176" s="70"/>
      <c r="V176" s="70"/>
      <c r="W176" s="70"/>
      <c r="X176" s="70"/>
      <c r="Y176" s="70"/>
      <c r="Z176" s="70"/>
    </row>
    <row r="177" spans="1:26" ht="15.75" customHeight="1">
      <c r="A177" s="71"/>
      <c r="B177" s="70"/>
      <c r="C177" s="70"/>
      <c r="D177" s="70"/>
      <c r="E177" s="70"/>
      <c r="F177" s="72"/>
      <c r="G177" s="73"/>
      <c r="H177" s="70"/>
      <c r="I177" s="73"/>
      <c r="J177" s="73"/>
      <c r="K177" s="73"/>
      <c r="L177" s="73"/>
      <c r="M177" s="73"/>
      <c r="N177" s="70"/>
      <c r="O177" s="70"/>
      <c r="P177" s="70"/>
      <c r="Q177" s="70"/>
      <c r="R177" s="70"/>
      <c r="S177" s="70"/>
      <c r="T177" s="70"/>
      <c r="U177" s="70"/>
      <c r="V177" s="70"/>
      <c r="W177" s="70"/>
      <c r="X177" s="70"/>
      <c r="Y177" s="70"/>
      <c r="Z177" s="70"/>
    </row>
    <row r="178" spans="1:26" ht="15.75" customHeight="1">
      <c r="A178" s="71"/>
      <c r="B178" s="70"/>
      <c r="C178" s="70"/>
      <c r="D178" s="70"/>
      <c r="E178" s="70"/>
      <c r="F178" s="72"/>
      <c r="G178" s="73"/>
      <c r="H178" s="70"/>
      <c r="I178" s="73"/>
      <c r="J178" s="73"/>
      <c r="K178" s="73"/>
      <c r="L178" s="73"/>
      <c r="M178" s="73"/>
      <c r="N178" s="70"/>
      <c r="O178" s="70"/>
      <c r="P178" s="70"/>
      <c r="Q178" s="70"/>
      <c r="R178" s="70"/>
      <c r="S178" s="70"/>
      <c r="T178" s="70"/>
      <c r="U178" s="70"/>
      <c r="V178" s="70"/>
      <c r="W178" s="70"/>
      <c r="X178" s="70"/>
      <c r="Y178" s="70"/>
      <c r="Z178" s="70"/>
    </row>
    <row r="179" spans="1:26" ht="15.75" customHeight="1">
      <c r="A179" s="71"/>
      <c r="B179" s="70"/>
      <c r="C179" s="70"/>
      <c r="D179" s="70"/>
      <c r="E179" s="70"/>
      <c r="F179" s="72"/>
      <c r="G179" s="73"/>
      <c r="H179" s="70"/>
      <c r="I179" s="73"/>
      <c r="J179" s="73"/>
      <c r="K179" s="73"/>
      <c r="L179" s="73"/>
      <c r="M179" s="73"/>
      <c r="N179" s="70"/>
      <c r="O179" s="70"/>
      <c r="P179" s="70"/>
      <c r="Q179" s="70"/>
      <c r="R179" s="70"/>
      <c r="S179" s="70"/>
      <c r="T179" s="70"/>
      <c r="U179" s="70"/>
      <c r="V179" s="70"/>
      <c r="W179" s="70"/>
      <c r="X179" s="70"/>
      <c r="Y179" s="70"/>
      <c r="Z179" s="70"/>
    </row>
    <row r="180" spans="1:26" ht="15.75" customHeight="1">
      <c r="A180" s="71"/>
      <c r="B180" s="70"/>
      <c r="C180" s="70"/>
      <c r="D180" s="70"/>
      <c r="E180" s="70"/>
      <c r="F180" s="72"/>
      <c r="G180" s="73"/>
      <c r="H180" s="70"/>
      <c r="I180" s="73"/>
      <c r="J180" s="73"/>
      <c r="K180" s="73"/>
      <c r="L180" s="73"/>
      <c r="M180" s="73"/>
      <c r="N180" s="70"/>
      <c r="O180" s="70"/>
      <c r="P180" s="70"/>
      <c r="Q180" s="70"/>
      <c r="R180" s="70"/>
      <c r="S180" s="70"/>
      <c r="T180" s="70"/>
      <c r="U180" s="70"/>
      <c r="V180" s="70"/>
      <c r="W180" s="70"/>
      <c r="X180" s="70"/>
      <c r="Y180" s="70"/>
      <c r="Z180" s="70"/>
    </row>
    <row r="181" spans="1:26" ht="15.75" customHeight="1">
      <c r="A181" s="71"/>
      <c r="B181" s="70"/>
      <c r="C181" s="70"/>
      <c r="D181" s="70"/>
      <c r="E181" s="70"/>
      <c r="F181" s="72"/>
      <c r="G181" s="73"/>
      <c r="H181" s="70"/>
      <c r="I181" s="73"/>
      <c r="J181" s="73"/>
      <c r="K181" s="73"/>
      <c r="L181" s="73"/>
      <c r="M181" s="73"/>
      <c r="N181" s="70"/>
      <c r="O181" s="70"/>
      <c r="P181" s="70"/>
      <c r="Q181" s="70"/>
      <c r="R181" s="70"/>
      <c r="S181" s="70"/>
      <c r="T181" s="70"/>
      <c r="U181" s="70"/>
      <c r="V181" s="70"/>
      <c r="W181" s="70"/>
      <c r="X181" s="70"/>
      <c r="Y181" s="70"/>
      <c r="Z181" s="70"/>
    </row>
    <row r="182" spans="1:26" ht="15.75" customHeight="1">
      <c r="A182" s="71"/>
      <c r="B182" s="70"/>
      <c r="C182" s="70"/>
      <c r="D182" s="70"/>
      <c r="E182" s="70"/>
      <c r="F182" s="72"/>
      <c r="G182" s="73"/>
      <c r="H182" s="70"/>
      <c r="I182" s="73"/>
      <c r="J182" s="73"/>
      <c r="K182" s="73"/>
      <c r="L182" s="73"/>
      <c r="M182" s="73"/>
      <c r="N182" s="70"/>
      <c r="O182" s="70"/>
      <c r="P182" s="70"/>
      <c r="Q182" s="70"/>
      <c r="R182" s="70"/>
      <c r="S182" s="70"/>
      <c r="T182" s="70"/>
      <c r="U182" s="70"/>
      <c r="V182" s="70"/>
      <c r="W182" s="70"/>
      <c r="X182" s="70"/>
      <c r="Y182" s="70"/>
      <c r="Z182" s="70"/>
    </row>
    <row r="183" spans="1:26" ht="15.75" customHeight="1">
      <c r="A183" s="71"/>
      <c r="B183" s="70"/>
      <c r="C183" s="70"/>
      <c r="D183" s="70"/>
      <c r="E183" s="70"/>
      <c r="F183" s="72"/>
      <c r="G183" s="73"/>
      <c r="H183" s="70"/>
      <c r="I183" s="73"/>
      <c r="J183" s="73"/>
      <c r="K183" s="73"/>
      <c r="L183" s="73"/>
      <c r="M183" s="73"/>
      <c r="N183" s="70"/>
      <c r="O183" s="70"/>
      <c r="P183" s="70"/>
      <c r="Q183" s="70"/>
      <c r="R183" s="70"/>
      <c r="S183" s="70"/>
      <c r="T183" s="70"/>
      <c r="U183" s="70"/>
      <c r="V183" s="70"/>
      <c r="W183" s="70"/>
      <c r="X183" s="70"/>
      <c r="Y183" s="70"/>
      <c r="Z183" s="70"/>
    </row>
    <row r="184" spans="1:26" ht="15.75" customHeight="1">
      <c r="A184" s="71"/>
      <c r="B184" s="70"/>
      <c r="C184" s="70"/>
      <c r="D184" s="70"/>
      <c r="E184" s="70"/>
      <c r="F184" s="72"/>
      <c r="G184" s="73"/>
      <c r="H184" s="70"/>
      <c r="I184" s="73"/>
      <c r="J184" s="73"/>
      <c r="K184" s="73"/>
      <c r="L184" s="73"/>
      <c r="M184" s="73"/>
      <c r="N184" s="70"/>
      <c r="O184" s="70"/>
      <c r="P184" s="70"/>
      <c r="Q184" s="70"/>
      <c r="R184" s="70"/>
      <c r="S184" s="70"/>
      <c r="T184" s="70"/>
      <c r="U184" s="70"/>
      <c r="V184" s="70"/>
      <c r="W184" s="70"/>
      <c r="X184" s="70"/>
      <c r="Y184" s="70"/>
      <c r="Z184" s="70"/>
    </row>
    <row r="185" spans="1:26" ht="15.75" customHeight="1">
      <c r="A185" s="71"/>
      <c r="B185" s="70"/>
      <c r="C185" s="70"/>
      <c r="D185" s="70"/>
      <c r="E185" s="70"/>
      <c r="F185" s="72"/>
      <c r="G185" s="73"/>
      <c r="H185" s="70"/>
      <c r="I185" s="73"/>
      <c r="J185" s="73"/>
      <c r="K185" s="73"/>
      <c r="L185" s="73"/>
      <c r="M185" s="73"/>
      <c r="N185" s="70"/>
      <c r="O185" s="70"/>
      <c r="P185" s="70"/>
      <c r="Q185" s="70"/>
      <c r="R185" s="70"/>
      <c r="S185" s="70"/>
      <c r="T185" s="70"/>
      <c r="U185" s="70"/>
      <c r="V185" s="70"/>
      <c r="W185" s="70"/>
      <c r="X185" s="70"/>
      <c r="Y185" s="70"/>
      <c r="Z185" s="70"/>
    </row>
    <row r="186" spans="1:26" ht="15.75" customHeight="1">
      <c r="A186" s="71"/>
      <c r="B186" s="70"/>
      <c r="C186" s="70"/>
      <c r="D186" s="70"/>
      <c r="E186" s="70"/>
      <c r="F186" s="72"/>
      <c r="G186" s="73"/>
      <c r="H186" s="70"/>
      <c r="I186" s="73"/>
      <c r="J186" s="73"/>
      <c r="K186" s="73"/>
      <c r="L186" s="73"/>
      <c r="M186" s="73"/>
      <c r="N186" s="70"/>
      <c r="O186" s="70"/>
      <c r="P186" s="70"/>
      <c r="Q186" s="70"/>
      <c r="R186" s="70"/>
      <c r="S186" s="70"/>
      <c r="T186" s="70"/>
      <c r="U186" s="70"/>
      <c r="V186" s="70"/>
      <c r="W186" s="70"/>
      <c r="X186" s="70"/>
      <c r="Y186" s="70"/>
      <c r="Z186" s="70"/>
    </row>
    <row r="187" spans="1:26" ht="15.75" customHeight="1">
      <c r="A187" s="71"/>
      <c r="B187" s="70"/>
      <c r="C187" s="70"/>
      <c r="D187" s="70"/>
      <c r="E187" s="70"/>
      <c r="F187" s="72"/>
      <c r="G187" s="73"/>
      <c r="H187" s="70"/>
      <c r="I187" s="73"/>
      <c r="J187" s="73"/>
      <c r="K187" s="73"/>
      <c r="L187" s="73"/>
      <c r="M187" s="73"/>
      <c r="N187" s="70"/>
      <c r="O187" s="70"/>
      <c r="P187" s="70"/>
      <c r="Q187" s="70"/>
      <c r="R187" s="70"/>
      <c r="S187" s="70"/>
      <c r="T187" s="70"/>
      <c r="U187" s="70"/>
      <c r="V187" s="70"/>
      <c r="W187" s="70"/>
      <c r="X187" s="70"/>
      <c r="Y187" s="70"/>
      <c r="Z187" s="70"/>
    </row>
    <row r="188" spans="1:26" ht="15.75" customHeight="1">
      <c r="A188" s="71"/>
      <c r="B188" s="70"/>
      <c r="C188" s="70"/>
      <c r="D188" s="70"/>
      <c r="E188" s="70"/>
      <c r="F188" s="72"/>
      <c r="G188" s="73"/>
      <c r="H188" s="70"/>
      <c r="I188" s="73"/>
      <c r="J188" s="73"/>
      <c r="K188" s="73"/>
      <c r="L188" s="73"/>
      <c r="M188" s="73"/>
      <c r="N188" s="70"/>
      <c r="O188" s="70"/>
      <c r="P188" s="70"/>
      <c r="Q188" s="70"/>
      <c r="R188" s="70"/>
      <c r="S188" s="70"/>
      <c r="T188" s="70"/>
      <c r="U188" s="70"/>
      <c r="V188" s="70"/>
      <c r="W188" s="70"/>
      <c r="X188" s="70"/>
      <c r="Y188" s="70"/>
      <c r="Z188" s="70"/>
    </row>
    <row r="189" spans="1:26" ht="15.75" customHeight="1">
      <c r="A189" s="71"/>
      <c r="B189" s="70"/>
      <c r="C189" s="70"/>
      <c r="D189" s="70"/>
      <c r="E189" s="70"/>
      <c r="F189" s="72"/>
      <c r="G189" s="73"/>
      <c r="H189" s="70"/>
      <c r="I189" s="73"/>
      <c r="J189" s="73"/>
      <c r="K189" s="73"/>
      <c r="L189" s="73"/>
      <c r="M189" s="73"/>
      <c r="N189" s="70"/>
      <c r="O189" s="70"/>
      <c r="P189" s="70"/>
      <c r="Q189" s="70"/>
      <c r="R189" s="70"/>
      <c r="S189" s="70"/>
      <c r="T189" s="70"/>
      <c r="U189" s="70"/>
      <c r="V189" s="70"/>
      <c r="W189" s="70"/>
      <c r="X189" s="70"/>
      <c r="Y189" s="70"/>
      <c r="Z189" s="70"/>
    </row>
    <row r="190" spans="1:26" ht="15.75" customHeight="1">
      <c r="A190" s="71"/>
      <c r="B190" s="70"/>
      <c r="C190" s="70"/>
      <c r="D190" s="70"/>
      <c r="E190" s="70"/>
      <c r="F190" s="72"/>
      <c r="G190" s="73"/>
      <c r="H190" s="70"/>
      <c r="I190" s="73"/>
      <c r="J190" s="73"/>
      <c r="K190" s="73"/>
      <c r="L190" s="73"/>
      <c r="M190" s="73"/>
      <c r="N190" s="70"/>
      <c r="O190" s="70"/>
      <c r="P190" s="70"/>
      <c r="Q190" s="70"/>
      <c r="R190" s="70"/>
      <c r="S190" s="70"/>
      <c r="T190" s="70"/>
      <c r="U190" s="70"/>
      <c r="V190" s="70"/>
      <c r="W190" s="70"/>
      <c r="X190" s="70"/>
      <c r="Y190" s="70"/>
      <c r="Z190" s="70"/>
    </row>
    <row r="191" spans="1:26" ht="15.75" customHeight="1">
      <c r="A191" s="71"/>
      <c r="B191" s="70"/>
      <c r="C191" s="70"/>
      <c r="D191" s="70"/>
      <c r="E191" s="70"/>
      <c r="F191" s="72"/>
      <c r="G191" s="73"/>
      <c r="H191" s="70"/>
      <c r="I191" s="73"/>
      <c r="J191" s="73"/>
      <c r="K191" s="73"/>
      <c r="L191" s="73"/>
      <c r="M191" s="73"/>
      <c r="N191" s="70"/>
      <c r="O191" s="70"/>
      <c r="P191" s="70"/>
      <c r="Q191" s="70"/>
      <c r="R191" s="70"/>
      <c r="S191" s="70"/>
      <c r="T191" s="70"/>
      <c r="U191" s="70"/>
      <c r="V191" s="70"/>
      <c r="W191" s="70"/>
      <c r="X191" s="70"/>
      <c r="Y191" s="70"/>
      <c r="Z191" s="70"/>
    </row>
    <row r="192" spans="1:26" ht="15.75" customHeight="1">
      <c r="A192" s="71"/>
      <c r="B192" s="70"/>
      <c r="C192" s="70"/>
      <c r="D192" s="70"/>
      <c r="E192" s="70"/>
      <c r="F192" s="72"/>
      <c r="G192" s="73"/>
      <c r="H192" s="70"/>
      <c r="I192" s="73"/>
      <c r="J192" s="73"/>
      <c r="K192" s="73"/>
      <c r="L192" s="73"/>
      <c r="M192" s="73"/>
      <c r="N192" s="70"/>
      <c r="O192" s="70"/>
      <c r="P192" s="70"/>
      <c r="Q192" s="70"/>
      <c r="R192" s="70"/>
      <c r="S192" s="70"/>
      <c r="T192" s="70"/>
      <c r="U192" s="70"/>
      <c r="V192" s="70"/>
      <c r="W192" s="70"/>
      <c r="X192" s="70"/>
      <c r="Y192" s="70"/>
      <c r="Z192" s="70"/>
    </row>
    <row r="193" spans="1:26" ht="15.75" customHeight="1">
      <c r="A193" s="71"/>
      <c r="B193" s="70"/>
      <c r="C193" s="70"/>
      <c r="D193" s="70"/>
      <c r="E193" s="70"/>
      <c r="F193" s="72"/>
      <c r="G193" s="73"/>
      <c r="H193" s="70"/>
      <c r="I193" s="73"/>
      <c r="J193" s="73"/>
      <c r="K193" s="73"/>
      <c r="L193" s="73"/>
      <c r="M193" s="73"/>
      <c r="N193" s="70"/>
      <c r="O193" s="70"/>
      <c r="P193" s="70"/>
      <c r="Q193" s="70"/>
      <c r="R193" s="70"/>
      <c r="S193" s="70"/>
      <c r="T193" s="70"/>
      <c r="U193" s="70"/>
      <c r="V193" s="70"/>
      <c r="W193" s="70"/>
      <c r="X193" s="70"/>
      <c r="Y193" s="70"/>
      <c r="Z193" s="70"/>
    </row>
    <row r="194" spans="1:26" ht="15.75" customHeight="1">
      <c r="A194" s="71"/>
      <c r="B194" s="70"/>
      <c r="C194" s="70"/>
      <c r="D194" s="70"/>
      <c r="E194" s="70"/>
      <c r="F194" s="72"/>
      <c r="G194" s="73"/>
      <c r="H194" s="70"/>
      <c r="I194" s="73"/>
      <c r="J194" s="73"/>
      <c r="K194" s="73"/>
      <c r="L194" s="73"/>
      <c r="M194" s="73"/>
      <c r="N194" s="70"/>
      <c r="O194" s="70"/>
      <c r="P194" s="70"/>
      <c r="Q194" s="70"/>
      <c r="R194" s="70"/>
      <c r="S194" s="70"/>
      <c r="T194" s="70"/>
      <c r="U194" s="70"/>
      <c r="V194" s="70"/>
      <c r="W194" s="70"/>
      <c r="X194" s="70"/>
      <c r="Y194" s="70"/>
      <c r="Z194" s="70"/>
    </row>
    <row r="195" spans="1:26" ht="15.75" customHeight="1">
      <c r="A195" s="71"/>
      <c r="B195" s="70"/>
      <c r="C195" s="70"/>
      <c r="D195" s="70"/>
      <c r="E195" s="70"/>
      <c r="F195" s="72"/>
      <c r="G195" s="73"/>
      <c r="H195" s="70"/>
      <c r="I195" s="73"/>
      <c r="J195" s="73"/>
      <c r="K195" s="73"/>
      <c r="L195" s="73"/>
      <c r="M195" s="73"/>
      <c r="N195" s="70"/>
      <c r="O195" s="70"/>
      <c r="P195" s="70"/>
      <c r="Q195" s="70"/>
      <c r="R195" s="70"/>
      <c r="S195" s="70"/>
      <c r="T195" s="70"/>
      <c r="U195" s="70"/>
      <c r="V195" s="70"/>
      <c r="W195" s="70"/>
      <c r="X195" s="70"/>
      <c r="Y195" s="70"/>
      <c r="Z195" s="70"/>
    </row>
    <row r="196" spans="1:26" ht="15.75" customHeight="1">
      <c r="A196" s="71"/>
      <c r="B196" s="70"/>
      <c r="C196" s="70"/>
      <c r="D196" s="70"/>
      <c r="E196" s="70"/>
      <c r="F196" s="72"/>
      <c r="G196" s="73"/>
      <c r="H196" s="70"/>
      <c r="I196" s="73"/>
      <c r="J196" s="73"/>
      <c r="K196" s="73"/>
      <c r="L196" s="73"/>
      <c r="M196" s="73"/>
      <c r="N196" s="70"/>
      <c r="O196" s="70"/>
      <c r="P196" s="70"/>
      <c r="Q196" s="70"/>
      <c r="R196" s="70"/>
      <c r="S196" s="70"/>
      <c r="T196" s="70"/>
      <c r="U196" s="70"/>
      <c r="V196" s="70"/>
      <c r="W196" s="70"/>
      <c r="X196" s="70"/>
      <c r="Y196" s="70"/>
      <c r="Z196" s="70"/>
    </row>
    <row r="197" spans="1:26" ht="15.75" customHeight="1">
      <c r="A197" s="71"/>
      <c r="B197" s="70"/>
      <c r="C197" s="70"/>
      <c r="D197" s="70"/>
      <c r="E197" s="70"/>
      <c r="F197" s="72"/>
      <c r="G197" s="73"/>
      <c r="H197" s="70"/>
      <c r="I197" s="73"/>
      <c r="J197" s="73"/>
      <c r="K197" s="73"/>
      <c r="L197" s="73"/>
      <c r="M197" s="73"/>
      <c r="N197" s="70"/>
      <c r="O197" s="70"/>
      <c r="P197" s="70"/>
      <c r="Q197" s="70"/>
      <c r="R197" s="70"/>
      <c r="S197" s="70"/>
      <c r="T197" s="70"/>
      <c r="U197" s="70"/>
      <c r="V197" s="70"/>
      <c r="W197" s="70"/>
      <c r="X197" s="70"/>
      <c r="Y197" s="70"/>
      <c r="Z197" s="70"/>
    </row>
    <row r="198" spans="1:26" ht="15.75" customHeight="1">
      <c r="A198" s="71"/>
      <c r="B198" s="70"/>
      <c r="C198" s="70"/>
      <c r="D198" s="70"/>
      <c r="E198" s="70"/>
      <c r="F198" s="72"/>
      <c r="G198" s="73"/>
      <c r="H198" s="70"/>
      <c r="I198" s="73"/>
      <c r="J198" s="73"/>
      <c r="K198" s="73"/>
      <c r="L198" s="73"/>
      <c r="M198" s="73"/>
      <c r="N198" s="70"/>
      <c r="O198" s="70"/>
      <c r="P198" s="70"/>
      <c r="Q198" s="70"/>
      <c r="R198" s="70"/>
      <c r="S198" s="70"/>
      <c r="T198" s="70"/>
      <c r="U198" s="70"/>
      <c r="V198" s="70"/>
      <c r="W198" s="70"/>
      <c r="X198" s="70"/>
      <c r="Y198" s="70"/>
      <c r="Z198" s="70"/>
    </row>
    <row r="199" spans="1:26" ht="15.75" customHeight="1">
      <c r="A199" s="71"/>
      <c r="B199" s="70"/>
      <c r="C199" s="70"/>
      <c r="D199" s="70"/>
      <c r="E199" s="70"/>
      <c r="F199" s="72"/>
      <c r="G199" s="73"/>
      <c r="H199" s="70"/>
      <c r="I199" s="73"/>
      <c r="J199" s="73"/>
      <c r="K199" s="73"/>
      <c r="L199" s="73"/>
      <c r="M199" s="73"/>
      <c r="N199" s="70"/>
      <c r="O199" s="70"/>
      <c r="P199" s="70"/>
      <c r="Q199" s="70"/>
      <c r="R199" s="70"/>
      <c r="S199" s="70"/>
      <c r="T199" s="70"/>
      <c r="U199" s="70"/>
      <c r="V199" s="70"/>
      <c r="W199" s="70"/>
      <c r="X199" s="70"/>
      <c r="Y199" s="70"/>
      <c r="Z199" s="70"/>
    </row>
    <row r="200" spans="1:26" ht="15.75" customHeight="1">
      <c r="A200" s="71"/>
      <c r="B200" s="70"/>
      <c r="C200" s="70"/>
      <c r="D200" s="70"/>
      <c r="E200" s="70"/>
      <c r="F200" s="72"/>
      <c r="G200" s="73"/>
      <c r="H200" s="70"/>
      <c r="I200" s="73"/>
      <c r="J200" s="73"/>
      <c r="K200" s="73"/>
      <c r="L200" s="73"/>
      <c r="M200" s="73"/>
      <c r="N200" s="70"/>
      <c r="O200" s="70"/>
      <c r="P200" s="70"/>
      <c r="Q200" s="70"/>
      <c r="R200" s="70"/>
      <c r="S200" s="70"/>
      <c r="T200" s="70"/>
      <c r="U200" s="70"/>
      <c r="V200" s="70"/>
      <c r="W200" s="70"/>
      <c r="X200" s="70"/>
      <c r="Y200" s="70"/>
      <c r="Z200" s="70"/>
    </row>
    <row r="201" spans="1:26" ht="15.75" customHeight="1">
      <c r="A201" s="71"/>
      <c r="B201" s="70"/>
      <c r="C201" s="70"/>
      <c r="D201" s="70"/>
      <c r="E201" s="70"/>
      <c r="F201" s="72"/>
      <c r="G201" s="73"/>
      <c r="H201" s="70"/>
      <c r="I201" s="73"/>
      <c r="J201" s="73"/>
      <c r="K201" s="73"/>
      <c r="L201" s="73"/>
      <c r="M201" s="73"/>
      <c r="N201" s="70"/>
      <c r="O201" s="70"/>
      <c r="P201" s="70"/>
      <c r="Q201" s="70"/>
      <c r="R201" s="70"/>
      <c r="S201" s="70"/>
      <c r="T201" s="70"/>
      <c r="U201" s="70"/>
      <c r="V201" s="70"/>
      <c r="W201" s="70"/>
      <c r="X201" s="70"/>
      <c r="Y201" s="70"/>
      <c r="Z201" s="70"/>
    </row>
    <row r="202" spans="1:26" ht="15.75" customHeight="1">
      <c r="A202" s="71"/>
      <c r="B202" s="70"/>
      <c r="C202" s="70"/>
      <c r="D202" s="70"/>
      <c r="E202" s="70"/>
      <c r="F202" s="72"/>
      <c r="G202" s="73"/>
      <c r="H202" s="70"/>
      <c r="I202" s="73"/>
      <c r="J202" s="73"/>
      <c r="K202" s="73"/>
      <c r="L202" s="73"/>
      <c r="M202" s="73"/>
      <c r="N202" s="70"/>
      <c r="O202" s="70"/>
      <c r="P202" s="70"/>
      <c r="Q202" s="70"/>
      <c r="R202" s="70"/>
      <c r="S202" s="70"/>
      <c r="T202" s="70"/>
      <c r="U202" s="70"/>
      <c r="V202" s="70"/>
      <c r="W202" s="70"/>
      <c r="X202" s="70"/>
      <c r="Y202" s="70"/>
      <c r="Z202" s="70"/>
    </row>
    <row r="203" spans="1:26" ht="15.75" customHeight="1">
      <c r="A203" s="71"/>
      <c r="B203" s="70"/>
      <c r="C203" s="70"/>
      <c r="D203" s="70"/>
      <c r="E203" s="70"/>
      <c r="F203" s="72"/>
      <c r="G203" s="73"/>
      <c r="H203" s="70"/>
      <c r="I203" s="73"/>
      <c r="J203" s="73"/>
      <c r="K203" s="73"/>
      <c r="L203" s="73"/>
      <c r="M203" s="73"/>
      <c r="N203" s="70"/>
      <c r="O203" s="70"/>
      <c r="P203" s="70"/>
      <c r="Q203" s="70"/>
      <c r="R203" s="70"/>
      <c r="S203" s="70"/>
      <c r="T203" s="70"/>
      <c r="U203" s="70"/>
      <c r="V203" s="70"/>
      <c r="W203" s="70"/>
      <c r="X203" s="70"/>
      <c r="Y203" s="70"/>
      <c r="Z203" s="70"/>
    </row>
    <row r="204" spans="1:26" ht="15.75" customHeight="1">
      <c r="A204" s="71"/>
      <c r="B204" s="70"/>
      <c r="C204" s="70"/>
      <c r="D204" s="70"/>
      <c r="E204" s="70"/>
      <c r="F204" s="72"/>
      <c r="G204" s="73"/>
      <c r="H204" s="70"/>
      <c r="I204" s="73"/>
      <c r="J204" s="73"/>
      <c r="K204" s="73"/>
      <c r="L204" s="73"/>
      <c r="M204" s="73"/>
      <c r="N204" s="70"/>
      <c r="O204" s="70"/>
      <c r="P204" s="70"/>
      <c r="Q204" s="70"/>
      <c r="R204" s="70"/>
      <c r="S204" s="70"/>
      <c r="T204" s="70"/>
      <c r="U204" s="70"/>
      <c r="V204" s="70"/>
      <c r="W204" s="70"/>
      <c r="X204" s="70"/>
      <c r="Y204" s="70"/>
      <c r="Z204" s="70"/>
    </row>
    <row r="205" spans="1:26" ht="15.75" customHeight="1">
      <c r="A205" s="71"/>
      <c r="B205" s="70"/>
      <c r="C205" s="70"/>
      <c r="D205" s="70"/>
      <c r="E205" s="70"/>
      <c r="F205" s="72"/>
      <c r="G205" s="73"/>
      <c r="H205" s="70"/>
      <c r="I205" s="73"/>
      <c r="J205" s="73"/>
      <c r="K205" s="73"/>
      <c r="L205" s="73"/>
      <c r="M205" s="73"/>
      <c r="N205" s="70"/>
      <c r="O205" s="70"/>
      <c r="P205" s="70"/>
      <c r="Q205" s="70"/>
      <c r="R205" s="70"/>
      <c r="S205" s="70"/>
      <c r="T205" s="70"/>
      <c r="U205" s="70"/>
      <c r="V205" s="70"/>
      <c r="W205" s="70"/>
      <c r="X205" s="70"/>
      <c r="Y205" s="70"/>
      <c r="Z205" s="70"/>
    </row>
    <row r="206" spans="1:26" ht="15.75" customHeight="1">
      <c r="A206" s="71"/>
      <c r="B206" s="70"/>
      <c r="C206" s="70"/>
      <c r="D206" s="70"/>
      <c r="E206" s="70"/>
      <c r="F206" s="72"/>
      <c r="G206" s="73"/>
      <c r="H206" s="70"/>
      <c r="I206" s="73"/>
      <c r="J206" s="73"/>
      <c r="K206" s="73"/>
      <c r="L206" s="73"/>
      <c r="M206" s="73"/>
      <c r="N206" s="70"/>
      <c r="O206" s="70"/>
      <c r="P206" s="70"/>
      <c r="Q206" s="70"/>
      <c r="R206" s="70"/>
      <c r="S206" s="70"/>
      <c r="T206" s="70"/>
      <c r="U206" s="70"/>
      <c r="V206" s="70"/>
      <c r="W206" s="70"/>
      <c r="X206" s="70"/>
      <c r="Y206" s="70"/>
      <c r="Z206" s="70"/>
    </row>
    <row r="207" spans="1:26" ht="15.75" customHeight="1">
      <c r="A207" s="71"/>
      <c r="B207" s="70"/>
      <c r="C207" s="70"/>
      <c r="D207" s="70"/>
      <c r="E207" s="70"/>
      <c r="F207" s="72"/>
      <c r="G207" s="73"/>
      <c r="H207" s="70"/>
      <c r="I207" s="73"/>
      <c r="J207" s="73"/>
      <c r="K207" s="73"/>
      <c r="L207" s="73"/>
      <c r="M207" s="73"/>
      <c r="N207" s="70"/>
      <c r="O207" s="70"/>
      <c r="P207" s="70"/>
      <c r="Q207" s="70"/>
      <c r="R207" s="70"/>
      <c r="S207" s="70"/>
      <c r="T207" s="70"/>
      <c r="U207" s="70"/>
      <c r="V207" s="70"/>
      <c r="W207" s="70"/>
      <c r="X207" s="70"/>
      <c r="Y207" s="70"/>
      <c r="Z207" s="70"/>
    </row>
    <row r="208" spans="1:26" ht="15.75" customHeight="1">
      <c r="A208" s="71"/>
      <c r="B208" s="70"/>
      <c r="C208" s="70"/>
      <c r="D208" s="70"/>
      <c r="E208" s="70"/>
      <c r="F208" s="72"/>
      <c r="G208" s="73"/>
      <c r="H208" s="70"/>
      <c r="I208" s="73"/>
      <c r="J208" s="73"/>
      <c r="K208" s="73"/>
      <c r="L208" s="73"/>
      <c r="M208" s="73"/>
      <c r="N208" s="70"/>
      <c r="O208" s="70"/>
      <c r="P208" s="70"/>
      <c r="Q208" s="70"/>
      <c r="R208" s="70"/>
      <c r="S208" s="70"/>
      <c r="T208" s="70"/>
      <c r="U208" s="70"/>
      <c r="V208" s="70"/>
      <c r="W208" s="70"/>
      <c r="X208" s="70"/>
      <c r="Y208" s="70"/>
      <c r="Z208" s="70"/>
    </row>
    <row r="209" spans="1:26" ht="15.75" customHeight="1">
      <c r="A209" s="71"/>
      <c r="B209" s="70"/>
      <c r="C209" s="70"/>
      <c r="D209" s="70"/>
      <c r="E209" s="70"/>
      <c r="F209" s="72"/>
      <c r="G209" s="73"/>
      <c r="H209" s="70"/>
      <c r="I209" s="73"/>
      <c r="J209" s="73"/>
      <c r="K209" s="73"/>
      <c r="L209" s="73"/>
      <c r="M209" s="73"/>
      <c r="N209" s="70"/>
      <c r="O209" s="70"/>
      <c r="P209" s="70"/>
      <c r="Q209" s="70"/>
      <c r="R209" s="70"/>
      <c r="S209" s="70"/>
      <c r="T209" s="70"/>
      <c r="U209" s="70"/>
      <c r="V209" s="70"/>
      <c r="W209" s="70"/>
      <c r="X209" s="70"/>
      <c r="Y209" s="70"/>
      <c r="Z209" s="70"/>
    </row>
    <row r="210" spans="1:26" ht="15.75" customHeight="1">
      <c r="A210" s="71"/>
      <c r="B210" s="70"/>
      <c r="C210" s="70"/>
      <c r="D210" s="70"/>
      <c r="E210" s="70"/>
      <c r="F210" s="72"/>
      <c r="G210" s="73"/>
      <c r="H210" s="70"/>
      <c r="I210" s="73"/>
      <c r="J210" s="73"/>
      <c r="K210" s="73"/>
      <c r="L210" s="73"/>
      <c r="M210" s="73"/>
      <c r="N210" s="70"/>
      <c r="O210" s="70"/>
      <c r="P210" s="70"/>
      <c r="Q210" s="70"/>
      <c r="R210" s="70"/>
      <c r="S210" s="70"/>
      <c r="T210" s="70"/>
      <c r="U210" s="70"/>
      <c r="V210" s="70"/>
      <c r="W210" s="70"/>
      <c r="X210" s="70"/>
      <c r="Y210" s="70"/>
      <c r="Z210" s="70"/>
    </row>
    <row r="211" spans="1:26" ht="15.75" customHeight="1">
      <c r="A211" s="71"/>
      <c r="B211" s="70"/>
      <c r="C211" s="70"/>
      <c r="D211" s="70"/>
      <c r="E211" s="70"/>
      <c r="F211" s="72"/>
      <c r="G211" s="73"/>
      <c r="H211" s="70"/>
      <c r="I211" s="73"/>
      <c r="J211" s="73"/>
      <c r="K211" s="73"/>
      <c r="L211" s="73"/>
      <c r="M211" s="73"/>
      <c r="N211" s="70"/>
      <c r="O211" s="70"/>
      <c r="P211" s="70"/>
      <c r="Q211" s="70"/>
      <c r="R211" s="70"/>
      <c r="S211" s="70"/>
      <c r="T211" s="70"/>
      <c r="U211" s="70"/>
      <c r="V211" s="70"/>
      <c r="W211" s="70"/>
      <c r="X211" s="70"/>
      <c r="Y211" s="70"/>
      <c r="Z211" s="70"/>
    </row>
    <row r="212" spans="1:26" ht="15.75" customHeight="1">
      <c r="A212" s="71"/>
      <c r="B212" s="70"/>
      <c r="C212" s="70"/>
      <c r="D212" s="70"/>
      <c r="E212" s="70"/>
      <c r="F212" s="72"/>
      <c r="G212" s="73"/>
      <c r="H212" s="70"/>
      <c r="I212" s="73"/>
      <c r="J212" s="73"/>
      <c r="K212" s="73"/>
      <c r="L212" s="73"/>
      <c r="M212" s="73"/>
      <c r="N212" s="70"/>
      <c r="O212" s="70"/>
      <c r="P212" s="70"/>
      <c r="Q212" s="70"/>
      <c r="R212" s="70"/>
      <c r="S212" s="70"/>
      <c r="T212" s="70"/>
      <c r="U212" s="70"/>
      <c r="V212" s="70"/>
      <c r="W212" s="70"/>
      <c r="X212" s="70"/>
      <c r="Y212" s="70"/>
      <c r="Z212" s="70"/>
    </row>
    <row r="213" spans="1:26" ht="15.75" customHeight="1">
      <c r="A213" s="71"/>
      <c r="B213" s="70"/>
      <c r="C213" s="70"/>
      <c r="D213" s="70"/>
      <c r="E213" s="70"/>
      <c r="F213" s="72"/>
      <c r="G213" s="73"/>
      <c r="H213" s="70"/>
      <c r="I213" s="73"/>
      <c r="J213" s="73"/>
      <c r="K213" s="73"/>
      <c r="L213" s="73"/>
      <c r="M213" s="73"/>
      <c r="N213" s="70"/>
      <c r="O213" s="70"/>
      <c r="P213" s="70"/>
      <c r="Q213" s="70"/>
      <c r="R213" s="70"/>
      <c r="S213" s="70"/>
      <c r="T213" s="70"/>
      <c r="U213" s="70"/>
      <c r="V213" s="70"/>
      <c r="W213" s="70"/>
      <c r="X213" s="70"/>
      <c r="Y213" s="70"/>
      <c r="Z213" s="70"/>
    </row>
    <row r="214" spans="1:26" ht="15.75" customHeight="1">
      <c r="A214" s="71"/>
      <c r="B214" s="70"/>
      <c r="C214" s="70"/>
      <c r="D214" s="70"/>
      <c r="E214" s="70"/>
      <c r="F214" s="72"/>
      <c r="G214" s="73"/>
      <c r="H214" s="70"/>
      <c r="I214" s="73"/>
      <c r="J214" s="73"/>
      <c r="K214" s="73"/>
      <c r="L214" s="73"/>
      <c r="M214" s="73"/>
      <c r="N214" s="70"/>
      <c r="O214" s="70"/>
      <c r="P214" s="70"/>
      <c r="Q214" s="70"/>
      <c r="R214" s="70"/>
      <c r="S214" s="70"/>
      <c r="T214" s="70"/>
      <c r="U214" s="70"/>
      <c r="V214" s="70"/>
      <c r="W214" s="70"/>
      <c r="X214" s="70"/>
      <c r="Y214" s="70"/>
      <c r="Z214" s="70"/>
    </row>
    <row r="215" spans="1:26" ht="15.75" customHeight="1">
      <c r="A215" s="71"/>
      <c r="B215" s="70"/>
      <c r="C215" s="70"/>
      <c r="D215" s="70"/>
      <c r="E215" s="70"/>
      <c r="F215" s="72"/>
      <c r="G215" s="73"/>
      <c r="H215" s="70"/>
      <c r="I215" s="73"/>
      <c r="J215" s="73"/>
      <c r="K215" s="73"/>
      <c r="L215" s="73"/>
      <c r="M215" s="73"/>
      <c r="N215" s="70"/>
      <c r="O215" s="70"/>
      <c r="P215" s="70"/>
      <c r="Q215" s="70"/>
      <c r="R215" s="70"/>
      <c r="S215" s="70"/>
      <c r="T215" s="70"/>
      <c r="U215" s="70"/>
      <c r="V215" s="70"/>
      <c r="W215" s="70"/>
      <c r="X215" s="70"/>
      <c r="Y215" s="70"/>
      <c r="Z215" s="70"/>
    </row>
    <row r="216" spans="1:26" ht="15.75" customHeight="1">
      <c r="A216" s="71"/>
      <c r="B216" s="70"/>
      <c r="C216" s="70"/>
      <c r="D216" s="70"/>
      <c r="E216" s="70"/>
      <c r="F216" s="72"/>
      <c r="G216" s="73"/>
      <c r="H216" s="70"/>
      <c r="I216" s="73"/>
      <c r="J216" s="73"/>
      <c r="K216" s="73"/>
      <c r="L216" s="73"/>
      <c r="M216" s="73"/>
      <c r="N216" s="70"/>
      <c r="O216" s="70"/>
      <c r="P216" s="70"/>
      <c r="Q216" s="70"/>
      <c r="R216" s="70"/>
      <c r="S216" s="70"/>
      <c r="T216" s="70"/>
      <c r="U216" s="70"/>
      <c r="V216" s="70"/>
      <c r="W216" s="70"/>
      <c r="X216" s="70"/>
      <c r="Y216" s="70"/>
      <c r="Z216" s="70"/>
    </row>
    <row r="217" spans="1:26" ht="15.75" customHeight="1">
      <c r="A217" s="71"/>
      <c r="B217" s="70"/>
      <c r="C217" s="70"/>
      <c r="D217" s="70"/>
      <c r="E217" s="70"/>
      <c r="F217" s="72"/>
      <c r="G217" s="73"/>
      <c r="H217" s="70"/>
      <c r="I217" s="73"/>
      <c r="J217" s="73"/>
      <c r="K217" s="73"/>
      <c r="L217" s="73"/>
      <c r="M217" s="73"/>
      <c r="N217" s="70"/>
      <c r="O217" s="70"/>
      <c r="P217" s="70"/>
      <c r="Q217" s="70"/>
      <c r="R217" s="70"/>
      <c r="S217" s="70"/>
      <c r="T217" s="70"/>
      <c r="U217" s="70"/>
      <c r="V217" s="70"/>
      <c r="W217" s="70"/>
      <c r="X217" s="70"/>
      <c r="Y217" s="70"/>
      <c r="Z217" s="70"/>
    </row>
    <row r="218" spans="1:26" ht="15.75" customHeight="1">
      <c r="A218" s="71"/>
      <c r="B218" s="70"/>
      <c r="C218" s="70"/>
      <c r="D218" s="70"/>
      <c r="E218" s="70"/>
      <c r="F218" s="72"/>
      <c r="G218" s="73"/>
      <c r="H218" s="70"/>
      <c r="I218" s="73"/>
      <c r="J218" s="73"/>
      <c r="K218" s="73"/>
      <c r="L218" s="73"/>
      <c r="M218" s="73"/>
      <c r="N218" s="70"/>
      <c r="O218" s="70"/>
      <c r="P218" s="70"/>
      <c r="Q218" s="70"/>
      <c r="R218" s="70"/>
      <c r="S218" s="70"/>
      <c r="T218" s="70"/>
      <c r="U218" s="70"/>
      <c r="V218" s="70"/>
      <c r="W218" s="70"/>
      <c r="X218" s="70"/>
      <c r="Y218" s="70"/>
      <c r="Z218" s="70"/>
    </row>
    <row r="219" spans="1:26" ht="15.75" customHeight="1">
      <c r="A219" s="71"/>
      <c r="B219" s="70"/>
      <c r="C219" s="70"/>
      <c r="D219" s="70"/>
      <c r="E219" s="70"/>
      <c r="F219" s="72"/>
      <c r="G219" s="73"/>
      <c r="H219" s="70"/>
      <c r="I219" s="73"/>
      <c r="J219" s="73"/>
      <c r="K219" s="73"/>
      <c r="L219" s="73"/>
      <c r="M219" s="73"/>
      <c r="N219" s="70"/>
      <c r="O219" s="70"/>
      <c r="P219" s="70"/>
      <c r="Q219" s="70"/>
      <c r="R219" s="70"/>
      <c r="S219" s="70"/>
      <c r="T219" s="70"/>
      <c r="U219" s="70"/>
      <c r="V219" s="70"/>
      <c r="W219" s="70"/>
      <c r="X219" s="70"/>
      <c r="Y219" s="70"/>
      <c r="Z219" s="70"/>
    </row>
    <row r="220" spans="1:26" ht="15.75" customHeight="1">
      <c r="A220" s="71"/>
      <c r="B220" s="70"/>
      <c r="C220" s="70"/>
      <c r="D220" s="70"/>
      <c r="E220" s="70"/>
      <c r="F220" s="72"/>
      <c r="G220" s="73"/>
      <c r="H220" s="70"/>
      <c r="I220" s="73"/>
      <c r="J220" s="73"/>
      <c r="K220" s="73"/>
      <c r="L220" s="73"/>
      <c r="M220" s="73"/>
      <c r="N220" s="70"/>
      <c r="O220" s="70"/>
      <c r="P220" s="70"/>
      <c r="Q220" s="70"/>
      <c r="R220" s="70"/>
      <c r="S220" s="70"/>
      <c r="T220" s="70"/>
      <c r="U220" s="70"/>
      <c r="V220" s="70"/>
      <c r="W220" s="70"/>
      <c r="X220" s="70"/>
      <c r="Y220" s="70"/>
      <c r="Z220" s="70"/>
    </row>
    <row r="221" spans="1:26" ht="15.75" customHeight="1">
      <c r="A221" s="71"/>
      <c r="B221" s="70"/>
      <c r="C221" s="70"/>
      <c r="D221" s="70"/>
      <c r="E221" s="70"/>
      <c r="F221" s="72"/>
      <c r="G221" s="73"/>
      <c r="H221" s="70"/>
      <c r="I221" s="73"/>
      <c r="J221" s="73"/>
      <c r="K221" s="73"/>
      <c r="L221" s="73"/>
      <c r="M221" s="73"/>
      <c r="N221" s="70"/>
      <c r="O221" s="70"/>
      <c r="P221" s="70"/>
      <c r="Q221" s="70"/>
      <c r="R221" s="70"/>
      <c r="S221" s="70"/>
      <c r="T221" s="70"/>
      <c r="U221" s="70"/>
      <c r="V221" s="70"/>
      <c r="W221" s="70"/>
      <c r="X221" s="70"/>
      <c r="Y221" s="70"/>
      <c r="Z221" s="70"/>
    </row>
    <row r="222" spans="1:26" ht="15.75" customHeight="1">
      <c r="A222" s="71"/>
      <c r="B222" s="70"/>
      <c r="C222" s="70"/>
      <c r="D222" s="70"/>
      <c r="E222" s="70"/>
      <c r="F222" s="72"/>
      <c r="G222" s="73"/>
      <c r="H222" s="70"/>
      <c r="I222" s="73"/>
      <c r="J222" s="73"/>
      <c r="K222" s="73"/>
      <c r="L222" s="73"/>
      <c r="M222" s="73"/>
      <c r="N222" s="70"/>
      <c r="O222" s="70"/>
      <c r="P222" s="70"/>
      <c r="Q222" s="70"/>
      <c r="R222" s="70"/>
      <c r="S222" s="70"/>
      <c r="T222" s="70"/>
      <c r="U222" s="70"/>
      <c r="V222" s="70"/>
      <c r="W222" s="70"/>
      <c r="X222" s="70"/>
      <c r="Y222" s="70"/>
      <c r="Z222" s="70"/>
    </row>
    <row r="223" spans="1:26" ht="15.75" customHeight="1">
      <c r="A223" s="71"/>
      <c r="B223" s="70"/>
      <c r="C223" s="70"/>
      <c r="D223" s="70"/>
      <c r="E223" s="70"/>
      <c r="F223" s="72"/>
      <c r="G223" s="73"/>
      <c r="H223" s="70"/>
      <c r="I223" s="73"/>
      <c r="J223" s="73"/>
      <c r="K223" s="73"/>
      <c r="L223" s="73"/>
      <c r="M223" s="73"/>
      <c r="N223" s="70"/>
      <c r="O223" s="70"/>
      <c r="P223" s="70"/>
      <c r="Q223" s="70"/>
      <c r="R223" s="70"/>
      <c r="S223" s="70"/>
      <c r="T223" s="70"/>
      <c r="U223" s="70"/>
      <c r="V223" s="70"/>
      <c r="W223" s="70"/>
      <c r="X223" s="70"/>
      <c r="Y223" s="70"/>
      <c r="Z223" s="70"/>
    </row>
    <row r="224" spans="1:26" ht="15.75" customHeight="1">
      <c r="A224" s="71"/>
      <c r="B224" s="70"/>
      <c r="C224" s="70"/>
      <c r="D224" s="70"/>
      <c r="E224" s="70"/>
      <c r="F224" s="72"/>
      <c r="G224" s="73"/>
      <c r="H224" s="70"/>
      <c r="I224" s="73"/>
      <c r="J224" s="73"/>
      <c r="K224" s="73"/>
      <c r="L224" s="73"/>
      <c r="M224" s="73"/>
      <c r="N224" s="70"/>
      <c r="O224" s="70"/>
      <c r="P224" s="70"/>
      <c r="Q224" s="70"/>
      <c r="R224" s="70"/>
      <c r="S224" s="70"/>
      <c r="T224" s="70"/>
      <c r="U224" s="70"/>
      <c r="V224" s="70"/>
      <c r="W224" s="70"/>
      <c r="X224" s="70"/>
      <c r="Y224" s="70"/>
      <c r="Z224" s="70"/>
    </row>
    <row r="225" spans="1:26" ht="15.75" customHeight="1">
      <c r="A225" s="71"/>
      <c r="B225" s="70"/>
      <c r="C225" s="70"/>
      <c r="D225" s="70"/>
      <c r="E225" s="70"/>
      <c r="F225" s="72"/>
      <c r="G225" s="73"/>
      <c r="H225" s="70"/>
      <c r="I225" s="73"/>
      <c r="J225" s="73"/>
      <c r="K225" s="73"/>
      <c r="L225" s="73"/>
      <c r="M225" s="73"/>
      <c r="N225" s="70"/>
      <c r="O225" s="70"/>
      <c r="P225" s="70"/>
      <c r="Q225" s="70"/>
      <c r="R225" s="70"/>
      <c r="S225" s="70"/>
      <c r="T225" s="70"/>
      <c r="U225" s="70"/>
      <c r="V225" s="70"/>
      <c r="W225" s="70"/>
      <c r="X225" s="70"/>
      <c r="Y225" s="70"/>
      <c r="Z225" s="70"/>
    </row>
    <row r="226" spans="1:26" ht="15.75" customHeight="1">
      <c r="A226" s="71"/>
      <c r="B226" s="70"/>
      <c r="C226" s="70"/>
      <c r="D226" s="70"/>
      <c r="E226" s="70"/>
      <c r="F226" s="72"/>
      <c r="G226" s="73"/>
      <c r="H226" s="70"/>
      <c r="I226" s="73"/>
      <c r="J226" s="73"/>
      <c r="K226" s="73"/>
      <c r="L226" s="73"/>
      <c r="M226" s="73"/>
      <c r="N226" s="70"/>
      <c r="O226" s="70"/>
      <c r="P226" s="70"/>
      <c r="Q226" s="70"/>
      <c r="R226" s="70"/>
      <c r="S226" s="70"/>
      <c r="T226" s="70"/>
      <c r="U226" s="70"/>
      <c r="V226" s="70"/>
      <c r="W226" s="70"/>
      <c r="X226" s="70"/>
      <c r="Y226" s="70"/>
      <c r="Z226" s="70"/>
    </row>
    <row r="227" spans="1:26" ht="15.75" customHeight="1">
      <c r="A227" s="71"/>
      <c r="B227" s="70"/>
      <c r="C227" s="70"/>
      <c r="D227" s="70"/>
      <c r="E227" s="70"/>
      <c r="F227" s="72"/>
      <c r="G227" s="73"/>
      <c r="H227" s="70"/>
      <c r="I227" s="73"/>
      <c r="J227" s="73"/>
      <c r="K227" s="73"/>
      <c r="L227" s="73"/>
      <c r="M227" s="73"/>
      <c r="N227" s="70"/>
      <c r="O227" s="70"/>
      <c r="P227" s="70"/>
      <c r="Q227" s="70"/>
      <c r="R227" s="70"/>
      <c r="S227" s="70"/>
      <c r="T227" s="70"/>
      <c r="U227" s="70"/>
      <c r="V227" s="70"/>
      <c r="W227" s="70"/>
      <c r="X227" s="70"/>
      <c r="Y227" s="70"/>
      <c r="Z227" s="70"/>
    </row>
    <row r="228" spans="1:26" ht="15.75" customHeight="1">
      <c r="A228" s="71"/>
      <c r="B228" s="70"/>
      <c r="C228" s="70"/>
      <c r="D228" s="70"/>
      <c r="E228" s="70"/>
      <c r="F228" s="72"/>
      <c r="G228" s="73"/>
      <c r="H228" s="70"/>
      <c r="I228" s="73"/>
      <c r="J228" s="73"/>
      <c r="K228" s="73"/>
      <c r="L228" s="73"/>
      <c r="M228" s="73"/>
      <c r="N228" s="70"/>
      <c r="O228" s="70"/>
      <c r="P228" s="70"/>
      <c r="Q228" s="70"/>
      <c r="R228" s="70"/>
      <c r="S228" s="70"/>
      <c r="T228" s="70"/>
      <c r="U228" s="70"/>
      <c r="V228" s="70"/>
      <c r="W228" s="70"/>
      <c r="X228" s="70"/>
      <c r="Y228" s="70"/>
      <c r="Z228" s="70"/>
    </row>
    <row r="229" spans="1:26" ht="15.75" customHeight="1">
      <c r="A229" s="71"/>
      <c r="B229" s="70"/>
      <c r="C229" s="70"/>
      <c r="D229" s="70"/>
      <c r="E229" s="70"/>
      <c r="F229" s="72"/>
      <c r="G229" s="73"/>
      <c r="H229" s="70"/>
      <c r="I229" s="73"/>
      <c r="J229" s="73"/>
      <c r="K229" s="73"/>
      <c r="L229" s="73"/>
      <c r="M229" s="73"/>
      <c r="N229" s="70"/>
      <c r="O229" s="70"/>
      <c r="P229" s="70"/>
      <c r="Q229" s="70"/>
      <c r="R229" s="70"/>
      <c r="S229" s="70"/>
      <c r="T229" s="70"/>
      <c r="U229" s="70"/>
      <c r="V229" s="70"/>
      <c r="W229" s="70"/>
      <c r="X229" s="70"/>
      <c r="Y229" s="70"/>
      <c r="Z229" s="70"/>
    </row>
    <row r="230" spans="1:26" ht="15.75" customHeight="1">
      <c r="A230" s="71"/>
      <c r="B230" s="70"/>
      <c r="C230" s="70"/>
      <c r="D230" s="70"/>
      <c r="E230" s="70"/>
      <c r="F230" s="72"/>
      <c r="G230" s="73"/>
      <c r="H230" s="70"/>
      <c r="I230" s="73"/>
      <c r="J230" s="73"/>
      <c r="K230" s="73"/>
      <c r="L230" s="73"/>
      <c r="M230" s="73"/>
      <c r="N230" s="70"/>
      <c r="O230" s="70"/>
      <c r="P230" s="70"/>
      <c r="Q230" s="70"/>
      <c r="R230" s="70"/>
      <c r="S230" s="70"/>
      <c r="T230" s="70"/>
      <c r="U230" s="70"/>
      <c r="V230" s="70"/>
      <c r="W230" s="70"/>
      <c r="X230" s="70"/>
      <c r="Y230" s="70"/>
      <c r="Z230" s="70"/>
    </row>
    <row r="231" spans="1:26" ht="15.75" customHeight="1">
      <c r="A231" s="71"/>
      <c r="B231" s="70"/>
      <c r="C231" s="70"/>
      <c r="D231" s="70"/>
      <c r="E231" s="70"/>
      <c r="F231" s="72"/>
      <c r="G231" s="73"/>
      <c r="H231" s="70"/>
      <c r="I231" s="73"/>
      <c r="J231" s="73"/>
      <c r="K231" s="73"/>
      <c r="L231" s="73"/>
      <c r="M231" s="73"/>
      <c r="N231" s="70"/>
      <c r="O231" s="70"/>
      <c r="P231" s="70"/>
      <c r="Q231" s="70"/>
      <c r="R231" s="70"/>
      <c r="S231" s="70"/>
      <c r="T231" s="70"/>
      <c r="U231" s="70"/>
      <c r="V231" s="70"/>
      <c r="W231" s="70"/>
      <c r="X231" s="70"/>
      <c r="Y231" s="70"/>
      <c r="Z231" s="70"/>
    </row>
    <row r="232" spans="1:26" ht="15.75" customHeight="1">
      <c r="A232" s="71"/>
      <c r="B232" s="70"/>
      <c r="C232" s="70"/>
      <c r="D232" s="70"/>
      <c r="E232" s="70"/>
      <c r="F232" s="72"/>
      <c r="G232" s="73"/>
      <c r="H232" s="70"/>
      <c r="I232" s="73"/>
      <c r="J232" s="73"/>
      <c r="K232" s="73"/>
      <c r="L232" s="73"/>
      <c r="M232" s="73"/>
      <c r="N232" s="70"/>
      <c r="O232" s="70"/>
      <c r="P232" s="70"/>
      <c r="Q232" s="70"/>
      <c r="R232" s="70"/>
      <c r="S232" s="70"/>
      <c r="T232" s="70"/>
      <c r="U232" s="70"/>
      <c r="V232" s="70"/>
      <c r="W232" s="70"/>
      <c r="X232" s="70"/>
      <c r="Y232" s="70"/>
      <c r="Z232" s="70"/>
    </row>
    <row r="233" spans="1:26" ht="15.75" customHeight="1">
      <c r="A233" s="71"/>
      <c r="B233" s="70"/>
      <c r="C233" s="70"/>
      <c r="D233" s="70"/>
      <c r="E233" s="70"/>
      <c r="F233" s="72"/>
      <c r="G233" s="73"/>
      <c r="H233" s="70"/>
      <c r="I233" s="73"/>
      <c r="J233" s="73"/>
      <c r="K233" s="73"/>
      <c r="L233" s="73"/>
      <c r="M233" s="73"/>
      <c r="N233" s="70"/>
      <c r="O233" s="70"/>
      <c r="P233" s="70"/>
      <c r="Q233" s="70"/>
      <c r="R233" s="70"/>
      <c r="S233" s="70"/>
      <c r="T233" s="70"/>
      <c r="U233" s="70"/>
      <c r="V233" s="70"/>
      <c r="W233" s="70"/>
      <c r="X233" s="70"/>
      <c r="Y233" s="70"/>
      <c r="Z233" s="70"/>
    </row>
    <row r="234" spans="1:26" ht="15.75" customHeight="1">
      <c r="A234" s="71"/>
      <c r="B234" s="70"/>
      <c r="C234" s="70"/>
      <c r="D234" s="70"/>
      <c r="E234" s="70"/>
      <c r="F234" s="72"/>
      <c r="G234" s="73"/>
      <c r="H234" s="70"/>
      <c r="I234" s="73"/>
      <c r="J234" s="73"/>
      <c r="K234" s="73"/>
      <c r="L234" s="73"/>
      <c r="M234" s="73"/>
      <c r="N234" s="70"/>
      <c r="O234" s="70"/>
      <c r="P234" s="70"/>
      <c r="Q234" s="70"/>
      <c r="R234" s="70"/>
      <c r="S234" s="70"/>
      <c r="T234" s="70"/>
      <c r="U234" s="70"/>
      <c r="V234" s="70"/>
      <c r="W234" s="70"/>
      <c r="X234" s="70"/>
      <c r="Y234" s="70"/>
      <c r="Z234" s="70"/>
    </row>
    <row r="235" spans="1:26" ht="15.75" customHeight="1">
      <c r="A235" s="71"/>
      <c r="B235" s="70"/>
      <c r="C235" s="70"/>
      <c r="D235" s="70"/>
      <c r="E235" s="70"/>
      <c r="F235" s="72"/>
      <c r="G235" s="73"/>
      <c r="H235" s="70"/>
      <c r="I235" s="73"/>
      <c r="J235" s="73"/>
      <c r="K235" s="73"/>
      <c r="L235" s="73"/>
      <c r="M235" s="73"/>
      <c r="N235" s="70"/>
      <c r="O235" s="70"/>
      <c r="P235" s="70"/>
      <c r="Q235" s="70"/>
      <c r="R235" s="70"/>
      <c r="S235" s="70"/>
      <c r="T235" s="70"/>
      <c r="U235" s="70"/>
      <c r="V235" s="70"/>
      <c r="W235" s="70"/>
      <c r="X235" s="70"/>
      <c r="Y235" s="70"/>
      <c r="Z235" s="70"/>
    </row>
    <row r="236" spans="1:26" ht="15.75" customHeight="1">
      <c r="A236" s="71"/>
      <c r="B236" s="70"/>
      <c r="C236" s="70"/>
      <c r="D236" s="70"/>
      <c r="E236" s="70"/>
      <c r="F236" s="72"/>
      <c r="G236" s="73"/>
      <c r="H236" s="70"/>
      <c r="I236" s="73"/>
      <c r="J236" s="73"/>
      <c r="K236" s="73"/>
      <c r="L236" s="73"/>
      <c r="M236" s="73"/>
      <c r="N236" s="70"/>
      <c r="O236" s="70"/>
      <c r="P236" s="70"/>
      <c r="Q236" s="70"/>
      <c r="R236" s="70"/>
      <c r="S236" s="70"/>
      <c r="T236" s="70"/>
      <c r="U236" s="70"/>
      <c r="V236" s="70"/>
      <c r="W236" s="70"/>
      <c r="X236" s="70"/>
      <c r="Y236" s="70"/>
      <c r="Z236" s="70"/>
    </row>
    <row r="237" spans="1:26" ht="15.75" customHeight="1">
      <c r="A237" s="71"/>
      <c r="B237" s="70"/>
      <c r="C237" s="70"/>
      <c r="D237" s="70"/>
      <c r="E237" s="70"/>
      <c r="F237" s="72"/>
      <c r="G237" s="73"/>
      <c r="H237" s="70"/>
      <c r="I237" s="73"/>
      <c r="J237" s="73"/>
      <c r="K237" s="73"/>
      <c r="L237" s="73"/>
      <c r="M237" s="73"/>
      <c r="N237" s="70"/>
      <c r="O237" s="70"/>
      <c r="P237" s="70"/>
      <c r="Q237" s="70"/>
      <c r="R237" s="70"/>
      <c r="S237" s="70"/>
      <c r="T237" s="70"/>
      <c r="U237" s="70"/>
      <c r="V237" s="70"/>
      <c r="W237" s="70"/>
      <c r="X237" s="70"/>
      <c r="Y237" s="70"/>
      <c r="Z237" s="70"/>
    </row>
    <row r="238" spans="1:26" ht="15.75" customHeight="1">
      <c r="A238" s="71"/>
      <c r="B238" s="70"/>
      <c r="C238" s="70"/>
      <c r="D238" s="70"/>
      <c r="E238" s="70"/>
      <c r="F238" s="72"/>
      <c r="G238" s="73"/>
      <c r="H238" s="70"/>
      <c r="I238" s="73"/>
      <c r="J238" s="73"/>
      <c r="K238" s="73"/>
      <c r="L238" s="73"/>
      <c r="M238" s="73"/>
      <c r="N238" s="70"/>
      <c r="O238" s="70"/>
      <c r="P238" s="70"/>
      <c r="Q238" s="70"/>
      <c r="R238" s="70"/>
      <c r="S238" s="70"/>
      <c r="T238" s="70"/>
      <c r="U238" s="70"/>
      <c r="V238" s="70"/>
      <c r="W238" s="70"/>
      <c r="X238" s="70"/>
      <c r="Y238" s="70"/>
      <c r="Z238" s="70"/>
    </row>
    <row r="239" spans="1:26" ht="15.75" customHeight="1">
      <c r="A239" s="71"/>
      <c r="B239" s="70"/>
      <c r="C239" s="70"/>
      <c r="D239" s="70"/>
      <c r="E239" s="70"/>
      <c r="F239" s="72"/>
      <c r="G239" s="73"/>
      <c r="H239" s="70"/>
      <c r="I239" s="73"/>
      <c r="J239" s="73"/>
      <c r="K239" s="73"/>
      <c r="L239" s="73"/>
      <c r="M239" s="73"/>
      <c r="N239" s="70"/>
      <c r="O239" s="70"/>
      <c r="P239" s="70"/>
      <c r="Q239" s="70"/>
      <c r="R239" s="70"/>
      <c r="S239" s="70"/>
      <c r="T239" s="70"/>
      <c r="U239" s="70"/>
      <c r="V239" s="70"/>
      <c r="W239" s="70"/>
      <c r="X239" s="70"/>
      <c r="Y239" s="70"/>
      <c r="Z239" s="70"/>
    </row>
    <row r="240" spans="1:26" ht="15.75" customHeight="1">
      <c r="A240" s="71"/>
      <c r="B240" s="70"/>
      <c r="C240" s="70"/>
      <c r="D240" s="70"/>
      <c r="E240" s="70"/>
      <c r="F240" s="72"/>
      <c r="G240" s="73"/>
      <c r="H240" s="70"/>
      <c r="I240" s="73"/>
      <c r="J240" s="73"/>
      <c r="K240" s="73"/>
      <c r="L240" s="73"/>
      <c r="M240" s="73"/>
      <c r="N240" s="70"/>
      <c r="O240" s="70"/>
      <c r="P240" s="70"/>
      <c r="Q240" s="70"/>
      <c r="R240" s="70"/>
      <c r="S240" s="70"/>
      <c r="T240" s="70"/>
      <c r="U240" s="70"/>
      <c r="V240" s="70"/>
      <c r="W240" s="70"/>
      <c r="X240" s="70"/>
      <c r="Y240" s="70"/>
      <c r="Z240" s="70"/>
    </row>
    <row r="241" spans="1:26" ht="15.75" customHeight="1">
      <c r="A241" s="71"/>
      <c r="B241" s="70"/>
      <c r="C241" s="70"/>
      <c r="D241" s="70"/>
      <c r="E241" s="70"/>
      <c r="F241" s="72"/>
      <c r="G241" s="73"/>
      <c r="H241" s="70"/>
      <c r="I241" s="73"/>
      <c r="J241" s="73"/>
      <c r="K241" s="73"/>
      <c r="L241" s="73"/>
      <c r="M241" s="73"/>
      <c r="N241" s="70"/>
      <c r="O241" s="70"/>
      <c r="P241" s="70"/>
      <c r="Q241" s="70"/>
      <c r="R241" s="70"/>
      <c r="S241" s="70"/>
      <c r="T241" s="70"/>
      <c r="U241" s="70"/>
      <c r="V241" s="70"/>
      <c r="W241" s="70"/>
      <c r="X241" s="70"/>
      <c r="Y241" s="70"/>
      <c r="Z241" s="70"/>
    </row>
    <row r="242" spans="1:26" ht="15.75" customHeight="1">
      <c r="A242" s="71"/>
      <c r="B242" s="70"/>
      <c r="C242" s="70"/>
      <c r="D242" s="70"/>
      <c r="E242" s="70"/>
      <c r="F242" s="72"/>
      <c r="G242" s="73"/>
      <c r="H242" s="70"/>
      <c r="I242" s="73"/>
      <c r="J242" s="73"/>
      <c r="K242" s="73"/>
      <c r="L242" s="73"/>
      <c r="M242" s="73"/>
      <c r="N242" s="70"/>
      <c r="O242" s="70"/>
      <c r="P242" s="70"/>
      <c r="Q242" s="70"/>
      <c r="R242" s="70"/>
      <c r="S242" s="70"/>
      <c r="T242" s="70"/>
      <c r="U242" s="70"/>
      <c r="V242" s="70"/>
      <c r="W242" s="70"/>
      <c r="X242" s="70"/>
      <c r="Y242" s="70"/>
      <c r="Z242" s="70"/>
    </row>
    <row r="243" spans="1:26" ht="15.75" customHeight="1">
      <c r="A243" s="71"/>
      <c r="B243" s="70"/>
      <c r="C243" s="70"/>
      <c r="D243" s="70"/>
      <c r="E243" s="70"/>
      <c r="F243" s="72"/>
      <c r="G243" s="73"/>
      <c r="H243" s="70"/>
      <c r="I243" s="73"/>
      <c r="J243" s="73"/>
      <c r="K243" s="73"/>
      <c r="L243" s="73"/>
      <c r="M243" s="73"/>
      <c r="N243" s="70"/>
      <c r="O243" s="70"/>
      <c r="P243" s="70"/>
      <c r="Q243" s="70"/>
      <c r="R243" s="70"/>
      <c r="S243" s="70"/>
      <c r="T243" s="70"/>
      <c r="U243" s="70"/>
      <c r="V243" s="70"/>
      <c r="W243" s="70"/>
      <c r="X243" s="70"/>
      <c r="Y243" s="70"/>
      <c r="Z243" s="70"/>
    </row>
    <row r="244" spans="1:26" ht="15.75" customHeight="1">
      <c r="A244" s="71"/>
      <c r="B244" s="70"/>
      <c r="C244" s="70"/>
      <c r="D244" s="70"/>
      <c r="E244" s="70"/>
      <c r="F244" s="72"/>
      <c r="G244" s="73"/>
      <c r="H244" s="70"/>
      <c r="I244" s="73"/>
      <c r="J244" s="73"/>
      <c r="K244" s="73"/>
      <c r="L244" s="73"/>
      <c r="M244" s="73"/>
      <c r="N244" s="70"/>
      <c r="O244" s="70"/>
      <c r="P244" s="70"/>
      <c r="Q244" s="70"/>
      <c r="R244" s="70"/>
      <c r="S244" s="70"/>
      <c r="T244" s="70"/>
      <c r="U244" s="70"/>
      <c r="V244" s="70"/>
      <c r="W244" s="70"/>
      <c r="X244" s="70"/>
      <c r="Y244" s="70"/>
      <c r="Z244" s="70"/>
    </row>
    <row r="245" spans="1:26" ht="15.75" customHeight="1">
      <c r="A245" s="71"/>
      <c r="B245" s="70"/>
      <c r="C245" s="70"/>
      <c r="D245" s="70"/>
      <c r="E245" s="70"/>
      <c r="F245" s="72"/>
      <c r="G245" s="73"/>
      <c r="H245" s="70"/>
      <c r="I245" s="73"/>
      <c r="J245" s="73"/>
      <c r="K245" s="73"/>
      <c r="L245" s="73"/>
      <c r="M245" s="73"/>
      <c r="N245" s="70"/>
      <c r="O245" s="70"/>
      <c r="P245" s="70"/>
      <c r="Q245" s="70"/>
      <c r="R245" s="70"/>
      <c r="S245" s="70"/>
      <c r="T245" s="70"/>
      <c r="U245" s="70"/>
      <c r="V245" s="70"/>
      <c r="W245" s="70"/>
      <c r="X245" s="70"/>
      <c r="Y245" s="70"/>
      <c r="Z245" s="70"/>
    </row>
    <row r="246" spans="1:26" ht="15.75" customHeight="1">
      <c r="A246" s="71"/>
      <c r="B246" s="70"/>
      <c r="C246" s="70"/>
      <c r="D246" s="70"/>
      <c r="E246" s="70"/>
      <c r="F246" s="72"/>
      <c r="G246" s="73"/>
      <c r="H246" s="70"/>
      <c r="I246" s="73"/>
      <c r="J246" s="73"/>
      <c r="K246" s="73"/>
      <c r="L246" s="73"/>
      <c r="M246" s="73"/>
      <c r="N246" s="70"/>
      <c r="O246" s="70"/>
      <c r="P246" s="70"/>
      <c r="Q246" s="70"/>
      <c r="R246" s="70"/>
      <c r="S246" s="70"/>
      <c r="T246" s="70"/>
      <c r="U246" s="70"/>
      <c r="V246" s="70"/>
      <c r="W246" s="70"/>
      <c r="X246" s="70"/>
      <c r="Y246" s="70"/>
      <c r="Z246" s="70"/>
    </row>
    <row r="247" spans="1:26" ht="15.75" customHeight="1">
      <c r="A247" s="71"/>
      <c r="B247" s="70"/>
      <c r="C247" s="70"/>
      <c r="D247" s="70"/>
      <c r="E247" s="70"/>
      <c r="F247" s="72"/>
      <c r="G247" s="73"/>
      <c r="H247" s="70"/>
      <c r="I247" s="73"/>
      <c r="J247" s="73"/>
      <c r="K247" s="73"/>
      <c r="L247" s="73"/>
      <c r="M247" s="73"/>
      <c r="N247" s="70"/>
      <c r="O247" s="70"/>
      <c r="P247" s="70"/>
      <c r="Q247" s="70"/>
      <c r="R247" s="70"/>
      <c r="S247" s="70"/>
      <c r="T247" s="70"/>
      <c r="U247" s="70"/>
      <c r="V247" s="70"/>
      <c r="W247" s="70"/>
      <c r="X247" s="70"/>
      <c r="Y247" s="70"/>
      <c r="Z247" s="70"/>
    </row>
    <row r="248" spans="1:26" ht="15.75" customHeight="1">
      <c r="A248" s="71"/>
      <c r="B248" s="70"/>
      <c r="C248" s="70"/>
      <c r="D248" s="70"/>
      <c r="E248" s="70"/>
      <c r="F248" s="72"/>
      <c r="G248" s="73"/>
      <c r="H248" s="70"/>
      <c r="I248" s="73"/>
      <c r="J248" s="73"/>
      <c r="K248" s="73"/>
      <c r="L248" s="73"/>
      <c r="M248" s="73"/>
      <c r="N248" s="70"/>
      <c r="O248" s="70"/>
      <c r="P248" s="70"/>
      <c r="Q248" s="70"/>
      <c r="R248" s="70"/>
      <c r="S248" s="70"/>
      <c r="T248" s="70"/>
      <c r="U248" s="70"/>
      <c r="V248" s="70"/>
      <c r="W248" s="70"/>
      <c r="X248" s="70"/>
      <c r="Y248" s="70"/>
      <c r="Z248" s="70"/>
    </row>
    <row r="249" spans="1:26" ht="15.75" customHeight="1">
      <c r="A249" s="71"/>
      <c r="B249" s="70"/>
      <c r="C249" s="70"/>
      <c r="D249" s="70"/>
      <c r="E249" s="70"/>
      <c r="F249" s="72"/>
      <c r="G249" s="73"/>
      <c r="H249" s="70"/>
      <c r="I249" s="73"/>
      <c r="J249" s="73"/>
      <c r="K249" s="73"/>
      <c r="L249" s="73"/>
      <c r="M249" s="73"/>
      <c r="N249" s="70"/>
      <c r="O249" s="70"/>
      <c r="P249" s="70"/>
      <c r="Q249" s="70"/>
      <c r="R249" s="70"/>
      <c r="S249" s="70"/>
      <c r="T249" s="70"/>
      <c r="U249" s="70"/>
      <c r="V249" s="70"/>
      <c r="W249" s="70"/>
      <c r="X249" s="70"/>
      <c r="Y249" s="70"/>
      <c r="Z249" s="70"/>
    </row>
    <row r="250" spans="1:26" ht="15.75" customHeight="1">
      <c r="A250" s="71"/>
      <c r="B250" s="70"/>
      <c r="C250" s="70"/>
      <c r="D250" s="70"/>
      <c r="E250" s="70"/>
      <c r="F250" s="72"/>
      <c r="G250" s="73"/>
      <c r="H250" s="70"/>
      <c r="I250" s="73"/>
      <c r="J250" s="73"/>
      <c r="K250" s="73"/>
      <c r="L250" s="73"/>
      <c r="M250" s="73"/>
      <c r="N250" s="70"/>
      <c r="O250" s="70"/>
      <c r="P250" s="70"/>
      <c r="Q250" s="70"/>
      <c r="R250" s="70"/>
      <c r="S250" s="70"/>
      <c r="T250" s="70"/>
      <c r="U250" s="70"/>
      <c r="V250" s="70"/>
      <c r="W250" s="70"/>
      <c r="X250" s="70"/>
      <c r="Y250" s="70"/>
      <c r="Z250" s="70"/>
    </row>
    <row r="251" spans="1:26" ht="15.75" customHeight="1">
      <c r="A251" s="71"/>
      <c r="B251" s="70"/>
      <c r="C251" s="70"/>
      <c r="D251" s="70"/>
      <c r="E251" s="70"/>
      <c r="F251" s="72"/>
      <c r="G251" s="73"/>
      <c r="H251" s="70"/>
      <c r="I251" s="73"/>
      <c r="J251" s="73"/>
      <c r="K251" s="73"/>
      <c r="L251" s="73"/>
      <c r="M251" s="73"/>
      <c r="N251" s="70"/>
      <c r="O251" s="70"/>
      <c r="P251" s="70"/>
      <c r="Q251" s="70"/>
      <c r="R251" s="70"/>
      <c r="S251" s="70"/>
      <c r="T251" s="70"/>
      <c r="U251" s="70"/>
      <c r="V251" s="70"/>
      <c r="W251" s="70"/>
      <c r="X251" s="70"/>
      <c r="Y251" s="70"/>
      <c r="Z251" s="70"/>
    </row>
    <row r="252" spans="1:26" ht="15.75" customHeight="1">
      <c r="A252" s="71"/>
      <c r="B252" s="70"/>
      <c r="C252" s="70"/>
      <c r="D252" s="70"/>
      <c r="E252" s="70"/>
      <c r="F252" s="72"/>
      <c r="G252" s="73"/>
      <c r="H252" s="70"/>
      <c r="I252" s="73"/>
      <c r="J252" s="73"/>
      <c r="K252" s="73"/>
      <c r="L252" s="73"/>
      <c r="M252" s="73"/>
      <c r="N252" s="70"/>
      <c r="O252" s="70"/>
      <c r="P252" s="70"/>
      <c r="Q252" s="70"/>
      <c r="R252" s="70"/>
      <c r="S252" s="70"/>
      <c r="T252" s="70"/>
      <c r="U252" s="70"/>
      <c r="V252" s="70"/>
      <c r="W252" s="70"/>
      <c r="X252" s="70"/>
      <c r="Y252" s="70"/>
      <c r="Z252" s="70"/>
    </row>
    <row r="253" spans="1:26" ht="15.75" customHeight="1">
      <c r="A253" s="71"/>
      <c r="B253" s="70"/>
      <c r="C253" s="70"/>
      <c r="D253" s="70"/>
      <c r="E253" s="70"/>
      <c r="F253" s="72"/>
      <c r="G253" s="73"/>
      <c r="H253" s="70"/>
      <c r="I253" s="73"/>
      <c r="J253" s="73"/>
      <c r="K253" s="73"/>
      <c r="L253" s="73"/>
      <c r="M253" s="73"/>
      <c r="N253" s="70"/>
      <c r="O253" s="70"/>
      <c r="P253" s="70"/>
      <c r="Q253" s="70"/>
      <c r="R253" s="70"/>
      <c r="S253" s="70"/>
      <c r="T253" s="70"/>
      <c r="U253" s="70"/>
      <c r="V253" s="70"/>
      <c r="W253" s="70"/>
      <c r="X253" s="70"/>
      <c r="Y253" s="70"/>
      <c r="Z253" s="70"/>
    </row>
    <row r="254" spans="1:26" ht="15.75" customHeight="1">
      <c r="A254" s="71"/>
      <c r="B254" s="70"/>
      <c r="C254" s="70"/>
      <c r="D254" s="70"/>
      <c r="E254" s="70"/>
      <c r="F254" s="72"/>
      <c r="G254" s="73"/>
      <c r="H254" s="70"/>
      <c r="I254" s="73"/>
      <c r="J254" s="73"/>
      <c r="K254" s="73"/>
      <c r="L254" s="73"/>
      <c r="M254" s="73"/>
      <c r="N254" s="70"/>
      <c r="O254" s="70"/>
      <c r="P254" s="70"/>
      <c r="Q254" s="70"/>
      <c r="R254" s="70"/>
      <c r="S254" s="70"/>
      <c r="T254" s="70"/>
      <c r="U254" s="70"/>
      <c r="V254" s="70"/>
      <c r="W254" s="70"/>
      <c r="X254" s="70"/>
      <c r="Y254" s="70"/>
      <c r="Z254" s="70"/>
    </row>
    <row r="255" spans="1:26" ht="15.75" customHeight="1">
      <c r="A255" s="71"/>
      <c r="B255" s="70"/>
      <c r="C255" s="70"/>
      <c r="D255" s="70"/>
      <c r="E255" s="70"/>
      <c r="F255" s="72"/>
      <c r="G255" s="73"/>
      <c r="H255" s="70"/>
      <c r="I255" s="73"/>
      <c r="J255" s="73"/>
      <c r="K255" s="73"/>
      <c r="L255" s="73"/>
      <c r="M255" s="73"/>
      <c r="N255" s="70"/>
      <c r="O255" s="70"/>
      <c r="P255" s="70"/>
      <c r="Q255" s="70"/>
      <c r="R255" s="70"/>
      <c r="S255" s="70"/>
      <c r="T255" s="70"/>
      <c r="U255" s="70"/>
      <c r="V255" s="70"/>
      <c r="W255" s="70"/>
      <c r="X255" s="70"/>
      <c r="Y255" s="70"/>
      <c r="Z255" s="70"/>
    </row>
    <row r="256" spans="1:26" ht="15.75" customHeight="1">
      <c r="A256" s="71"/>
      <c r="B256" s="70"/>
      <c r="C256" s="70"/>
      <c r="D256" s="70"/>
      <c r="E256" s="70"/>
      <c r="F256" s="72"/>
      <c r="G256" s="73"/>
      <c r="H256" s="70"/>
      <c r="I256" s="73"/>
      <c r="J256" s="73"/>
      <c r="K256" s="73"/>
      <c r="L256" s="73"/>
      <c r="M256" s="73"/>
      <c r="N256" s="70"/>
      <c r="O256" s="70"/>
      <c r="P256" s="70"/>
      <c r="Q256" s="70"/>
      <c r="R256" s="70"/>
      <c r="S256" s="70"/>
      <c r="T256" s="70"/>
      <c r="U256" s="70"/>
      <c r="V256" s="70"/>
      <c r="W256" s="70"/>
      <c r="X256" s="70"/>
      <c r="Y256" s="70"/>
      <c r="Z256" s="70"/>
    </row>
    <row r="257" spans="1:26" ht="15.75" customHeight="1">
      <c r="A257" s="71"/>
      <c r="B257" s="70"/>
      <c r="C257" s="70"/>
      <c r="D257" s="70"/>
      <c r="E257" s="70"/>
      <c r="F257" s="72"/>
      <c r="G257" s="73"/>
      <c r="H257" s="70"/>
      <c r="I257" s="73"/>
      <c r="J257" s="73"/>
      <c r="K257" s="73"/>
      <c r="L257" s="73"/>
      <c r="M257" s="73"/>
      <c r="N257" s="70"/>
      <c r="O257" s="70"/>
      <c r="P257" s="70"/>
      <c r="Q257" s="70"/>
      <c r="R257" s="70"/>
      <c r="S257" s="70"/>
      <c r="T257" s="70"/>
      <c r="U257" s="70"/>
      <c r="V257" s="70"/>
      <c r="W257" s="70"/>
      <c r="X257" s="70"/>
      <c r="Y257" s="70"/>
      <c r="Z257" s="70"/>
    </row>
    <row r="258" spans="1:26" ht="15.75" customHeight="1">
      <c r="A258" s="71"/>
      <c r="B258" s="70"/>
      <c r="C258" s="70"/>
      <c r="D258" s="70"/>
      <c r="E258" s="70"/>
      <c r="F258" s="72"/>
      <c r="G258" s="73"/>
      <c r="H258" s="70"/>
      <c r="I258" s="73"/>
      <c r="J258" s="73"/>
      <c r="K258" s="73"/>
      <c r="L258" s="73"/>
      <c r="M258" s="73"/>
      <c r="N258" s="70"/>
      <c r="O258" s="70"/>
      <c r="P258" s="70"/>
      <c r="Q258" s="70"/>
      <c r="R258" s="70"/>
      <c r="S258" s="70"/>
      <c r="T258" s="70"/>
      <c r="U258" s="70"/>
      <c r="V258" s="70"/>
      <c r="W258" s="70"/>
      <c r="X258" s="70"/>
      <c r="Y258" s="70"/>
      <c r="Z258" s="70"/>
    </row>
    <row r="259" spans="1:26" ht="15.75" customHeight="1">
      <c r="A259" s="71"/>
      <c r="B259" s="70"/>
      <c r="C259" s="70"/>
      <c r="D259" s="70"/>
      <c r="E259" s="70"/>
      <c r="F259" s="72"/>
      <c r="G259" s="73"/>
      <c r="H259" s="70"/>
      <c r="I259" s="73"/>
      <c r="J259" s="73"/>
      <c r="K259" s="73"/>
      <c r="L259" s="73"/>
      <c r="M259" s="73"/>
      <c r="N259" s="70"/>
      <c r="O259" s="70"/>
      <c r="P259" s="70"/>
      <c r="Q259" s="70"/>
      <c r="R259" s="70"/>
      <c r="S259" s="70"/>
      <c r="T259" s="70"/>
      <c r="U259" s="70"/>
      <c r="V259" s="70"/>
      <c r="W259" s="70"/>
      <c r="X259" s="70"/>
      <c r="Y259" s="70"/>
      <c r="Z259" s="70"/>
    </row>
    <row r="260" spans="1:26" ht="15.75" customHeight="1">
      <c r="A260" s="71"/>
      <c r="B260" s="70"/>
      <c r="C260" s="70"/>
      <c r="D260" s="70"/>
      <c r="E260" s="70"/>
      <c r="F260" s="72"/>
      <c r="G260" s="73"/>
      <c r="H260" s="70"/>
      <c r="I260" s="73"/>
      <c r="J260" s="73"/>
      <c r="K260" s="73"/>
      <c r="L260" s="73"/>
      <c r="M260" s="73"/>
      <c r="N260" s="70"/>
      <c r="O260" s="70"/>
      <c r="P260" s="70"/>
      <c r="Q260" s="70"/>
      <c r="R260" s="70"/>
      <c r="S260" s="70"/>
      <c r="T260" s="70"/>
      <c r="U260" s="70"/>
      <c r="V260" s="70"/>
      <c r="W260" s="70"/>
      <c r="X260" s="70"/>
      <c r="Y260" s="70"/>
      <c r="Z260" s="70"/>
    </row>
    <row r="261" spans="1:26" ht="15.75" customHeight="1">
      <c r="A261" s="71"/>
      <c r="B261" s="70"/>
      <c r="C261" s="70"/>
      <c r="D261" s="70"/>
      <c r="E261" s="70"/>
      <c r="F261" s="72"/>
      <c r="G261" s="73"/>
      <c r="H261" s="70"/>
      <c r="I261" s="73"/>
      <c r="J261" s="73"/>
      <c r="K261" s="73"/>
      <c r="L261" s="73"/>
      <c r="M261" s="73"/>
      <c r="N261" s="70"/>
      <c r="O261" s="70"/>
      <c r="P261" s="70"/>
      <c r="Q261" s="70"/>
      <c r="R261" s="70"/>
      <c r="S261" s="70"/>
      <c r="T261" s="70"/>
      <c r="U261" s="70"/>
      <c r="V261" s="70"/>
      <c r="W261" s="70"/>
      <c r="X261" s="70"/>
      <c r="Y261" s="70"/>
      <c r="Z261" s="70"/>
    </row>
    <row r="262" spans="1:26" ht="15.75" customHeight="1">
      <c r="A262" s="71"/>
      <c r="B262" s="70"/>
      <c r="C262" s="70"/>
      <c r="D262" s="70"/>
      <c r="E262" s="70"/>
      <c r="F262" s="72"/>
      <c r="G262" s="73"/>
      <c r="H262" s="70"/>
      <c r="I262" s="73"/>
      <c r="J262" s="73"/>
      <c r="K262" s="73"/>
      <c r="L262" s="73"/>
      <c r="M262" s="73"/>
      <c r="N262" s="70"/>
      <c r="O262" s="70"/>
      <c r="P262" s="70"/>
      <c r="Q262" s="70"/>
      <c r="R262" s="70"/>
      <c r="S262" s="70"/>
      <c r="T262" s="70"/>
      <c r="U262" s="70"/>
      <c r="V262" s="70"/>
      <c r="W262" s="70"/>
      <c r="X262" s="70"/>
      <c r="Y262" s="70"/>
      <c r="Z262" s="70"/>
    </row>
    <row r="263" spans="1:26" ht="15.75" customHeight="1">
      <c r="A263" s="71"/>
      <c r="B263" s="70"/>
      <c r="C263" s="70"/>
      <c r="D263" s="70"/>
      <c r="E263" s="70"/>
      <c r="F263" s="72"/>
      <c r="G263" s="73"/>
      <c r="H263" s="70"/>
      <c r="I263" s="73"/>
      <c r="J263" s="73"/>
      <c r="K263" s="73"/>
      <c r="L263" s="73"/>
      <c r="M263" s="73"/>
      <c r="N263" s="70"/>
      <c r="O263" s="70"/>
      <c r="P263" s="70"/>
      <c r="Q263" s="70"/>
      <c r="R263" s="70"/>
      <c r="S263" s="70"/>
      <c r="T263" s="70"/>
      <c r="U263" s="70"/>
      <c r="V263" s="70"/>
      <c r="W263" s="70"/>
      <c r="X263" s="70"/>
      <c r="Y263" s="70"/>
      <c r="Z263" s="70"/>
    </row>
    <row r="264" spans="1:26" ht="15.75" customHeight="1">
      <c r="A264" s="71"/>
      <c r="B264" s="70"/>
      <c r="C264" s="70"/>
      <c r="D264" s="70"/>
      <c r="E264" s="70"/>
      <c r="F264" s="72"/>
      <c r="G264" s="73"/>
      <c r="H264" s="70"/>
      <c r="I264" s="73"/>
      <c r="J264" s="73"/>
      <c r="K264" s="73"/>
      <c r="L264" s="73"/>
      <c r="M264" s="73"/>
      <c r="N264" s="70"/>
      <c r="O264" s="70"/>
      <c r="P264" s="70"/>
      <c r="Q264" s="70"/>
      <c r="R264" s="70"/>
      <c r="S264" s="70"/>
      <c r="T264" s="70"/>
      <c r="U264" s="70"/>
      <c r="V264" s="70"/>
      <c r="W264" s="70"/>
      <c r="X264" s="70"/>
      <c r="Y264" s="70"/>
      <c r="Z264" s="70"/>
    </row>
    <row r="265" spans="1:26" ht="15.75" customHeight="1">
      <c r="A265" s="71"/>
      <c r="B265" s="70"/>
      <c r="C265" s="70"/>
      <c r="D265" s="70"/>
      <c r="E265" s="70"/>
      <c r="F265" s="72"/>
      <c r="G265" s="73"/>
      <c r="H265" s="70"/>
      <c r="I265" s="73"/>
      <c r="J265" s="73"/>
      <c r="K265" s="73"/>
      <c r="L265" s="73"/>
      <c r="M265" s="73"/>
      <c r="N265" s="70"/>
      <c r="O265" s="70"/>
      <c r="P265" s="70"/>
      <c r="Q265" s="70"/>
      <c r="R265" s="70"/>
      <c r="S265" s="70"/>
      <c r="T265" s="70"/>
      <c r="U265" s="70"/>
      <c r="V265" s="70"/>
      <c r="W265" s="70"/>
      <c r="X265" s="70"/>
      <c r="Y265" s="70"/>
      <c r="Z265" s="70"/>
    </row>
    <row r="266" spans="1:26" ht="15.75" customHeight="1">
      <c r="A266" s="71"/>
      <c r="B266" s="70"/>
      <c r="C266" s="70"/>
      <c r="D266" s="70"/>
      <c r="E266" s="70"/>
      <c r="F266" s="72"/>
      <c r="G266" s="73"/>
      <c r="H266" s="70"/>
      <c r="I266" s="73"/>
      <c r="J266" s="73"/>
      <c r="K266" s="73"/>
      <c r="L266" s="73"/>
      <c r="M266" s="73"/>
      <c r="N266" s="70"/>
      <c r="O266" s="70"/>
      <c r="P266" s="70"/>
      <c r="Q266" s="70"/>
      <c r="R266" s="70"/>
      <c r="S266" s="70"/>
      <c r="T266" s="70"/>
      <c r="U266" s="70"/>
      <c r="V266" s="70"/>
      <c r="W266" s="70"/>
      <c r="X266" s="70"/>
      <c r="Y266" s="70"/>
      <c r="Z266" s="70"/>
    </row>
    <row r="267" spans="1:26" ht="15.75" customHeight="1">
      <c r="A267" s="71"/>
      <c r="B267" s="70"/>
      <c r="C267" s="70"/>
      <c r="D267" s="70"/>
      <c r="E267" s="70"/>
      <c r="F267" s="72"/>
      <c r="G267" s="73"/>
      <c r="H267" s="70"/>
      <c r="I267" s="73"/>
      <c r="J267" s="73"/>
      <c r="K267" s="73"/>
      <c r="L267" s="73"/>
      <c r="M267" s="73"/>
      <c r="N267" s="70"/>
      <c r="O267" s="70"/>
      <c r="P267" s="70"/>
      <c r="Q267" s="70"/>
      <c r="R267" s="70"/>
      <c r="S267" s="70"/>
      <c r="T267" s="70"/>
      <c r="U267" s="70"/>
      <c r="V267" s="70"/>
      <c r="W267" s="70"/>
      <c r="X267" s="70"/>
      <c r="Y267" s="70"/>
      <c r="Z267" s="70"/>
    </row>
    <row r="268" spans="1:26" ht="15.75" customHeight="1">
      <c r="F268" s="74"/>
      <c r="G268" s="74"/>
      <c r="I268" s="74"/>
      <c r="J268" s="74"/>
      <c r="K268" s="74"/>
      <c r="L268" s="74"/>
      <c r="M268" s="74"/>
    </row>
    <row r="269" spans="1:26" ht="15.75" customHeight="1">
      <c r="F269" s="74"/>
      <c r="G269" s="74"/>
      <c r="I269" s="74"/>
      <c r="J269" s="74"/>
      <c r="K269" s="74"/>
      <c r="L269" s="74"/>
      <c r="M269" s="74"/>
    </row>
    <row r="270" spans="1:26" ht="15.75" customHeight="1">
      <c r="F270" s="74"/>
      <c r="G270" s="74"/>
      <c r="I270" s="74"/>
      <c r="J270" s="74"/>
      <c r="K270" s="74"/>
      <c r="L270" s="74"/>
      <c r="M270" s="74"/>
    </row>
    <row r="271" spans="1:26" ht="15.75" customHeight="1">
      <c r="F271" s="74"/>
      <c r="G271" s="74"/>
      <c r="I271" s="74"/>
      <c r="J271" s="74"/>
      <c r="K271" s="74"/>
      <c r="L271" s="74"/>
      <c r="M271" s="74"/>
    </row>
    <row r="272" spans="1:26" ht="15.75" customHeight="1">
      <c r="F272" s="74"/>
      <c r="G272" s="74"/>
      <c r="I272" s="74"/>
      <c r="J272" s="74"/>
      <c r="K272" s="74"/>
      <c r="L272" s="74"/>
      <c r="M272" s="74"/>
    </row>
    <row r="273" spans="6:13" ht="15.75" customHeight="1">
      <c r="F273" s="74"/>
      <c r="G273" s="74"/>
      <c r="I273" s="74"/>
      <c r="J273" s="74"/>
      <c r="K273" s="74"/>
      <c r="L273" s="74"/>
      <c r="M273" s="74"/>
    </row>
    <row r="274" spans="6:13" ht="15.75" customHeight="1">
      <c r="F274" s="74"/>
      <c r="G274" s="74"/>
      <c r="I274" s="74"/>
      <c r="J274" s="74"/>
      <c r="K274" s="74"/>
      <c r="L274" s="74"/>
      <c r="M274" s="74"/>
    </row>
    <row r="275" spans="6:13" ht="15.75" customHeight="1">
      <c r="F275" s="74"/>
      <c r="G275" s="74"/>
      <c r="I275" s="74"/>
      <c r="J275" s="74"/>
      <c r="K275" s="74"/>
      <c r="L275" s="74"/>
      <c r="M275" s="74"/>
    </row>
    <row r="276" spans="6:13" ht="15.75" customHeight="1">
      <c r="F276" s="74"/>
      <c r="G276" s="74"/>
      <c r="I276" s="74"/>
      <c r="J276" s="74"/>
      <c r="K276" s="74"/>
      <c r="L276" s="74"/>
      <c r="M276" s="74"/>
    </row>
    <row r="277" spans="6:13" ht="15.75" customHeight="1">
      <c r="F277" s="74"/>
      <c r="G277" s="74"/>
      <c r="I277" s="74"/>
      <c r="J277" s="74"/>
      <c r="K277" s="74"/>
      <c r="L277" s="74"/>
      <c r="M277" s="74"/>
    </row>
    <row r="278" spans="6:13" ht="15.75" customHeight="1">
      <c r="F278" s="74"/>
      <c r="G278" s="74"/>
      <c r="I278" s="74"/>
      <c r="J278" s="74"/>
      <c r="K278" s="74"/>
      <c r="L278" s="74"/>
      <c r="M278" s="74"/>
    </row>
    <row r="279" spans="6:13" ht="15.75" customHeight="1">
      <c r="F279" s="74"/>
      <c r="G279" s="74"/>
      <c r="I279" s="74"/>
      <c r="J279" s="74"/>
      <c r="K279" s="74"/>
      <c r="L279" s="74"/>
      <c r="M279" s="74"/>
    </row>
    <row r="280" spans="6:13" ht="15.75" customHeight="1">
      <c r="F280" s="74"/>
      <c r="G280" s="74"/>
      <c r="I280" s="74"/>
      <c r="J280" s="74"/>
      <c r="K280" s="74"/>
      <c r="L280" s="74"/>
      <c r="M280" s="74"/>
    </row>
    <row r="281" spans="6:13" ht="15.75" customHeight="1">
      <c r="F281" s="74"/>
      <c r="G281" s="74"/>
      <c r="I281" s="74"/>
      <c r="J281" s="74"/>
      <c r="K281" s="74"/>
      <c r="L281" s="74"/>
      <c r="M281" s="74"/>
    </row>
    <row r="282" spans="6:13" ht="15.75" customHeight="1">
      <c r="F282" s="74"/>
      <c r="G282" s="74"/>
      <c r="I282" s="74"/>
      <c r="J282" s="74"/>
      <c r="K282" s="74"/>
      <c r="L282" s="74"/>
      <c r="M282" s="74"/>
    </row>
    <row r="283" spans="6:13" ht="15.75" customHeight="1">
      <c r="F283" s="74"/>
      <c r="G283" s="74"/>
      <c r="I283" s="74"/>
      <c r="J283" s="74"/>
      <c r="K283" s="74"/>
      <c r="L283" s="74"/>
      <c r="M283" s="74"/>
    </row>
    <row r="284" spans="6:13" ht="15.75" customHeight="1">
      <c r="F284" s="74"/>
      <c r="G284" s="74"/>
      <c r="I284" s="74"/>
      <c r="J284" s="74"/>
      <c r="K284" s="74"/>
      <c r="L284" s="74"/>
      <c r="M284" s="74"/>
    </row>
    <row r="285" spans="6:13" ht="15.75" customHeight="1">
      <c r="F285" s="74"/>
      <c r="G285" s="74"/>
      <c r="I285" s="74"/>
      <c r="J285" s="74"/>
      <c r="K285" s="74"/>
      <c r="L285" s="74"/>
      <c r="M285" s="74"/>
    </row>
    <row r="286" spans="6:13" ht="15.75" customHeight="1">
      <c r="F286" s="74"/>
      <c r="G286" s="74"/>
      <c r="I286" s="74"/>
      <c r="J286" s="74"/>
      <c r="K286" s="74"/>
      <c r="L286" s="74"/>
      <c r="M286" s="74"/>
    </row>
    <row r="287" spans="6:13" ht="15.75" customHeight="1">
      <c r="F287" s="74"/>
      <c r="G287" s="74"/>
      <c r="I287" s="74"/>
      <c r="J287" s="74"/>
      <c r="K287" s="74"/>
      <c r="L287" s="74"/>
      <c r="M287" s="74"/>
    </row>
    <row r="288" spans="6:13" ht="15.75" customHeight="1">
      <c r="F288" s="74"/>
      <c r="G288" s="74"/>
      <c r="I288" s="74"/>
      <c r="J288" s="74"/>
      <c r="K288" s="74"/>
      <c r="L288" s="74"/>
      <c r="M288" s="74"/>
    </row>
    <row r="289" spans="6:13" ht="15.75" customHeight="1">
      <c r="F289" s="74"/>
      <c r="G289" s="74"/>
      <c r="I289" s="74"/>
      <c r="J289" s="74"/>
      <c r="K289" s="74"/>
      <c r="L289" s="74"/>
      <c r="M289" s="74"/>
    </row>
    <row r="290" spans="6:13" ht="15.75" customHeight="1">
      <c r="F290" s="74"/>
      <c r="G290" s="74"/>
      <c r="I290" s="74"/>
      <c r="J290" s="74"/>
      <c r="K290" s="74"/>
      <c r="L290" s="74"/>
      <c r="M290" s="74"/>
    </row>
    <row r="291" spans="6:13" ht="15.75" customHeight="1">
      <c r="F291" s="74"/>
      <c r="G291" s="74"/>
      <c r="I291" s="74"/>
      <c r="J291" s="74"/>
      <c r="K291" s="74"/>
      <c r="L291" s="74"/>
      <c r="M291" s="74"/>
    </row>
    <row r="292" spans="6:13" ht="15.75" customHeight="1">
      <c r="F292" s="74"/>
      <c r="G292" s="74"/>
      <c r="I292" s="74"/>
      <c r="J292" s="74"/>
      <c r="K292" s="74"/>
      <c r="L292" s="74"/>
      <c r="M292" s="74"/>
    </row>
    <row r="293" spans="6:13" ht="15.75" customHeight="1">
      <c r="F293" s="74"/>
      <c r="G293" s="74"/>
      <c r="I293" s="74"/>
      <c r="J293" s="74"/>
      <c r="K293" s="74"/>
      <c r="L293" s="74"/>
      <c r="M293" s="74"/>
    </row>
    <row r="294" spans="6:13" ht="15.75" customHeight="1">
      <c r="F294" s="74"/>
      <c r="G294" s="74"/>
      <c r="I294" s="74"/>
      <c r="J294" s="74"/>
      <c r="K294" s="74"/>
      <c r="L294" s="74"/>
      <c r="M294" s="74"/>
    </row>
    <row r="295" spans="6:13" ht="15.75" customHeight="1">
      <c r="F295" s="74"/>
      <c r="G295" s="74"/>
      <c r="I295" s="74"/>
      <c r="J295" s="74"/>
      <c r="K295" s="74"/>
      <c r="L295" s="74"/>
      <c r="M295" s="74"/>
    </row>
    <row r="296" spans="6:13" ht="15.75" customHeight="1">
      <c r="F296" s="74"/>
      <c r="G296" s="74"/>
      <c r="I296" s="74"/>
      <c r="J296" s="74"/>
      <c r="K296" s="74"/>
      <c r="L296" s="74"/>
      <c r="M296" s="74"/>
    </row>
    <row r="297" spans="6:13" ht="15.75" customHeight="1">
      <c r="F297" s="74"/>
      <c r="G297" s="74"/>
      <c r="I297" s="74"/>
      <c r="J297" s="74"/>
      <c r="K297" s="74"/>
      <c r="L297" s="74"/>
      <c r="M297" s="74"/>
    </row>
    <row r="298" spans="6:13" ht="15.75" customHeight="1">
      <c r="F298" s="74"/>
      <c r="G298" s="74"/>
      <c r="I298" s="74"/>
      <c r="J298" s="74"/>
      <c r="K298" s="74"/>
      <c r="L298" s="74"/>
      <c r="M298" s="74"/>
    </row>
    <row r="299" spans="6:13" ht="15.75" customHeight="1">
      <c r="F299" s="74"/>
      <c r="G299" s="74"/>
      <c r="I299" s="74"/>
      <c r="J299" s="74"/>
      <c r="K299" s="74"/>
      <c r="L299" s="74"/>
      <c r="M299" s="74"/>
    </row>
    <row r="300" spans="6:13" ht="15.75" customHeight="1">
      <c r="F300" s="74"/>
      <c r="G300" s="74"/>
      <c r="I300" s="74"/>
      <c r="J300" s="74"/>
      <c r="K300" s="74"/>
      <c r="L300" s="74"/>
      <c r="M300" s="74"/>
    </row>
    <row r="301" spans="6:13" ht="15.75" customHeight="1">
      <c r="F301" s="74"/>
      <c r="G301" s="74"/>
      <c r="I301" s="74"/>
      <c r="J301" s="74"/>
      <c r="K301" s="74"/>
      <c r="L301" s="74"/>
      <c r="M301" s="74"/>
    </row>
    <row r="302" spans="6:13" ht="15.75" customHeight="1">
      <c r="F302" s="74"/>
      <c r="G302" s="74"/>
      <c r="I302" s="74"/>
      <c r="J302" s="74"/>
      <c r="K302" s="74"/>
      <c r="L302" s="74"/>
      <c r="M302" s="74"/>
    </row>
    <row r="303" spans="6:13" ht="15.75" customHeight="1">
      <c r="F303" s="74"/>
      <c r="G303" s="74"/>
      <c r="I303" s="74"/>
      <c r="J303" s="74"/>
      <c r="K303" s="74"/>
      <c r="L303" s="74"/>
      <c r="M303" s="74"/>
    </row>
    <row r="304" spans="6:13" ht="15.75" customHeight="1">
      <c r="F304" s="74"/>
      <c r="G304" s="74"/>
      <c r="I304" s="74"/>
      <c r="J304" s="74"/>
      <c r="K304" s="74"/>
      <c r="L304" s="74"/>
      <c r="M304" s="74"/>
    </row>
    <row r="305" spans="6:13" ht="15.75" customHeight="1">
      <c r="F305" s="74"/>
      <c r="G305" s="74"/>
      <c r="I305" s="74"/>
      <c r="J305" s="74"/>
      <c r="K305" s="74"/>
      <c r="L305" s="74"/>
      <c r="M305" s="74"/>
    </row>
    <row r="306" spans="6:13" ht="15.75" customHeight="1">
      <c r="F306" s="74"/>
      <c r="G306" s="74"/>
      <c r="I306" s="74"/>
      <c r="J306" s="74"/>
      <c r="K306" s="74"/>
      <c r="L306" s="74"/>
      <c r="M306" s="74"/>
    </row>
    <row r="307" spans="6:13" ht="15.75" customHeight="1">
      <c r="F307" s="74"/>
      <c r="G307" s="74"/>
      <c r="I307" s="74"/>
      <c r="J307" s="74"/>
      <c r="K307" s="74"/>
      <c r="L307" s="74"/>
      <c r="M307" s="74"/>
    </row>
    <row r="308" spans="6:13" ht="15.75" customHeight="1">
      <c r="F308" s="74"/>
      <c r="G308" s="74"/>
      <c r="I308" s="74"/>
      <c r="J308" s="74"/>
      <c r="K308" s="74"/>
      <c r="L308" s="74"/>
      <c r="M308" s="74"/>
    </row>
    <row r="309" spans="6:13" ht="15.75" customHeight="1">
      <c r="F309" s="74"/>
      <c r="G309" s="74"/>
      <c r="I309" s="74"/>
      <c r="J309" s="74"/>
      <c r="K309" s="74"/>
      <c r="L309" s="74"/>
      <c r="M309" s="74"/>
    </row>
    <row r="310" spans="6:13" ht="15.75" customHeight="1">
      <c r="F310" s="74"/>
      <c r="G310" s="74"/>
      <c r="I310" s="74"/>
      <c r="J310" s="74"/>
      <c r="K310" s="74"/>
      <c r="L310" s="74"/>
      <c r="M310" s="74"/>
    </row>
    <row r="311" spans="6:13" ht="15.75" customHeight="1">
      <c r="F311" s="74"/>
      <c r="G311" s="74"/>
      <c r="I311" s="74"/>
      <c r="J311" s="74"/>
      <c r="K311" s="74"/>
      <c r="L311" s="74"/>
      <c r="M311" s="74"/>
    </row>
    <row r="312" spans="6:13" ht="15.75" customHeight="1">
      <c r="F312" s="74"/>
      <c r="G312" s="74"/>
      <c r="I312" s="74"/>
      <c r="J312" s="74"/>
      <c r="K312" s="74"/>
      <c r="L312" s="74"/>
      <c r="M312" s="74"/>
    </row>
    <row r="313" spans="6:13" ht="15.75" customHeight="1">
      <c r="F313" s="74"/>
      <c r="G313" s="74"/>
      <c r="I313" s="74"/>
      <c r="J313" s="74"/>
      <c r="K313" s="74"/>
      <c r="L313" s="74"/>
      <c r="M313" s="74"/>
    </row>
    <row r="314" spans="6:13" ht="15.75" customHeight="1">
      <c r="F314" s="74"/>
      <c r="G314" s="74"/>
      <c r="I314" s="74"/>
      <c r="J314" s="74"/>
      <c r="K314" s="74"/>
      <c r="L314" s="74"/>
      <c r="M314" s="74"/>
    </row>
    <row r="315" spans="6:13" ht="15.75" customHeight="1">
      <c r="F315" s="74"/>
      <c r="G315" s="74"/>
      <c r="I315" s="74"/>
      <c r="J315" s="74"/>
      <c r="K315" s="74"/>
      <c r="L315" s="74"/>
      <c r="M315" s="74"/>
    </row>
    <row r="316" spans="6:13" ht="15.75" customHeight="1">
      <c r="F316" s="74"/>
      <c r="G316" s="74"/>
      <c r="I316" s="74"/>
      <c r="J316" s="74"/>
      <c r="K316" s="74"/>
      <c r="L316" s="74"/>
      <c r="M316" s="74"/>
    </row>
    <row r="317" spans="6:13" ht="15.75" customHeight="1">
      <c r="F317" s="74"/>
      <c r="G317" s="74"/>
      <c r="I317" s="74"/>
      <c r="J317" s="74"/>
      <c r="K317" s="74"/>
      <c r="L317" s="74"/>
      <c r="M317" s="74"/>
    </row>
    <row r="318" spans="6:13" ht="15.75" customHeight="1">
      <c r="F318" s="74"/>
      <c r="G318" s="74"/>
      <c r="I318" s="74"/>
      <c r="J318" s="74"/>
      <c r="K318" s="74"/>
      <c r="L318" s="74"/>
      <c r="M318" s="74"/>
    </row>
    <row r="319" spans="6:13" ht="15.75" customHeight="1">
      <c r="F319" s="74"/>
      <c r="G319" s="74"/>
      <c r="I319" s="74"/>
      <c r="J319" s="74"/>
      <c r="K319" s="74"/>
      <c r="L319" s="74"/>
      <c r="M319" s="74"/>
    </row>
    <row r="320" spans="6:13" ht="15.75" customHeight="1">
      <c r="F320" s="74"/>
      <c r="G320" s="74"/>
      <c r="I320" s="74"/>
      <c r="J320" s="74"/>
      <c r="K320" s="74"/>
      <c r="L320" s="74"/>
      <c r="M320" s="74"/>
    </row>
    <row r="321" spans="6:13" ht="15.75" customHeight="1">
      <c r="F321" s="74"/>
      <c r="G321" s="74"/>
      <c r="I321" s="74"/>
      <c r="J321" s="74"/>
      <c r="K321" s="74"/>
      <c r="L321" s="74"/>
      <c r="M321" s="74"/>
    </row>
    <row r="322" spans="6:13" ht="15.75" customHeight="1">
      <c r="F322" s="74"/>
      <c r="G322" s="74"/>
      <c r="I322" s="74"/>
      <c r="J322" s="74"/>
      <c r="K322" s="74"/>
      <c r="L322" s="74"/>
      <c r="M322" s="74"/>
    </row>
    <row r="323" spans="6:13" ht="15.75" customHeight="1">
      <c r="F323" s="74"/>
      <c r="G323" s="74"/>
      <c r="I323" s="74"/>
      <c r="J323" s="74"/>
      <c r="K323" s="74"/>
      <c r="L323" s="74"/>
      <c r="M323" s="74"/>
    </row>
    <row r="324" spans="6:13" ht="15.75" customHeight="1">
      <c r="F324" s="74"/>
      <c r="G324" s="74"/>
      <c r="I324" s="74"/>
      <c r="J324" s="74"/>
      <c r="K324" s="74"/>
      <c r="L324" s="74"/>
      <c r="M324" s="74"/>
    </row>
    <row r="325" spans="6:13" ht="15.75" customHeight="1">
      <c r="F325" s="74"/>
      <c r="G325" s="74"/>
      <c r="I325" s="74"/>
      <c r="J325" s="74"/>
      <c r="K325" s="74"/>
      <c r="L325" s="74"/>
      <c r="M325" s="74"/>
    </row>
    <row r="326" spans="6:13" ht="15.75" customHeight="1">
      <c r="F326" s="74"/>
      <c r="G326" s="74"/>
      <c r="I326" s="74"/>
      <c r="J326" s="74"/>
      <c r="K326" s="74"/>
      <c r="L326" s="74"/>
      <c r="M326" s="74"/>
    </row>
    <row r="327" spans="6:13" ht="15.75" customHeight="1">
      <c r="F327" s="74"/>
      <c r="G327" s="74"/>
      <c r="I327" s="74"/>
      <c r="J327" s="74"/>
      <c r="K327" s="74"/>
      <c r="L327" s="74"/>
      <c r="M327" s="74"/>
    </row>
    <row r="328" spans="6:13" ht="15.75" customHeight="1">
      <c r="F328" s="74"/>
      <c r="G328" s="74"/>
      <c r="I328" s="74"/>
      <c r="J328" s="74"/>
      <c r="K328" s="74"/>
      <c r="L328" s="74"/>
      <c r="M328" s="74"/>
    </row>
    <row r="329" spans="6:13" ht="15.75" customHeight="1">
      <c r="F329" s="74"/>
      <c r="G329" s="74"/>
      <c r="I329" s="74"/>
      <c r="J329" s="74"/>
      <c r="K329" s="74"/>
      <c r="L329" s="74"/>
      <c r="M329" s="74"/>
    </row>
    <row r="330" spans="6:13" ht="15.75" customHeight="1">
      <c r="F330" s="74"/>
      <c r="G330" s="74"/>
      <c r="I330" s="74"/>
      <c r="J330" s="74"/>
      <c r="K330" s="74"/>
      <c r="L330" s="74"/>
      <c r="M330" s="74"/>
    </row>
    <row r="331" spans="6:13" ht="15.75" customHeight="1">
      <c r="F331" s="74"/>
      <c r="G331" s="74"/>
      <c r="I331" s="74"/>
      <c r="J331" s="74"/>
      <c r="K331" s="74"/>
      <c r="L331" s="74"/>
      <c r="M331" s="74"/>
    </row>
    <row r="332" spans="6:13" ht="15.75" customHeight="1">
      <c r="F332" s="74"/>
      <c r="G332" s="74"/>
      <c r="I332" s="74"/>
      <c r="J332" s="74"/>
      <c r="K332" s="74"/>
      <c r="L332" s="74"/>
      <c r="M332" s="74"/>
    </row>
    <row r="333" spans="6:13" ht="15.75" customHeight="1">
      <c r="F333" s="74"/>
      <c r="G333" s="74"/>
      <c r="I333" s="74"/>
      <c r="J333" s="74"/>
      <c r="K333" s="74"/>
      <c r="L333" s="74"/>
      <c r="M333" s="74"/>
    </row>
    <row r="334" spans="6:13" ht="15.75" customHeight="1">
      <c r="F334" s="74"/>
      <c r="G334" s="74"/>
      <c r="I334" s="74"/>
      <c r="J334" s="74"/>
      <c r="K334" s="74"/>
      <c r="L334" s="74"/>
      <c r="M334" s="74"/>
    </row>
    <row r="335" spans="6:13" ht="15.75" customHeight="1">
      <c r="F335" s="74"/>
      <c r="G335" s="74"/>
      <c r="I335" s="74"/>
      <c r="J335" s="74"/>
      <c r="K335" s="74"/>
      <c r="L335" s="74"/>
      <c r="M335" s="74"/>
    </row>
    <row r="336" spans="6:13" ht="15.75" customHeight="1">
      <c r="F336" s="74"/>
      <c r="G336" s="74"/>
      <c r="I336" s="74"/>
      <c r="J336" s="74"/>
      <c r="K336" s="74"/>
      <c r="L336" s="74"/>
      <c r="M336" s="74"/>
    </row>
    <row r="337" spans="6:13" ht="15.75" customHeight="1">
      <c r="F337" s="74"/>
      <c r="G337" s="74"/>
      <c r="I337" s="74"/>
      <c r="J337" s="74"/>
      <c r="K337" s="74"/>
      <c r="L337" s="74"/>
      <c r="M337" s="74"/>
    </row>
    <row r="338" spans="6:13" ht="15.75" customHeight="1">
      <c r="F338" s="74"/>
      <c r="G338" s="74"/>
      <c r="I338" s="74"/>
      <c r="J338" s="74"/>
      <c r="K338" s="74"/>
      <c r="L338" s="74"/>
      <c r="M338" s="74"/>
    </row>
    <row r="339" spans="6:13" ht="15.75" customHeight="1">
      <c r="F339" s="74"/>
      <c r="G339" s="74"/>
      <c r="I339" s="74"/>
      <c r="J339" s="74"/>
      <c r="K339" s="74"/>
      <c r="L339" s="74"/>
      <c r="M339" s="74"/>
    </row>
    <row r="340" spans="6:13" ht="15.75" customHeight="1">
      <c r="F340" s="74"/>
      <c r="G340" s="74"/>
      <c r="I340" s="74"/>
      <c r="J340" s="74"/>
      <c r="K340" s="74"/>
      <c r="L340" s="74"/>
      <c r="M340" s="74"/>
    </row>
    <row r="341" spans="6:13" ht="15.75" customHeight="1">
      <c r="F341" s="74"/>
      <c r="G341" s="74"/>
      <c r="I341" s="74"/>
      <c r="J341" s="74"/>
      <c r="K341" s="74"/>
      <c r="L341" s="74"/>
      <c r="M341" s="74"/>
    </row>
    <row r="342" spans="6:13" ht="15.75" customHeight="1">
      <c r="F342" s="74"/>
      <c r="G342" s="74"/>
      <c r="I342" s="74"/>
      <c r="J342" s="74"/>
      <c r="K342" s="74"/>
      <c r="L342" s="74"/>
      <c r="M342" s="74"/>
    </row>
    <row r="343" spans="6:13" ht="15.75" customHeight="1">
      <c r="F343" s="74"/>
      <c r="G343" s="74"/>
      <c r="I343" s="74"/>
      <c r="J343" s="74"/>
      <c r="K343" s="74"/>
      <c r="L343" s="74"/>
      <c r="M343" s="74"/>
    </row>
    <row r="344" spans="6:13" ht="15.75" customHeight="1">
      <c r="F344" s="74"/>
      <c r="G344" s="74"/>
      <c r="I344" s="74"/>
      <c r="J344" s="74"/>
      <c r="K344" s="74"/>
      <c r="L344" s="74"/>
      <c r="M344" s="74"/>
    </row>
    <row r="345" spans="6:13" ht="15.75" customHeight="1">
      <c r="F345" s="74"/>
      <c r="G345" s="74"/>
      <c r="I345" s="74"/>
      <c r="J345" s="74"/>
      <c r="K345" s="74"/>
      <c r="L345" s="74"/>
      <c r="M345" s="74"/>
    </row>
    <row r="346" spans="6:13" ht="15.75" customHeight="1">
      <c r="F346" s="74"/>
      <c r="G346" s="74"/>
      <c r="I346" s="74"/>
      <c r="J346" s="74"/>
      <c r="K346" s="74"/>
      <c r="L346" s="74"/>
      <c r="M346" s="74"/>
    </row>
    <row r="347" spans="6:13" ht="15.75" customHeight="1">
      <c r="F347" s="74"/>
      <c r="G347" s="74"/>
      <c r="I347" s="74"/>
      <c r="J347" s="74"/>
      <c r="K347" s="74"/>
      <c r="L347" s="74"/>
      <c r="M347" s="74"/>
    </row>
    <row r="348" spans="6:13" ht="15.75" customHeight="1">
      <c r="F348" s="74"/>
      <c r="G348" s="74"/>
      <c r="I348" s="74"/>
      <c r="J348" s="74"/>
      <c r="K348" s="74"/>
      <c r="L348" s="74"/>
      <c r="M348" s="74"/>
    </row>
    <row r="349" spans="6:13" ht="15.75" customHeight="1">
      <c r="F349" s="74"/>
      <c r="G349" s="74"/>
      <c r="I349" s="74"/>
      <c r="J349" s="74"/>
      <c r="K349" s="74"/>
      <c r="L349" s="74"/>
      <c r="M349" s="74"/>
    </row>
    <row r="350" spans="6:13" ht="15.75" customHeight="1">
      <c r="F350" s="74"/>
      <c r="G350" s="74"/>
      <c r="I350" s="74"/>
      <c r="J350" s="74"/>
      <c r="K350" s="74"/>
      <c r="L350" s="74"/>
      <c r="M350" s="74"/>
    </row>
    <row r="351" spans="6:13" ht="15.75" customHeight="1">
      <c r="F351" s="74"/>
      <c r="G351" s="74"/>
      <c r="I351" s="74"/>
      <c r="J351" s="74"/>
      <c r="K351" s="74"/>
      <c r="L351" s="74"/>
      <c r="M351" s="74"/>
    </row>
    <row r="352" spans="6:13" ht="15.75" customHeight="1">
      <c r="F352" s="74"/>
      <c r="G352" s="74"/>
      <c r="I352" s="74"/>
      <c r="J352" s="74"/>
      <c r="K352" s="74"/>
      <c r="L352" s="74"/>
      <c r="M352" s="74"/>
    </row>
    <row r="353" spans="6:13" ht="15.75" customHeight="1">
      <c r="F353" s="74"/>
      <c r="G353" s="74"/>
      <c r="I353" s="74"/>
      <c r="J353" s="74"/>
      <c r="K353" s="74"/>
      <c r="L353" s="74"/>
      <c r="M353" s="74"/>
    </row>
    <row r="354" spans="6:13" ht="15.75" customHeight="1">
      <c r="F354" s="74"/>
      <c r="G354" s="74"/>
      <c r="I354" s="74"/>
      <c r="J354" s="74"/>
      <c r="K354" s="74"/>
      <c r="L354" s="74"/>
      <c r="M354" s="74"/>
    </row>
    <row r="355" spans="6:13" ht="15.75" customHeight="1">
      <c r="F355" s="74"/>
      <c r="G355" s="74"/>
      <c r="I355" s="74"/>
      <c r="J355" s="74"/>
      <c r="K355" s="74"/>
      <c r="L355" s="74"/>
      <c r="M355" s="74"/>
    </row>
    <row r="356" spans="6:13" ht="15.75" customHeight="1">
      <c r="F356" s="74"/>
      <c r="G356" s="74"/>
      <c r="I356" s="74"/>
      <c r="J356" s="74"/>
      <c r="K356" s="74"/>
      <c r="L356" s="74"/>
      <c r="M356" s="74"/>
    </row>
    <row r="357" spans="6:13" ht="15.75" customHeight="1">
      <c r="F357" s="74"/>
      <c r="G357" s="74"/>
      <c r="I357" s="74"/>
      <c r="J357" s="74"/>
      <c r="K357" s="74"/>
      <c r="L357" s="74"/>
      <c r="M357" s="74"/>
    </row>
    <row r="358" spans="6:13" ht="15.75" customHeight="1">
      <c r="F358" s="74"/>
      <c r="G358" s="74"/>
      <c r="I358" s="74"/>
      <c r="J358" s="74"/>
      <c r="K358" s="74"/>
      <c r="L358" s="74"/>
      <c r="M358" s="74"/>
    </row>
    <row r="359" spans="6:13" ht="15.75" customHeight="1">
      <c r="F359" s="74"/>
      <c r="G359" s="74"/>
      <c r="I359" s="74"/>
      <c r="J359" s="74"/>
      <c r="K359" s="74"/>
      <c r="L359" s="74"/>
      <c r="M359" s="74"/>
    </row>
    <row r="360" spans="6:13" ht="15.75" customHeight="1">
      <c r="F360" s="74"/>
      <c r="G360" s="74"/>
      <c r="I360" s="74"/>
      <c r="J360" s="74"/>
      <c r="K360" s="74"/>
      <c r="L360" s="74"/>
      <c r="M360" s="74"/>
    </row>
    <row r="361" spans="6:13" ht="15.75" customHeight="1">
      <c r="F361" s="74"/>
      <c r="G361" s="74"/>
      <c r="I361" s="74"/>
      <c r="J361" s="74"/>
      <c r="K361" s="74"/>
      <c r="L361" s="74"/>
      <c r="M361" s="74"/>
    </row>
    <row r="362" spans="6:13" ht="15.75" customHeight="1">
      <c r="F362" s="74"/>
      <c r="G362" s="74"/>
      <c r="I362" s="74"/>
      <c r="J362" s="74"/>
      <c r="K362" s="74"/>
      <c r="L362" s="74"/>
      <c r="M362" s="74"/>
    </row>
    <row r="363" spans="6:13" ht="15.75" customHeight="1">
      <c r="F363" s="74"/>
      <c r="G363" s="74"/>
      <c r="I363" s="74"/>
      <c r="J363" s="74"/>
      <c r="K363" s="74"/>
      <c r="L363" s="74"/>
      <c r="M363" s="74"/>
    </row>
    <row r="364" spans="6:13" ht="15.75" customHeight="1">
      <c r="F364" s="74"/>
      <c r="G364" s="74"/>
      <c r="I364" s="74"/>
      <c r="J364" s="74"/>
      <c r="K364" s="74"/>
      <c r="L364" s="74"/>
      <c r="M364" s="74"/>
    </row>
    <row r="365" spans="6:13" ht="15.75" customHeight="1">
      <c r="F365" s="74"/>
      <c r="G365" s="74"/>
      <c r="I365" s="74"/>
      <c r="J365" s="74"/>
      <c r="K365" s="74"/>
      <c r="L365" s="74"/>
      <c r="M365" s="74"/>
    </row>
    <row r="366" spans="6:13" ht="15.75" customHeight="1">
      <c r="F366" s="74"/>
      <c r="G366" s="74"/>
      <c r="I366" s="74"/>
      <c r="J366" s="74"/>
      <c r="K366" s="74"/>
      <c r="L366" s="74"/>
      <c r="M366" s="74"/>
    </row>
    <row r="367" spans="6:13" ht="15.75" customHeight="1">
      <c r="F367" s="74"/>
      <c r="G367" s="74"/>
      <c r="I367" s="74"/>
      <c r="J367" s="74"/>
      <c r="K367" s="74"/>
      <c r="L367" s="74"/>
      <c r="M367" s="74"/>
    </row>
    <row r="368" spans="6:13" ht="15.75" customHeight="1">
      <c r="F368" s="74"/>
      <c r="G368" s="74"/>
      <c r="I368" s="74"/>
      <c r="J368" s="74"/>
      <c r="K368" s="74"/>
      <c r="L368" s="74"/>
      <c r="M368" s="74"/>
    </row>
    <row r="369" spans="6:13" ht="15.75" customHeight="1">
      <c r="F369" s="74"/>
      <c r="G369" s="74"/>
      <c r="I369" s="74"/>
      <c r="J369" s="74"/>
      <c r="K369" s="74"/>
      <c r="L369" s="74"/>
      <c r="M369" s="74"/>
    </row>
    <row r="370" spans="6:13" ht="15.75" customHeight="1">
      <c r="F370" s="74"/>
      <c r="G370" s="74"/>
      <c r="I370" s="74"/>
      <c r="J370" s="74"/>
      <c r="K370" s="74"/>
      <c r="L370" s="74"/>
      <c r="M370" s="74"/>
    </row>
    <row r="371" spans="6:13" ht="15.75" customHeight="1">
      <c r="F371" s="74"/>
      <c r="G371" s="74"/>
      <c r="I371" s="74"/>
      <c r="J371" s="74"/>
      <c r="K371" s="74"/>
      <c r="L371" s="74"/>
      <c r="M371" s="74"/>
    </row>
    <row r="372" spans="6:13" ht="15.75" customHeight="1">
      <c r="F372" s="74"/>
      <c r="G372" s="74"/>
      <c r="I372" s="74"/>
      <c r="J372" s="74"/>
      <c r="K372" s="74"/>
      <c r="L372" s="74"/>
      <c r="M372" s="74"/>
    </row>
    <row r="373" spans="6:13" ht="15.75" customHeight="1">
      <c r="F373" s="74"/>
      <c r="G373" s="74"/>
      <c r="I373" s="74"/>
      <c r="J373" s="74"/>
      <c r="K373" s="74"/>
      <c r="L373" s="74"/>
      <c r="M373" s="74"/>
    </row>
    <row r="374" spans="6:13" ht="15.75" customHeight="1">
      <c r="F374" s="74"/>
      <c r="G374" s="74"/>
      <c r="I374" s="74"/>
      <c r="J374" s="74"/>
      <c r="K374" s="74"/>
      <c r="L374" s="74"/>
      <c r="M374" s="74"/>
    </row>
    <row r="375" spans="6:13" ht="15.75" customHeight="1">
      <c r="F375" s="74"/>
      <c r="G375" s="74"/>
      <c r="I375" s="74"/>
      <c r="J375" s="74"/>
      <c r="K375" s="74"/>
      <c r="L375" s="74"/>
      <c r="M375" s="74"/>
    </row>
    <row r="376" spans="6:13" ht="15.75" customHeight="1">
      <c r="F376" s="74"/>
      <c r="G376" s="74"/>
      <c r="I376" s="74"/>
      <c r="J376" s="74"/>
      <c r="K376" s="74"/>
      <c r="L376" s="74"/>
      <c r="M376" s="74"/>
    </row>
    <row r="377" spans="6:13" ht="15.75" customHeight="1">
      <c r="F377" s="74"/>
      <c r="G377" s="74"/>
      <c r="I377" s="74"/>
      <c r="J377" s="74"/>
      <c r="K377" s="74"/>
      <c r="L377" s="74"/>
      <c r="M377" s="74"/>
    </row>
    <row r="378" spans="6:13" ht="15.75" customHeight="1">
      <c r="F378" s="74"/>
      <c r="G378" s="74"/>
      <c r="I378" s="74"/>
      <c r="J378" s="74"/>
      <c r="K378" s="74"/>
      <c r="L378" s="74"/>
      <c r="M378" s="74"/>
    </row>
    <row r="379" spans="6:13" ht="15.75" customHeight="1">
      <c r="F379" s="74"/>
      <c r="G379" s="74"/>
      <c r="I379" s="74"/>
      <c r="J379" s="74"/>
      <c r="K379" s="74"/>
      <c r="L379" s="74"/>
      <c r="M379" s="74"/>
    </row>
    <row r="380" spans="6:13" ht="15.75" customHeight="1">
      <c r="F380" s="74"/>
      <c r="G380" s="74"/>
      <c r="I380" s="74"/>
      <c r="J380" s="74"/>
      <c r="K380" s="74"/>
      <c r="L380" s="74"/>
      <c r="M380" s="74"/>
    </row>
    <row r="381" spans="6:13" ht="15.75" customHeight="1">
      <c r="F381" s="74"/>
      <c r="G381" s="74"/>
      <c r="I381" s="74"/>
      <c r="J381" s="74"/>
      <c r="K381" s="74"/>
      <c r="L381" s="74"/>
      <c r="M381" s="74"/>
    </row>
    <row r="382" spans="6:13" ht="15.75" customHeight="1">
      <c r="F382" s="74"/>
      <c r="G382" s="74"/>
      <c r="I382" s="74"/>
      <c r="J382" s="74"/>
      <c r="K382" s="74"/>
      <c r="L382" s="74"/>
      <c r="M382" s="74"/>
    </row>
    <row r="383" spans="6:13" ht="15.75" customHeight="1">
      <c r="F383" s="74"/>
      <c r="G383" s="74"/>
      <c r="I383" s="74"/>
      <c r="J383" s="74"/>
      <c r="K383" s="74"/>
      <c r="L383" s="74"/>
      <c r="M383" s="74"/>
    </row>
    <row r="384" spans="6:13" ht="15.75" customHeight="1">
      <c r="F384" s="74"/>
      <c r="G384" s="74"/>
      <c r="I384" s="74"/>
      <c r="J384" s="74"/>
      <c r="K384" s="74"/>
      <c r="L384" s="74"/>
      <c r="M384" s="74"/>
    </row>
    <row r="385" spans="6:13" ht="15.75" customHeight="1">
      <c r="F385" s="74"/>
      <c r="G385" s="74"/>
      <c r="I385" s="74"/>
      <c r="J385" s="74"/>
      <c r="K385" s="74"/>
      <c r="L385" s="74"/>
      <c r="M385" s="74"/>
    </row>
    <row r="386" spans="6:13" ht="15.75" customHeight="1">
      <c r="F386" s="74"/>
      <c r="G386" s="74"/>
      <c r="I386" s="74"/>
      <c r="J386" s="74"/>
      <c r="K386" s="74"/>
      <c r="L386" s="74"/>
      <c r="M386" s="74"/>
    </row>
    <row r="387" spans="6:13" ht="15.75" customHeight="1">
      <c r="F387" s="74"/>
      <c r="G387" s="74"/>
      <c r="I387" s="74"/>
      <c r="J387" s="74"/>
      <c r="K387" s="74"/>
      <c r="L387" s="74"/>
      <c r="M387" s="74"/>
    </row>
    <row r="388" spans="6:13" ht="15.75" customHeight="1">
      <c r="F388" s="74"/>
      <c r="G388" s="74"/>
      <c r="I388" s="74"/>
      <c r="J388" s="74"/>
      <c r="K388" s="74"/>
      <c r="L388" s="74"/>
      <c r="M388" s="74"/>
    </row>
    <row r="389" spans="6:13" ht="15.75" customHeight="1">
      <c r="F389" s="74"/>
      <c r="G389" s="74"/>
      <c r="I389" s="74"/>
      <c r="J389" s="74"/>
      <c r="K389" s="74"/>
      <c r="L389" s="74"/>
      <c r="M389" s="74"/>
    </row>
    <row r="390" spans="6:13" ht="15.75" customHeight="1">
      <c r="F390" s="74"/>
      <c r="G390" s="74"/>
      <c r="I390" s="74"/>
      <c r="J390" s="74"/>
      <c r="K390" s="74"/>
      <c r="L390" s="74"/>
      <c r="M390" s="74"/>
    </row>
    <row r="391" spans="6:13" ht="15.75" customHeight="1">
      <c r="F391" s="74"/>
      <c r="G391" s="74"/>
      <c r="I391" s="74"/>
      <c r="J391" s="74"/>
      <c r="K391" s="74"/>
      <c r="L391" s="74"/>
      <c r="M391" s="74"/>
    </row>
    <row r="392" spans="6:13" ht="15.75" customHeight="1">
      <c r="F392" s="74"/>
      <c r="G392" s="74"/>
      <c r="I392" s="74"/>
      <c r="J392" s="74"/>
      <c r="K392" s="74"/>
      <c r="L392" s="74"/>
      <c r="M392" s="74"/>
    </row>
    <row r="393" spans="6:13" ht="15.75" customHeight="1">
      <c r="F393" s="74"/>
      <c r="G393" s="74"/>
      <c r="I393" s="74"/>
      <c r="J393" s="74"/>
      <c r="K393" s="74"/>
      <c r="L393" s="74"/>
      <c r="M393" s="74"/>
    </row>
    <row r="394" spans="6:13" ht="15.75" customHeight="1">
      <c r="F394" s="74"/>
      <c r="G394" s="74"/>
      <c r="I394" s="74"/>
      <c r="J394" s="74"/>
      <c r="K394" s="74"/>
      <c r="L394" s="74"/>
      <c r="M394" s="74"/>
    </row>
    <row r="395" spans="6:13" ht="15.75" customHeight="1">
      <c r="F395" s="74"/>
      <c r="G395" s="74"/>
      <c r="I395" s="74"/>
      <c r="J395" s="74"/>
      <c r="K395" s="74"/>
      <c r="L395" s="74"/>
      <c r="M395" s="74"/>
    </row>
    <row r="396" spans="6:13" ht="15.75" customHeight="1">
      <c r="F396" s="74"/>
      <c r="G396" s="74"/>
      <c r="I396" s="74"/>
      <c r="J396" s="74"/>
      <c r="K396" s="74"/>
      <c r="L396" s="74"/>
      <c r="M396" s="74"/>
    </row>
    <row r="397" spans="6:13" ht="15.75" customHeight="1">
      <c r="F397" s="74"/>
      <c r="G397" s="74"/>
      <c r="I397" s="74"/>
      <c r="J397" s="74"/>
      <c r="K397" s="74"/>
      <c r="L397" s="74"/>
      <c r="M397" s="74"/>
    </row>
    <row r="398" spans="6:13" ht="15.75" customHeight="1">
      <c r="F398" s="74"/>
      <c r="G398" s="74"/>
      <c r="I398" s="74"/>
      <c r="J398" s="74"/>
      <c r="K398" s="74"/>
      <c r="L398" s="74"/>
      <c r="M398" s="74"/>
    </row>
    <row r="399" spans="6:13" ht="15.75" customHeight="1">
      <c r="F399" s="74"/>
      <c r="G399" s="74"/>
      <c r="I399" s="74"/>
      <c r="J399" s="74"/>
      <c r="K399" s="74"/>
      <c r="L399" s="74"/>
      <c r="M399" s="74"/>
    </row>
    <row r="400" spans="6:13" ht="15.75" customHeight="1">
      <c r="F400" s="74"/>
      <c r="G400" s="74"/>
      <c r="I400" s="74"/>
      <c r="J400" s="74"/>
      <c r="K400" s="74"/>
      <c r="L400" s="74"/>
      <c r="M400" s="74"/>
    </row>
    <row r="401" spans="6:13" ht="15.75" customHeight="1">
      <c r="F401" s="74"/>
      <c r="G401" s="74"/>
      <c r="I401" s="74"/>
      <c r="J401" s="74"/>
      <c r="K401" s="74"/>
      <c r="L401" s="74"/>
      <c r="M401" s="74"/>
    </row>
    <row r="402" spans="6:13" ht="15.75" customHeight="1">
      <c r="F402" s="74"/>
      <c r="G402" s="74"/>
      <c r="I402" s="74"/>
      <c r="J402" s="74"/>
      <c r="K402" s="74"/>
      <c r="L402" s="74"/>
      <c r="M402" s="74"/>
    </row>
    <row r="403" spans="6:13" ht="15.75" customHeight="1">
      <c r="F403" s="74"/>
      <c r="G403" s="74"/>
      <c r="I403" s="74"/>
      <c r="J403" s="74"/>
      <c r="K403" s="74"/>
      <c r="L403" s="74"/>
      <c r="M403" s="74"/>
    </row>
    <row r="404" spans="6:13" ht="15.75" customHeight="1">
      <c r="F404" s="74"/>
      <c r="G404" s="74"/>
      <c r="I404" s="74"/>
      <c r="J404" s="74"/>
      <c r="K404" s="74"/>
      <c r="L404" s="74"/>
      <c r="M404" s="74"/>
    </row>
    <row r="405" spans="6:13" ht="15.75" customHeight="1">
      <c r="F405" s="74"/>
      <c r="G405" s="74"/>
      <c r="I405" s="74"/>
      <c r="J405" s="74"/>
      <c r="K405" s="74"/>
      <c r="L405" s="74"/>
      <c r="M405" s="74"/>
    </row>
    <row r="406" spans="6:13" ht="15.75" customHeight="1">
      <c r="F406" s="74"/>
      <c r="G406" s="74"/>
      <c r="I406" s="74"/>
      <c r="J406" s="74"/>
      <c r="K406" s="74"/>
      <c r="L406" s="74"/>
      <c r="M406" s="74"/>
    </row>
    <row r="407" spans="6:13" ht="15.75" customHeight="1">
      <c r="F407" s="74"/>
      <c r="G407" s="74"/>
      <c r="I407" s="74"/>
      <c r="J407" s="74"/>
      <c r="K407" s="74"/>
      <c r="L407" s="74"/>
      <c r="M407" s="74"/>
    </row>
    <row r="408" spans="6:13" ht="15.75" customHeight="1">
      <c r="F408" s="74"/>
      <c r="G408" s="74"/>
      <c r="I408" s="74"/>
      <c r="J408" s="74"/>
      <c r="K408" s="74"/>
      <c r="L408" s="74"/>
      <c r="M408" s="74"/>
    </row>
    <row r="409" spans="6:13" ht="15.75" customHeight="1">
      <c r="F409" s="74"/>
      <c r="G409" s="74"/>
      <c r="I409" s="74"/>
      <c r="J409" s="74"/>
      <c r="K409" s="74"/>
      <c r="L409" s="74"/>
      <c r="M409" s="74"/>
    </row>
    <row r="410" spans="6:13" ht="15.75" customHeight="1">
      <c r="F410" s="74"/>
      <c r="G410" s="74"/>
      <c r="I410" s="74"/>
      <c r="J410" s="74"/>
      <c r="K410" s="74"/>
      <c r="L410" s="74"/>
      <c r="M410" s="74"/>
    </row>
    <row r="411" spans="6:13" ht="15.75" customHeight="1">
      <c r="F411" s="74"/>
      <c r="G411" s="74"/>
      <c r="I411" s="74"/>
      <c r="J411" s="74"/>
      <c r="K411" s="74"/>
      <c r="L411" s="74"/>
      <c r="M411" s="74"/>
    </row>
    <row r="412" spans="6:13" ht="15.75" customHeight="1">
      <c r="F412" s="74"/>
      <c r="G412" s="74"/>
      <c r="I412" s="74"/>
      <c r="J412" s="74"/>
      <c r="K412" s="74"/>
      <c r="L412" s="74"/>
      <c r="M412" s="74"/>
    </row>
    <row r="413" spans="6:13" ht="15.75" customHeight="1">
      <c r="F413" s="74"/>
      <c r="G413" s="74"/>
      <c r="I413" s="74"/>
      <c r="J413" s="74"/>
      <c r="K413" s="74"/>
      <c r="L413" s="74"/>
      <c r="M413" s="74"/>
    </row>
    <row r="414" spans="6:13" ht="15.75" customHeight="1">
      <c r="F414" s="74"/>
      <c r="G414" s="74"/>
      <c r="I414" s="74"/>
      <c r="J414" s="74"/>
      <c r="K414" s="74"/>
      <c r="L414" s="74"/>
      <c r="M414" s="74"/>
    </row>
    <row r="415" spans="6:13" ht="15.75" customHeight="1">
      <c r="F415" s="74"/>
      <c r="G415" s="74"/>
      <c r="I415" s="74"/>
      <c r="J415" s="74"/>
      <c r="K415" s="74"/>
      <c r="L415" s="74"/>
      <c r="M415" s="74"/>
    </row>
    <row r="416" spans="6:13" ht="15.75" customHeight="1">
      <c r="F416" s="74"/>
      <c r="G416" s="74"/>
      <c r="I416" s="74"/>
      <c r="J416" s="74"/>
      <c r="K416" s="74"/>
      <c r="L416" s="74"/>
      <c r="M416" s="74"/>
    </row>
    <row r="417" spans="6:13" ht="15.75" customHeight="1">
      <c r="F417" s="74"/>
      <c r="G417" s="74"/>
      <c r="I417" s="74"/>
      <c r="J417" s="74"/>
      <c r="K417" s="74"/>
      <c r="L417" s="74"/>
      <c r="M417" s="74"/>
    </row>
    <row r="418" spans="6:13" ht="15.75" customHeight="1">
      <c r="F418" s="74"/>
      <c r="G418" s="74"/>
      <c r="I418" s="74"/>
      <c r="J418" s="74"/>
      <c r="K418" s="74"/>
      <c r="L418" s="74"/>
      <c r="M418" s="74"/>
    </row>
    <row r="419" spans="6:13" ht="15.75" customHeight="1">
      <c r="F419" s="74"/>
      <c r="G419" s="74"/>
      <c r="I419" s="74"/>
      <c r="J419" s="74"/>
      <c r="K419" s="74"/>
      <c r="L419" s="74"/>
      <c r="M419" s="74"/>
    </row>
    <row r="420" spans="6:13" ht="15.75" customHeight="1">
      <c r="F420" s="74"/>
      <c r="G420" s="74"/>
      <c r="I420" s="74"/>
      <c r="J420" s="74"/>
      <c r="K420" s="74"/>
      <c r="L420" s="74"/>
      <c r="M420" s="74"/>
    </row>
    <row r="421" spans="6:13" ht="15.75" customHeight="1">
      <c r="F421" s="74"/>
      <c r="G421" s="74"/>
      <c r="I421" s="74"/>
      <c r="J421" s="74"/>
      <c r="K421" s="74"/>
      <c r="L421" s="74"/>
      <c r="M421" s="74"/>
    </row>
    <row r="422" spans="6:13" ht="15.75" customHeight="1">
      <c r="F422" s="74"/>
      <c r="G422" s="74"/>
      <c r="I422" s="74"/>
      <c r="J422" s="74"/>
      <c r="K422" s="74"/>
      <c r="L422" s="74"/>
      <c r="M422" s="74"/>
    </row>
    <row r="423" spans="6:13" ht="15.75" customHeight="1">
      <c r="F423" s="74"/>
      <c r="G423" s="74"/>
      <c r="I423" s="74"/>
      <c r="J423" s="74"/>
      <c r="K423" s="74"/>
      <c r="L423" s="74"/>
      <c r="M423" s="74"/>
    </row>
    <row r="424" spans="6:13" ht="15.75" customHeight="1">
      <c r="F424" s="74"/>
      <c r="G424" s="74"/>
      <c r="I424" s="74"/>
      <c r="J424" s="74"/>
      <c r="K424" s="74"/>
      <c r="L424" s="74"/>
      <c r="M424" s="74"/>
    </row>
    <row r="425" spans="6:13" ht="15.75" customHeight="1">
      <c r="F425" s="74"/>
      <c r="G425" s="74"/>
      <c r="I425" s="74"/>
      <c r="J425" s="74"/>
      <c r="K425" s="74"/>
      <c r="L425" s="74"/>
      <c r="M425" s="74"/>
    </row>
    <row r="426" spans="6:13" ht="15.75" customHeight="1">
      <c r="F426" s="74"/>
      <c r="G426" s="74"/>
      <c r="I426" s="74"/>
      <c r="J426" s="74"/>
      <c r="K426" s="74"/>
      <c r="L426" s="74"/>
      <c r="M426" s="74"/>
    </row>
    <row r="427" spans="6:13" ht="15.75" customHeight="1">
      <c r="F427" s="74"/>
      <c r="G427" s="74"/>
      <c r="I427" s="74"/>
      <c r="J427" s="74"/>
      <c r="K427" s="74"/>
      <c r="L427" s="74"/>
      <c r="M427" s="74"/>
    </row>
    <row r="428" spans="6:13" ht="15.75" customHeight="1">
      <c r="F428" s="74"/>
      <c r="G428" s="74"/>
      <c r="I428" s="74"/>
      <c r="J428" s="74"/>
      <c r="K428" s="74"/>
      <c r="L428" s="74"/>
      <c r="M428" s="74"/>
    </row>
    <row r="429" spans="6:13" ht="15.75" customHeight="1">
      <c r="F429" s="74"/>
      <c r="G429" s="74"/>
      <c r="I429" s="74"/>
      <c r="J429" s="74"/>
      <c r="K429" s="74"/>
      <c r="L429" s="74"/>
      <c r="M429" s="74"/>
    </row>
    <row r="430" spans="6:13" ht="15.75" customHeight="1">
      <c r="F430" s="74"/>
      <c r="G430" s="74"/>
      <c r="I430" s="74"/>
      <c r="J430" s="74"/>
      <c r="K430" s="74"/>
      <c r="L430" s="74"/>
      <c r="M430" s="74"/>
    </row>
    <row r="431" spans="6:13" ht="15.75" customHeight="1">
      <c r="F431" s="74"/>
      <c r="G431" s="74"/>
      <c r="I431" s="74"/>
      <c r="J431" s="74"/>
      <c r="K431" s="74"/>
      <c r="L431" s="74"/>
      <c r="M431" s="74"/>
    </row>
    <row r="432" spans="6:13" ht="15.75" customHeight="1">
      <c r="F432" s="74"/>
      <c r="G432" s="74"/>
      <c r="I432" s="74"/>
      <c r="J432" s="74"/>
      <c r="K432" s="74"/>
      <c r="L432" s="74"/>
      <c r="M432" s="74"/>
    </row>
    <row r="433" spans="6:13" ht="15.75" customHeight="1">
      <c r="F433" s="74"/>
      <c r="G433" s="74"/>
      <c r="I433" s="74"/>
      <c r="J433" s="74"/>
      <c r="K433" s="74"/>
      <c r="L433" s="74"/>
      <c r="M433" s="74"/>
    </row>
    <row r="434" spans="6:13" ht="15.75" customHeight="1">
      <c r="F434" s="74"/>
      <c r="G434" s="74"/>
      <c r="I434" s="74"/>
      <c r="J434" s="74"/>
      <c r="K434" s="74"/>
      <c r="L434" s="74"/>
      <c r="M434" s="74"/>
    </row>
    <row r="435" spans="6:13" ht="15.75" customHeight="1">
      <c r="F435" s="74"/>
      <c r="G435" s="74"/>
      <c r="I435" s="74"/>
      <c r="J435" s="74"/>
      <c r="K435" s="74"/>
      <c r="L435" s="74"/>
      <c r="M435" s="74"/>
    </row>
    <row r="436" spans="6:13" ht="15.75" customHeight="1">
      <c r="F436" s="74"/>
      <c r="G436" s="74"/>
      <c r="I436" s="74"/>
      <c r="J436" s="74"/>
      <c r="K436" s="74"/>
      <c r="L436" s="74"/>
      <c r="M436" s="74"/>
    </row>
    <row r="437" spans="6:13" ht="15.75" customHeight="1">
      <c r="F437" s="74"/>
      <c r="G437" s="74"/>
      <c r="I437" s="74"/>
      <c r="J437" s="74"/>
      <c r="K437" s="74"/>
      <c r="L437" s="74"/>
      <c r="M437" s="74"/>
    </row>
    <row r="438" spans="6:13" ht="15.75" customHeight="1">
      <c r="F438" s="74"/>
      <c r="G438" s="74"/>
      <c r="I438" s="74"/>
      <c r="J438" s="74"/>
      <c r="K438" s="74"/>
      <c r="L438" s="74"/>
      <c r="M438" s="74"/>
    </row>
    <row r="439" spans="6:13" ht="15.75" customHeight="1">
      <c r="F439" s="74"/>
      <c r="G439" s="74"/>
      <c r="I439" s="74"/>
      <c r="J439" s="74"/>
      <c r="K439" s="74"/>
      <c r="L439" s="74"/>
      <c r="M439" s="74"/>
    </row>
    <row r="440" spans="6:13" ht="15.75" customHeight="1">
      <c r="F440" s="74"/>
      <c r="G440" s="74"/>
      <c r="I440" s="74"/>
      <c r="J440" s="74"/>
      <c r="K440" s="74"/>
      <c r="L440" s="74"/>
      <c r="M440" s="74"/>
    </row>
    <row r="441" spans="6:13" ht="15.75" customHeight="1">
      <c r="F441" s="74"/>
      <c r="G441" s="74"/>
      <c r="I441" s="74"/>
      <c r="J441" s="74"/>
      <c r="K441" s="74"/>
      <c r="L441" s="74"/>
      <c r="M441" s="74"/>
    </row>
    <row r="442" spans="6:13" ht="15.75" customHeight="1">
      <c r="F442" s="74"/>
      <c r="G442" s="74"/>
      <c r="I442" s="74"/>
      <c r="J442" s="74"/>
      <c r="K442" s="74"/>
      <c r="L442" s="74"/>
      <c r="M442" s="74"/>
    </row>
    <row r="443" spans="6:13" ht="15.75" customHeight="1">
      <c r="F443" s="74"/>
      <c r="G443" s="74"/>
      <c r="I443" s="74"/>
      <c r="J443" s="74"/>
      <c r="K443" s="74"/>
      <c r="L443" s="74"/>
      <c r="M443" s="74"/>
    </row>
    <row r="444" spans="6:13" ht="15.75" customHeight="1">
      <c r="F444" s="74"/>
      <c r="G444" s="74"/>
      <c r="I444" s="74"/>
      <c r="J444" s="74"/>
      <c r="K444" s="74"/>
      <c r="L444" s="74"/>
      <c r="M444" s="74"/>
    </row>
    <row r="445" spans="6:13" ht="15.75" customHeight="1">
      <c r="F445" s="74"/>
      <c r="G445" s="74"/>
      <c r="I445" s="74"/>
      <c r="J445" s="74"/>
      <c r="K445" s="74"/>
      <c r="L445" s="74"/>
      <c r="M445" s="74"/>
    </row>
    <row r="446" spans="6:13" ht="15.75" customHeight="1">
      <c r="F446" s="74"/>
      <c r="G446" s="74"/>
      <c r="I446" s="74"/>
      <c r="J446" s="74"/>
      <c r="K446" s="74"/>
      <c r="L446" s="74"/>
      <c r="M446" s="74"/>
    </row>
    <row r="447" spans="6:13" ht="15.75" customHeight="1">
      <c r="F447" s="74"/>
      <c r="G447" s="74"/>
      <c r="I447" s="74"/>
      <c r="J447" s="74"/>
      <c r="K447" s="74"/>
      <c r="L447" s="74"/>
      <c r="M447" s="74"/>
    </row>
    <row r="448" spans="6:13" ht="15.75" customHeight="1">
      <c r="F448" s="74"/>
      <c r="G448" s="74"/>
      <c r="I448" s="74"/>
      <c r="J448" s="74"/>
      <c r="K448" s="74"/>
      <c r="L448" s="74"/>
      <c r="M448" s="74"/>
    </row>
    <row r="449" spans="6:13" ht="15.75" customHeight="1">
      <c r="F449" s="74"/>
      <c r="G449" s="74"/>
      <c r="I449" s="74"/>
      <c r="J449" s="74"/>
      <c r="K449" s="74"/>
      <c r="L449" s="74"/>
      <c r="M449" s="74"/>
    </row>
    <row r="450" spans="6:13" ht="15.75" customHeight="1">
      <c r="F450" s="74"/>
      <c r="G450" s="74"/>
      <c r="I450" s="74"/>
      <c r="J450" s="74"/>
      <c r="K450" s="74"/>
      <c r="L450" s="74"/>
      <c r="M450" s="74"/>
    </row>
    <row r="451" spans="6:13" ht="15.75" customHeight="1">
      <c r="F451" s="74"/>
      <c r="G451" s="74"/>
      <c r="I451" s="74"/>
      <c r="J451" s="74"/>
      <c r="K451" s="74"/>
      <c r="L451" s="74"/>
      <c r="M451" s="74"/>
    </row>
    <row r="452" spans="6:13" ht="15.75" customHeight="1">
      <c r="F452" s="74"/>
      <c r="G452" s="74"/>
      <c r="I452" s="74"/>
      <c r="J452" s="74"/>
      <c r="K452" s="74"/>
      <c r="L452" s="74"/>
      <c r="M452" s="74"/>
    </row>
    <row r="453" spans="6:13" ht="15.75" customHeight="1">
      <c r="F453" s="74"/>
      <c r="G453" s="74"/>
      <c r="I453" s="74"/>
      <c r="J453" s="74"/>
      <c r="K453" s="74"/>
      <c r="L453" s="74"/>
      <c r="M453" s="74"/>
    </row>
    <row r="454" spans="6:13" ht="15.75" customHeight="1">
      <c r="F454" s="74"/>
      <c r="G454" s="74"/>
      <c r="I454" s="74"/>
      <c r="J454" s="74"/>
      <c r="K454" s="74"/>
      <c r="L454" s="74"/>
      <c r="M454" s="74"/>
    </row>
    <row r="455" spans="6:13" ht="15.75" customHeight="1">
      <c r="F455" s="74"/>
      <c r="G455" s="74"/>
      <c r="I455" s="74"/>
      <c r="J455" s="74"/>
      <c r="K455" s="74"/>
      <c r="L455" s="74"/>
      <c r="M455" s="74"/>
    </row>
    <row r="456" spans="6:13" ht="15.75" customHeight="1">
      <c r="F456" s="74"/>
      <c r="G456" s="74"/>
      <c r="I456" s="74"/>
      <c r="J456" s="74"/>
      <c r="K456" s="74"/>
      <c r="L456" s="74"/>
      <c r="M456" s="74"/>
    </row>
    <row r="457" spans="6:13" ht="15.75" customHeight="1">
      <c r="F457" s="74"/>
      <c r="G457" s="74"/>
      <c r="I457" s="74"/>
      <c r="J457" s="74"/>
      <c r="K457" s="74"/>
      <c r="L457" s="74"/>
      <c r="M457" s="74"/>
    </row>
    <row r="458" spans="6:13" ht="15.75" customHeight="1">
      <c r="F458" s="74"/>
      <c r="G458" s="74"/>
      <c r="I458" s="74"/>
      <c r="J458" s="74"/>
      <c r="K458" s="74"/>
      <c r="L458" s="74"/>
      <c r="M458" s="74"/>
    </row>
    <row r="459" spans="6:13" ht="15.75" customHeight="1">
      <c r="F459" s="74"/>
      <c r="G459" s="74"/>
      <c r="I459" s="74"/>
      <c r="J459" s="74"/>
      <c r="K459" s="74"/>
      <c r="L459" s="74"/>
      <c r="M459" s="74"/>
    </row>
    <row r="460" spans="6:13" ht="15.75" customHeight="1">
      <c r="F460" s="74"/>
      <c r="G460" s="74"/>
      <c r="I460" s="74"/>
      <c r="J460" s="74"/>
      <c r="K460" s="74"/>
      <c r="L460" s="74"/>
      <c r="M460" s="74"/>
    </row>
    <row r="461" spans="6:13" ht="15.75" customHeight="1">
      <c r="F461" s="74"/>
      <c r="G461" s="74"/>
      <c r="I461" s="74"/>
      <c r="J461" s="74"/>
      <c r="K461" s="74"/>
      <c r="L461" s="74"/>
      <c r="M461" s="74"/>
    </row>
    <row r="462" spans="6:13" ht="15.75" customHeight="1">
      <c r="F462" s="74"/>
      <c r="G462" s="74"/>
      <c r="I462" s="74"/>
      <c r="J462" s="74"/>
      <c r="K462" s="74"/>
      <c r="L462" s="74"/>
      <c r="M462" s="74"/>
    </row>
    <row r="463" spans="6:13" ht="15.75" customHeight="1">
      <c r="F463" s="74"/>
      <c r="G463" s="74"/>
      <c r="I463" s="74"/>
      <c r="J463" s="74"/>
      <c r="K463" s="74"/>
      <c r="L463" s="74"/>
      <c r="M463" s="74"/>
    </row>
    <row r="464" spans="6:13" ht="15.75" customHeight="1">
      <c r="F464" s="74"/>
      <c r="G464" s="74"/>
      <c r="I464" s="74"/>
      <c r="J464" s="74"/>
      <c r="K464" s="74"/>
      <c r="L464" s="74"/>
      <c r="M464" s="74"/>
    </row>
    <row r="465" spans="6:13" ht="15.75" customHeight="1">
      <c r="F465" s="74"/>
      <c r="G465" s="74"/>
      <c r="I465" s="74"/>
      <c r="J465" s="74"/>
      <c r="K465" s="74"/>
      <c r="L465" s="74"/>
      <c r="M465" s="74"/>
    </row>
    <row r="466" spans="6:13" ht="15.75" customHeight="1">
      <c r="F466" s="74"/>
      <c r="G466" s="74"/>
      <c r="I466" s="74"/>
      <c r="J466" s="74"/>
      <c r="K466" s="74"/>
      <c r="L466" s="74"/>
      <c r="M466" s="74"/>
    </row>
    <row r="467" spans="6:13" ht="15.75" customHeight="1">
      <c r="F467" s="74"/>
      <c r="G467" s="74"/>
      <c r="I467" s="74"/>
      <c r="J467" s="74"/>
      <c r="K467" s="74"/>
      <c r="L467" s="74"/>
      <c r="M467" s="74"/>
    </row>
    <row r="468" spans="6:13" ht="15.75" customHeight="1">
      <c r="F468" s="74"/>
      <c r="G468" s="74"/>
      <c r="I468" s="74"/>
      <c r="J468" s="74"/>
      <c r="K468" s="74"/>
      <c r="L468" s="74"/>
      <c r="M468" s="74"/>
    </row>
    <row r="469" spans="6:13" ht="15.75" customHeight="1">
      <c r="F469" s="74"/>
      <c r="G469" s="74"/>
      <c r="I469" s="74"/>
      <c r="J469" s="74"/>
      <c r="K469" s="74"/>
      <c r="L469" s="74"/>
      <c r="M469" s="74"/>
    </row>
    <row r="470" spans="6:13" ht="15.75" customHeight="1">
      <c r="F470" s="74"/>
      <c r="G470" s="74"/>
      <c r="I470" s="74"/>
      <c r="J470" s="74"/>
      <c r="K470" s="74"/>
      <c r="L470" s="74"/>
      <c r="M470" s="74"/>
    </row>
    <row r="471" spans="6:13" ht="15.75" customHeight="1">
      <c r="F471" s="74"/>
      <c r="G471" s="74"/>
      <c r="I471" s="74"/>
      <c r="J471" s="74"/>
      <c r="K471" s="74"/>
      <c r="L471" s="74"/>
      <c r="M471" s="74"/>
    </row>
    <row r="472" spans="6:13" ht="15.75" customHeight="1">
      <c r="F472" s="74"/>
      <c r="G472" s="74"/>
      <c r="I472" s="74"/>
      <c r="J472" s="74"/>
      <c r="K472" s="74"/>
      <c r="L472" s="74"/>
      <c r="M472" s="74"/>
    </row>
    <row r="473" spans="6:13" ht="15.75" customHeight="1">
      <c r="F473" s="74"/>
      <c r="G473" s="74"/>
      <c r="I473" s="74"/>
      <c r="J473" s="74"/>
      <c r="K473" s="74"/>
      <c r="L473" s="74"/>
      <c r="M473" s="74"/>
    </row>
    <row r="474" spans="6:13" ht="15.75" customHeight="1">
      <c r="F474" s="74"/>
      <c r="G474" s="74"/>
      <c r="I474" s="74"/>
      <c r="J474" s="74"/>
      <c r="K474" s="74"/>
      <c r="L474" s="74"/>
      <c r="M474" s="74"/>
    </row>
    <row r="475" spans="6:13" ht="15.75" customHeight="1">
      <c r="F475" s="74"/>
      <c r="G475" s="74"/>
      <c r="I475" s="74"/>
      <c r="J475" s="74"/>
      <c r="K475" s="74"/>
      <c r="L475" s="74"/>
      <c r="M475" s="74"/>
    </row>
    <row r="476" spans="6:13" ht="15.75" customHeight="1">
      <c r="F476" s="74"/>
      <c r="G476" s="74"/>
      <c r="I476" s="74"/>
      <c r="J476" s="74"/>
      <c r="K476" s="74"/>
      <c r="L476" s="74"/>
      <c r="M476" s="74"/>
    </row>
    <row r="477" spans="6:13" ht="15.75" customHeight="1">
      <c r="F477" s="74"/>
      <c r="G477" s="74"/>
      <c r="I477" s="74"/>
      <c r="J477" s="74"/>
      <c r="K477" s="74"/>
      <c r="L477" s="74"/>
      <c r="M477" s="74"/>
    </row>
    <row r="478" spans="6:13" ht="15.75" customHeight="1">
      <c r="F478" s="74"/>
      <c r="G478" s="74"/>
      <c r="I478" s="74"/>
      <c r="J478" s="74"/>
      <c r="K478" s="74"/>
      <c r="L478" s="74"/>
      <c r="M478" s="74"/>
    </row>
    <row r="479" spans="6:13" ht="15.75" customHeight="1">
      <c r="F479" s="74"/>
      <c r="G479" s="74"/>
      <c r="I479" s="74"/>
      <c r="J479" s="74"/>
      <c r="K479" s="74"/>
      <c r="L479" s="74"/>
      <c r="M479" s="74"/>
    </row>
    <row r="480" spans="6:13" ht="15.75" customHeight="1">
      <c r="F480" s="74"/>
      <c r="G480" s="74"/>
      <c r="I480" s="74"/>
      <c r="J480" s="74"/>
      <c r="K480" s="74"/>
      <c r="L480" s="74"/>
      <c r="M480" s="74"/>
    </row>
    <row r="481" spans="6:13" ht="15.75" customHeight="1">
      <c r="F481" s="74"/>
      <c r="G481" s="74"/>
      <c r="I481" s="74"/>
      <c r="J481" s="74"/>
      <c r="K481" s="74"/>
      <c r="L481" s="74"/>
      <c r="M481" s="74"/>
    </row>
    <row r="482" spans="6:13" ht="15.75" customHeight="1">
      <c r="F482" s="74"/>
      <c r="G482" s="74"/>
      <c r="I482" s="74"/>
      <c r="J482" s="74"/>
      <c r="K482" s="74"/>
      <c r="L482" s="74"/>
      <c r="M482" s="74"/>
    </row>
    <row r="483" spans="6:13" ht="15.75" customHeight="1">
      <c r="F483" s="74"/>
      <c r="G483" s="74"/>
      <c r="I483" s="74"/>
      <c r="J483" s="74"/>
      <c r="K483" s="74"/>
      <c r="L483" s="74"/>
      <c r="M483" s="74"/>
    </row>
    <row r="484" spans="6:13" ht="15.75" customHeight="1">
      <c r="F484" s="74"/>
      <c r="G484" s="74"/>
      <c r="I484" s="74"/>
      <c r="J484" s="74"/>
      <c r="K484" s="74"/>
      <c r="L484" s="74"/>
      <c r="M484" s="74"/>
    </row>
    <row r="485" spans="6:13" ht="15.75" customHeight="1">
      <c r="F485" s="74"/>
      <c r="G485" s="74"/>
      <c r="I485" s="74"/>
      <c r="J485" s="74"/>
      <c r="K485" s="74"/>
      <c r="L485" s="74"/>
      <c r="M485" s="74"/>
    </row>
    <row r="486" spans="6:13" ht="15.75" customHeight="1">
      <c r="F486" s="74"/>
      <c r="G486" s="74"/>
      <c r="I486" s="74"/>
      <c r="J486" s="74"/>
      <c r="K486" s="74"/>
      <c r="L486" s="74"/>
      <c r="M486" s="74"/>
    </row>
    <row r="487" spans="6:13" ht="15.75" customHeight="1">
      <c r="F487" s="74"/>
      <c r="G487" s="74"/>
      <c r="I487" s="74"/>
      <c r="J487" s="74"/>
      <c r="K487" s="74"/>
      <c r="L487" s="74"/>
      <c r="M487" s="74"/>
    </row>
    <row r="488" spans="6:13" ht="15.75" customHeight="1">
      <c r="F488" s="74"/>
      <c r="G488" s="74"/>
      <c r="I488" s="74"/>
      <c r="J488" s="74"/>
      <c r="K488" s="74"/>
      <c r="L488" s="74"/>
      <c r="M488" s="74"/>
    </row>
    <row r="489" spans="6:13" ht="15.75" customHeight="1">
      <c r="F489" s="74"/>
      <c r="G489" s="74"/>
      <c r="I489" s="74"/>
      <c r="J489" s="74"/>
      <c r="K489" s="74"/>
      <c r="L489" s="74"/>
      <c r="M489" s="74"/>
    </row>
    <row r="490" spans="6:13" ht="15.75" customHeight="1">
      <c r="F490" s="74"/>
      <c r="G490" s="74"/>
      <c r="I490" s="74"/>
      <c r="J490" s="74"/>
      <c r="K490" s="74"/>
      <c r="L490" s="74"/>
      <c r="M490" s="74"/>
    </row>
    <row r="491" spans="6:13" ht="15.75" customHeight="1">
      <c r="F491" s="74"/>
      <c r="G491" s="74"/>
      <c r="I491" s="74"/>
      <c r="J491" s="74"/>
      <c r="K491" s="74"/>
      <c r="L491" s="74"/>
      <c r="M491" s="74"/>
    </row>
    <row r="492" spans="6:13" ht="15.75" customHeight="1">
      <c r="F492" s="74"/>
      <c r="G492" s="74"/>
      <c r="I492" s="74"/>
      <c r="J492" s="74"/>
      <c r="K492" s="74"/>
      <c r="L492" s="74"/>
      <c r="M492" s="74"/>
    </row>
    <row r="493" spans="6:13" ht="15.75" customHeight="1">
      <c r="F493" s="74"/>
      <c r="G493" s="74"/>
      <c r="I493" s="74"/>
      <c r="J493" s="74"/>
      <c r="K493" s="74"/>
      <c r="L493" s="74"/>
      <c r="M493" s="74"/>
    </row>
    <row r="494" spans="6:13" ht="15.75" customHeight="1">
      <c r="F494" s="74"/>
      <c r="G494" s="74"/>
      <c r="I494" s="74"/>
      <c r="J494" s="74"/>
      <c r="K494" s="74"/>
      <c r="L494" s="74"/>
      <c r="M494" s="74"/>
    </row>
    <row r="495" spans="6:13" ht="15.75" customHeight="1">
      <c r="F495" s="74"/>
      <c r="G495" s="74"/>
      <c r="I495" s="74"/>
      <c r="J495" s="74"/>
      <c r="K495" s="74"/>
      <c r="L495" s="74"/>
      <c r="M495" s="74"/>
    </row>
    <row r="496" spans="6:13" ht="15.75" customHeight="1">
      <c r="F496" s="74"/>
      <c r="G496" s="74"/>
      <c r="I496" s="74"/>
      <c r="J496" s="74"/>
      <c r="K496" s="74"/>
      <c r="L496" s="74"/>
      <c r="M496" s="74"/>
    </row>
    <row r="497" spans="6:13" ht="15.75" customHeight="1">
      <c r="F497" s="74"/>
      <c r="G497" s="74"/>
      <c r="I497" s="74"/>
      <c r="J497" s="74"/>
      <c r="K497" s="74"/>
      <c r="L497" s="74"/>
      <c r="M497" s="74"/>
    </row>
    <row r="498" spans="6:13" ht="15.75" customHeight="1">
      <c r="F498" s="74"/>
      <c r="G498" s="74"/>
      <c r="I498" s="74"/>
      <c r="J498" s="74"/>
      <c r="K498" s="74"/>
      <c r="L498" s="74"/>
      <c r="M498" s="74"/>
    </row>
    <row r="499" spans="6:13" ht="15.75" customHeight="1">
      <c r="F499" s="74"/>
      <c r="G499" s="74"/>
      <c r="I499" s="74"/>
      <c r="J499" s="74"/>
      <c r="K499" s="74"/>
      <c r="L499" s="74"/>
      <c r="M499" s="74"/>
    </row>
    <row r="500" spans="6:13" ht="15.75" customHeight="1">
      <c r="F500" s="74"/>
      <c r="G500" s="74"/>
      <c r="I500" s="74"/>
      <c r="J500" s="74"/>
      <c r="K500" s="74"/>
      <c r="L500" s="74"/>
      <c r="M500" s="74"/>
    </row>
    <row r="501" spans="6:13" ht="15.75" customHeight="1">
      <c r="F501" s="74"/>
      <c r="G501" s="74"/>
      <c r="I501" s="74"/>
      <c r="J501" s="74"/>
      <c r="K501" s="74"/>
      <c r="L501" s="74"/>
      <c r="M501" s="74"/>
    </row>
    <row r="502" spans="6:13" ht="15.75" customHeight="1">
      <c r="F502" s="74"/>
      <c r="G502" s="74"/>
      <c r="I502" s="74"/>
      <c r="J502" s="74"/>
      <c r="K502" s="74"/>
      <c r="L502" s="74"/>
      <c r="M502" s="74"/>
    </row>
    <row r="503" spans="6:13" ht="15.75" customHeight="1">
      <c r="F503" s="74"/>
      <c r="G503" s="74"/>
      <c r="I503" s="74"/>
      <c r="J503" s="74"/>
      <c r="K503" s="74"/>
      <c r="L503" s="74"/>
      <c r="M503" s="74"/>
    </row>
    <row r="504" spans="6:13" ht="15.75" customHeight="1">
      <c r="F504" s="74"/>
      <c r="G504" s="74"/>
      <c r="I504" s="74"/>
      <c r="J504" s="74"/>
      <c r="K504" s="74"/>
      <c r="L504" s="74"/>
      <c r="M504" s="74"/>
    </row>
    <row r="505" spans="6:13" ht="15.75" customHeight="1">
      <c r="F505" s="74"/>
      <c r="G505" s="74"/>
      <c r="I505" s="74"/>
      <c r="J505" s="74"/>
      <c r="K505" s="74"/>
      <c r="L505" s="74"/>
      <c r="M505" s="74"/>
    </row>
    <row r="506" spans="6:13" ht="15.75" customHeight="1">
      <c r="F506" s="74"/>
      <c r="G506" s="74"/>
      <c r="I506" s="74"/>
      <c r="J506" s="74"/>
      <c r="K506" s="74"/>
      <c r="L506" s="74"/>
      <c r="M506" s="74"/>
    </row>
    <row r="507" spans="6:13" ht="15.75" customHeight="1">
      <c r="F507" s="74"/>
      <c r="G507" s="74"/>
      <c r="I507" s="74"/>
      <c r="J507" s="74"/>
      <c r="K507" s="74"/>
      <c r="L507" s="74"/>
      <c r="M507" s="74"/>
    </row>
    <row r="508" spans="6:13" ht="15.75" customHeight="1">
      <c r="F508" s="74"/>
      <c r="G508" s="74"/>
      <c r="I508" s="74"/>
      <c r="J508" s="74"/>
      <c r="K508" s="74"/>
      <c r="L508" s="74"/>
      <c r="M508" s="74"/>
    </row>
    <row r="509" spans="6:13" ht="15.75" customHeight="1">
      <c r="F509" s="74"/>
      <c r="G509" s="74"/>
      <c r="I509" s="74"/>
      <c r="J509" s="74"/>
      <c r="K509" s="74"/>
      <c r="L509" s="74"/>
      <c r="M509" s="74"/>
    </row>
    <row r="510" spans="6:13" ht="15.75" customHeight="1">
      <c r="F510" s="74"/>
      <c r="G510" s="74"/>
      <c r="I510" s="74"/>
      <c r="J510" s="74"/>
      <c r="K510" s="74"/>
      <c r="L510" s="74"/>
      <c r="M510" s="74"/>
    </row>
    <row r="511" spans="6:13" ht="15.75" customHeight="1">
      <c r="F511" s="74"/>
      <c r="G511" s="74"/>
      <c r="I511" s="74"/>
      <c r="J511" s="74"/>
      <c r="K511" s="74"/>
      <c r="L511" s="74"/>
      <c r="M511" s="74"/>
    </row>
    <row r="512" spans="6:13" ht="15.75" customHeight="1">
      <c r="F512" s="74"/>
      <c r="G512" s="74"/>
      <c r="I512" s="74"/>
      <c r="J512" s="74"/>
      <c r="K512" s="74"/>
      <c r="L512" s="74"/>
      <c r="M512" s="74"/>
    </row>
    <row r="513" spans="6:13" ht="15.75" customHeight="1">
      <c r="F513" s="74"/>
      <c r="G513" s="74"/>
      <c r="I513" s="74"/>
      <c r="J513" s="74"/>
      <c r="K513" s="74"/>
      <c r="L513" s="74"/>
      <c r="M513" s="74"/>
    </row>
    <row r="514" spans="6:13" ht="15.75" customHeight="1">
      <c r="F514" s="74"/>
      <c r="G514" s="74"/>
      <c r="I514" s="74"/>
      <c r="J514" s="74"/>
      <c r="K514" s="74"/>
      <c r="L514" s="74"/>
      <c r="M514" s="74"/>
    </row>
    <row r="515" spans="6:13" ht="15.75" customHeight="1">
      <c r="F515" s="74"/>
      <c r="G515" s="74"/>
      <c r="I515" s="74"/>
      <c r="J515" s="74"/>
      <c r="K515" s="74"/>
      <c r="L515" s="74"/>
      <c r="M515" s="74"/>
    </row>
    <row r="516" spans="6:13" ht="15.75" customHeight="1">
      <c r="F516" s="74"/>
      <c r="G516" s="74"/>
      <c r="I516" s="74"/>
      <c r="J516" s="74"/>
      <c r="K516" s="74"/>
      <c r="L516" s="74"/>
      <c r="M516" s="74"/>
    </row>
    <row r="517" spans="6:13" ht="15.75" customHeight="1">
      <c r="F517" s="74"/>
      <c r="G517" s="74"/>
      <c r="I517" s="74"/>
      <c r="J517" s="74"/>
      <c r="K517" s="74"/>
      <c r="L517" s="74"/>
      <c r="M517" s="74"/>
    </row>
    <row r="518" spans="6:13" ht="15.75" customHeight="1">
      <c r="F518" s="74"/>
      <c r="G518" s="74"/>
      <c r="I518" s="74"/>
      <c r="J518" s="74"/>
      <c r="K518" s="74"/>
      <c r="L518" s="74"/>
      <c r="M518" s="74"/>
    </row>
    <row r="519" spans="6:13" ht="15.75" customHeight="1">
      <c r="F519" s="74"/>
      <c r="G519" s="74"/>
      <c r="I519" s="74"/>
      <c r="J519" s="74"/>
      <c r="K519" s="74"/>
      <c r="L519" s="74"/>
      <c r="M519" s="74"/>
    </row>
    <row r="520" spans="6:13" ht="15.75" customHeight="1">
      <c r="F520" s="74"/>
      <c r="G520" s="74"/>
      <c r="I520" s="74"/>
      <c r="J520" s="74"/>
      <c r="K520" s="74"/>
      <c r="L520" s="74"/>
      <c r="M520" s="74"/>
    </row>
    <row r="521" spans="6:13" ht="15.75" customHeight="1">
      <c r="F521" s="74"/>
      <c r="G521" s="74"/>
      <c r="I521" s="74"/>
      <c r="J521" s="74"/>
      <c r="K521" s="74"/>
      <c r="L521" s="74"/>
      <c r="M521" s="74"/>
    </row>
    <row r="522" spans="6:13" ht="15.75" customHeight="1">
      <c r="F522" s="74"/>
      <c r="G522" s="74"/>
      <c r="I522" s="74"/>
      <c r="J522" s="74"/>
      <c r="K522" s="74"/>
      <c r="L522" s="74"/>
      <c r="M522" s="74"/>
    </row>
    <row r="523" spans="6:13" ht="15.75" customHeight="1">
      <c r="F523" s="74"/>
      <c r="G523" s="74"/>
      <c r="I523" s="74"/>
      <c r="J523" s="74"/>
      <c r="K523" s="74"/>
      <c r="L523" s="74"/>
      <c r="M523" s="74"/>
    </row>
    <row r="524" spans="6:13" ht="15.75" customHeight="1">
      <c r="F524" s="74"/>
      <c r="G524" s="74"/>
      <c r="I524" s="74"/>
      <c r="J524" s="74"/>
      <c r="K524" s="74"/>
      <c r="L524" s="74"/>
      <c r="M524" s="74"/>
    </row>
    <row r="525" spans="6:13" ht="15.75" customHeight="1">
      <c r="F525" s="74"/>
      <c r="G525" s="74"/>
      <c r="I525" s="74"/>
      <c r="J525" s="74"/>
      <c r="K525" s="74"/>
      <c r="L525" s="74"/>
      <c r="M525" s="74"/>
    </row>
    <row r="526" spans="6:13" ht="15.75" customHeight="1">
      <c r="F526" s="74"/>
      <c r="G526" s="74"/>
      <c r="I526" s="74"/>
      <c r="J526" s="74"/>
      <c r="K526" s="74"/>
      <c r="L526" s="74"/>
      <c r="M526" s="74"/>
    </row>
    <row r="527" spans="6:13" ht="15.75" customHeight="1">
      <c r="F527" s="74"/>
      <c r="G527" s="74"/>
      <c r="I527" s="74"/>
      <c r="J527" s="74"/>
      <c r="K527" s="74"/>
      <c r="L527" s="74"/>
      <c r="M527" s="74"/>
    </row>
    <row r="528" spans="6:13" ht="15.75" customHeight="1">
      <c r="F528" s="74"/>
      <c r="G528" s="74"/>
      <c r="I528" s="74"/>
      <c r="J528" s="74"/>
      <c r="K528" s="74"/>
      <c r="L528" s="74"/>
      <c r="M528" s="74"/>
    </row>
    <row r="529" spans="6:13" ht="15.75" customHeight="1">
      <c r="F529" s="74"/>
      <c r="G529" s="74"/>
      <c r="I529" s="74"/>
      <c r="J529" s="74"/>
      <c r="K529" s="74"/>
      <c r="L529" s="74"/>
      <c r="M529" s="74"/>
    </row>
    <row r="530" spans="6:13" ht="15.75" customHeight="1">
      <c r="F530" s="74"/>
      <c r="G530" s="74"/>
      <c r="I530" s="74"/>
      <c r="J530" s="74"/>
      <c r="K530" s="74"/>
      <c r="L530" s="74"/>
      <c r="M530" s="74"/>
    </row>
    <row r="531" spans="6:13" ht="15.75" customHeight="1">
      <c r="F531" s="74"/>
      <c r="G531" s="74"/>
      <c r="I531" s="74"/>
      <c r="J531" s="74"/>
      <c r="K531" s="74"/>
      <c r="L531" s="74"/>
      <c r="M531" s="74"/>
    </row>
    <row r="532" spans="6:13" ht="15.75" customHeight="1">
      <c r="F532" s="74"/>
      <c r="G532" s="74"/>
      <c r="I532" s="74"/>
      <c r="J532" s="74"/>
      <c r="K532" s="74"/>
      <c r="L532" s="74"/>
      <c r="M532" s="74"/>
    </row>
    <row r="533" spans="6:13" ht="15.75" customHeight="1">
      <c r="F533" s="74"/>
      <c r="G533" s="74"/>
      <c r="I533" s="74"/>
      <c r="J533" s="74"/>
      <c r="K533" s="74"/>
      <c r="L533" s="74"/>
      <c r="M533" s="74"/>
    </row>
    <row r="534" spans="6:13" ht="15.75" customHeight="1">
      <c r="F534" s="74"/>
      <c r="G534" s="74"/>
      <c r="I534" s="74"/>
      <c r="J534" s="74"/>
      <c r="K534" s="74"/>
      <c r="L534" s="74"/>
      <c r="M534" s="74"/>
    </row>
    <row r="535" spans="6:13" ht="15.75" customHeight="1">
      <c r="F535" s="74"/>
      <c r="G535" s="74"/>
      <c r="I535" s="74"/>
      <c r="J535" s="74"/>
      <c r="K535" s="74"/>
      <c r="L535" s="74"/>
      <c r="M535" s="74"/>
    </row>
    <row r="536" spans="6:13" ht="15.75" customHeight="1">
      <c r="F536" s="74"/>
      <c r="G536" s="74"/>
      <c r="I536" s="74"/>
      <c r="J536" s="74"/>
      <c r="K536" s="74"/>
      <c r="L536" s="74"/>
      <c r="M536" s="74"/>
    </row>
    <row r="537" spans="6:13" ht="15.75" customHeight="1">
      <c r="F537" s="74"/>
      <c r="G537" s="74"/>
      <c r="I537" s="74"/>
      <c r="J537" s="74"/>
      <c r="K537" s="74"/>
      <c r="L537" s="74"/>
      <c r="M537" s="74"/>
    </row>
    <row r="538" spans="6:13" ht="15.75" customHeight="1">
      <c r="F538" s="74"/>
      <c r="G538" s="74"/>
      <c r="I538" s="74"/>
      <c r="J538" s="74"/>
      <c r="K538" s="74"/>
      <c r="L538" s="74"/>
      <c r="M538" s="74"/>
    </row>
    <row r="539" spans="6:13" ht="15.75" customHeight="1">
      <c r="F539" s="74"/>
      <c r="G539" s="74"/>
      <c r="I539" s="74"/>
      <c r="J539" s="74"/>
      <c r="K539" s="74"/>
      <c r="L539" s="74"/>
      <c r="M539" s="74"/>
    </row>
    <row r="540" spans="6:13" ht="15.75" customHeight="1">
      <c r="F540" s="74"/>
      <c r="G540" s="74"/>
      <c r="I540" s="74"/>
      <c r="J540" s="74"/>
      <c r="K540" s="74"/>
      <c r="L540" s="74"/>
      <c r="M540" s="74"/>
    </row>
    <row r="541" spans="6:13" ht="15.75" customHeight="1">
      <c r="F541" s="74"/>
      <c r="G541" s="74"/>
      <c r="I541" s="74"/>
      <c r="J541" s="74"/>
      <c r="K541" s="74"/>
      <c r="L541" s="74"/>
      <c r="M541" s="74"/>
    </row>
    <row r="542" spans="6:13" ht="15.75" customHeight="1">
      <c r="F542" s="74"/>
      <c r="G542" s="74"/>
      <c r="I542" s="74"/>
      <c r="J542" s="74"/>
      <c r="K542" s="74"/>
      <c r="L542" s="74"/>
      <c r="M542" s="74"/>
    </row>
    <row r="543" spans="6:13" ht="15.75" customHeight="1">
      <c r="F543" s="74"/>
      <c r="G543" s="74"/>
      <c r="I543" s="74"/>
      <c r="J543" s="74"/>
      <c r="K543" s="74"/>
      <c r="L543" s="74"/>
      <c r="M543" s="74"/>
    </row>
    <row r="544" spans="6:13" ht="15.75" customHeight="1">
      <c r="F544" s="74"/>
      <c r="G544" s="74"/>
      <c r="I544" s="74"/>
      <c r="J544" s="74"/>
      <c r="K544" s="74"/>
      <c r="L544" s="74"/>
      <c r="M544" s="74"/>
    </row>
    <row r="545" spans="6:13" ht="15.75" customHeight="1">
      <c r="F545" s="74"/>
      <c r="G545" s="74"/>
      <c r="I545" s="74"/>
      <c r="J545" s="74"/>
      <c r="K545" s="74"/>
      <c r="L545" s="74"/>
      <c r="M545" s="74"/>
    </row>
    <row r="546" spans="6:13" ht="15.75" customHeight="1">
      <c r="F546" s="74"/>
      <c r="G546" s="74"/>
      <c r="I546" s="74"/>
      <c r="J546" s="74"/>
      <c r="K546" s="74"/>
      <c r="L546" s="74"/>
      <c r="M546" s="74"/>
    </row>
    <row r="547" spans="6:13" ht="15.75" customHeight="1">
      <c r="F547" s="74"/>
      <c r="G547" s="74"/>
      <c r="I547" s="74"/>
      <c r="J547" s="74"/>
      <c r="K547" s="74"/>
      <c r="L547" s="74"/>
      <c r="M547" s="74"/>
    </row>
    <row r="548" spans="6:13" ht="15.75" customHeight="1">
      <c r="F548" s="74"/>
      <c r="G548" s="74"/>
      <c r="I548" s="74"/>
      <c r="J548" s="74"/>
      <c r="K548" s="74"/>
      <c r="L548" s="74"/>
      <c r="M548" s="74"/>
    </row>
    <row r="549" spans="6:13" ht="15.75" customHeight="1">
      <c r="F549" s="74"/>
      <c r="G549" s="74"/>
      <c r="I549" s="74"/>
      <c r="J549" s="74"/>
      <c r="K549" s="74"/>
      <c r="L549" s="74"/>
      <c r="M549" s="74"/>
    </row>
    <row r="550" spans="6:13" ht="15.75" customHeight="1">
      <c r="F550" s="74"/>
      <c r="G550" s="74"/>
      <c r="I550" s="74"/>
      <c r="J550" s="74"/>
      <c r="K550" s="74"/>
      <c r="L550" s="74"/>
      <c r="M550" s="74"/>
    </row>
    <row r="551" spans="6:13" ht="15.75" customHeight="1">
      <c r="F551" s="74"/>
      <c r="G551" s="74"/>
      <c r="I551" s="74"/>
      <c r="J551" s="74"/>
      <c r="K551" s="74"/>
      <c r="L551" s="74"/>
      <c r="M551" s="74"/>
    </row>
    <row r="552" spans="6:13" ht="15.75" customHeight="1">
      <c r="F552" s="74"/>
      <c r="G552" s="74"/>
      <c r="I552" s="74"/>
      <c r="J552" s="74"/>
      <c r="K552" s="74"/>
      <c r="L552" s="74"/>
      <c r="M552" s="74"/>
    </row>
    <row r="553" spans="6:13" ht="15.75" customHeight="1">
      <c r="F553" s="74"/>
      <c r="G553" s="74"/>
      <c r="I553" s="74"/>
      <c r="J553" s="74"/>
      <c r="K553" s="74"/>
      <c r="L553" s="74"/>
      <c r="M553" s="74"/>
    </row>
    <row r="554" spans="6:13" ht="15.75" customHeight="1">
      <c r="F554" s="74"/>
      <c r="G554" s="74"/>
      <c r="I554" s="74"/>
      <c r="J554" s="74"/>
      <c r="K554" s="74"/>
      <c r="L554" s="74"/>
      <c r="M554" s="74"/>
    </row>
    <row r="555" spans="6:13" ht="15.75" customHeight="1">
      <c r="F555" s="74"/>
      <c r="G555" s="74"/>
      <c r="I555" s="74"/>
      <c r="J555" s="74"/>
      <c r="K555" s="74"/>
      <c r="L555" s="74"/>
      <c r="M555" s="74"/>
    </row>
    <row r="556" spans="6:13" ht="15.75" customHeight="1">
      <c r="F556" s="74"/>
      <c r="G556" s="74"/>
      <c r="I556" s="74"/>
      <c r="J556" s="74"/>
      <c r="K556" s="74"/>
      <c r="L556" s="74"/>
      <c r="M556" s="74"/>
    </row>
    <row r="557" spans="6:13" ht="15.75" customHeight="1">
      <c r="F557" s="74"/>
      <c r="G557" s="74"/>
      <c r="I557" s="74"/>
      <c r="J557" s="74"/>
      <c r="K557" s="74"/>
      <c r="L557" s="74"/>
      <c r="M557" s="74"/>
    </row>
    <row r="558" spans="6:13" ht="15.75" customHeight="1">
      <c r="F558" s="74"/>
      <c r="G558" s="74"/>
      <c r="I558" s="74"/>
      <c r="J558" s="74"/>
      <c r="K558" s="74"/>
      <c r="L558" s="74"/>
      <c r="M558" s="74"/>
    </row>
    <row r="559" spans="6:13" ht="15.75" customHeight="1">
      <c r="F559" s="74"/>
      <c r="G559" s="74"/>
      <c r="I559" s="74"/>
      <c r="J559" s="74"/>
      <c r="K559" s="74"/>
      <c r="L559" s="74"/>
      <c r="M559" s="74"/>
    </row>
    <row r="560" spans="6:13" ht="15.75" customHeight="1">
      <c r="F560" s="74"/>
      <c r="G560" s="74"/>
      <c r="I560" s="74"/>
      <c r="J560" s="74"/>
      <c r="K560" s="74"/>
      <c r="L560" s="74"/>
      <c r="M560" s="74"/>
    </row>
    <row r="561" spans="6:13" ht="15.75" customHeight="1">
      <c r="F561" s="74"/>
      <c r="G561" s="74"/>
      <c r="I561" s="74"/>
      <c r="J561" s="74"/>
      <c r="K561" s="74"/>
      <c r="L561" s="74"/>
      <c r="M561" s="74"/>
    </row>
    <row r="562" spans="6:13" ht="15.75" customHeight="1">
      <c r="F562" s="74"/>
      <c r="G562" s="74"/>
      <c r="I562" s="74"/>
      <c r="J562" s="74"/>
      <c r="K562" s="74"/>
      <c r="L562" s="74"/>
      <c r="M562" s="74"/>
    </row>
    <row r="563" spans="6:13" ht="15.75" customHeight="1">
      <c r="F563" s="74"/>
      <c r="G563" s="74"/>
      <c r="I563" s="74"/>
      <c r="J563" s="74"/>
      <c r="K563" s="74"/>
      <c r="L563" s="74"/>
      <c r="M563" s="74"/>
    </row>
    <row r="564" spans="6:13" ht="15.75" customHeight="1">
      <c r="F564" s="74"/>
      <c r="G564" s="74"/>
      <c r="I564" s="74"/>
      <c r="J564" s="74"/>
      <c r="K564" s="74"/>
      <c r="L564" s="74"/>
      <c r="M564" s="74"/>
    </row>
    <row r="565" spans="6:13" ht="15.75" customHeight="1">
      <c r="F565" s="74"/>
      <c r="G565" s="74"/>
      <c r="I565" s="74"/>
      <c r="J565" s="74"/>
      <c r="K565" s="74"/>
      <c r="L565" s="74"/>
      <c r="M565" s="74"/>
    </row>
    <row r="566" spans="6:13" ht="15.75" customHeight="1">
      <c r="F566" s="74"/>
      <c r="G566" s="74"/>
      <c r="I566" s="74"/>
      <c r="J566" s="74"/>
      <c r="K566" s="74"/>
      <c r="L566" s="74"/>
      <c r="M566" s="74"/>
    </row>
    <row r="567" spans="6:13" ht="15.75" customHeight="1">
      <c r="F567" s="74"/>
      <c r="G567" s="74"/>
      <c r="I567" s="74"/>
      <c r="J567" s="74"/>
      <c r="K567" s="74"/>
      <c r="L567" s="74"/>
      <c r="M567" s="74"/>
    </row>
    <row r="568" spans="6:13" ht="15.75" customHeight="1">
      <c r="F568" s="74"/>
      <c r="G568" s="74"/>
      <c r="I568" s="74"/>
      <c r="J568" s="74"/>
      <c r="K568" s="74"/>
      <c r="L568" s="74"/>
      <c r="M568" s="74"/>
    </row>
    <row r="569" spans="6:13" ht="15.75" customHeight="1">
      <c r="F569" s="74"/>
      <c r="G569" s="74"/>
      <c r="I569" s="74"/>
      <c r="J569" s="74"/>
      <c r="K569" s="74"/>
      <c r="L569" s="74"/>
      <c r="M569" s="74"/>
    </row>
    <row r="570" spans="6:13" ht="15.75" customHeight="1">
      <c r="F570" s="74"/>
      <c r="G570" s="74"/>
      <c r="I570" s="74"/>
      <c r="J570" s="74"/>
      <c r="K570" s="74"/>
      <c r="L570" s="74"/>
      <c r="M570" s="74"/>
    </row>
    <row r="571" spans="6:13" ht="15.75" customHeight="1">
      <c r="F571" s="74"/>
      <c r="G571" s="74"/>
      <c r="I571" s="74"/>
      <c r="J571" s="74"/>
      <c r="K571" s="74"/>
      <c r="L571" s="74"/>
      <c r="M571" s="74"/>
    </row>
    <row r="572" spans="6:13" ht="15.75" customHeight="1">
      <c r="F572" s="74"/>
      <c r="G572" s="74"/>
      <c r="I572" s="74"/>
      <c r="J572" s="74"/>
      <c r="K572" s="74"/>
      <c r="L572" s="74"/>
      <c r="M572" s="74"/>
    </row>
    <row r="573" spans="6:13" ht="15.75" customHeight="1">
      <c r="F573" s="74"/>
      <c r="G573" s="74"/>
      <c r="I573" s="74"/>
      <c r="J573" s="74"/>
      <c r="K573" s="74"/>
      <c r="L573" s="74"/>
      <c r="M573" s="74"/>
    </row>
    <row r="574" spans="6:13" ht="15.75" customHeight="1">
      <c r="F574" s="74"/>
      <c r="G574" s="74"/>
      <c r="I574" s="74"/>
      <c r="J574" s="74"/>
      <c r="K574" s="74"/>
      <c r="L574" s="74"/>
      <c r="M574" s="74"/>
    </row>
    <row r="575" spans="6:13" ht="15.75" customHeight="1">
      <c r="F575" s="74"/>
      <c r="G575" s="74"/>
      <c r="I575" s="74"/>
      <c r="J575" s="74"/>
      <c r="K575" s="74"/>
      <c r="L575" s="74"/>
      <c r="M575" s="74"/>
    </row>
    <row r="576" spans="6:13" ht="15.75" customHeight="1">
      <c r="F576" s="74"/>
      <c r="G576" s="74"/>
      <c r="I576" s="74"/>
      <c r="J576" s="74"/>
      <c r="K576" s="74"/>
      <c r="L576" s="74"/>
      <c r="M576" s="74"/>
    </row>
    <row r="577" spans="6:13" ht="15.75" customHeight="1">
      <c r="F577" s="74"/>
      <c r="G577" s="74"/>
      <c r="I577" s="74"/>
      <c r="J577" s="74"/>
      <c r="K577" s="74"/>
      <c r="L577" s="74"/>
      <c r="M577" s="74"/>
    </row>
    <row r="578" spans="6:13" ht="15.75" customHeight="1">
      <c r="F578" s="74"/>
      <c r="G578" s="74"/>
      <c r="I578" s="74"/>
      <c r="J578" s="74"/>
      <c r="K578" s="74"/>
      <c r="L578" s="74"/>
      <c r="M578" s="74"/>
    </row>
    <row r="579" spans="6:13" ht="15.75" customHeight="1">
      <c r="F579" s="74"/>
      <c r="G579" s="74"/>
      <c r="I579" s="74"/>
      <c r="J579" s="74"/>
      <c r="K579" s="74"/>
      <c r="L579" s="74"/>
      <c r="M579" s="74"/>
    </row>
    <row r="580" spans="6:13" ht="15.75" customHeight="1">
      <c r="F580" s="74"/>
      <c r="G580" s="74"/>
      <c r="I580" s="74"/>
      <c r="J580" s="74"/>
      <c r="K580" s="74"/>
      <c r="L580" s="74"/>
      <c r="M580" s="74"/>
    </row>
    <row r="581" spans="6:13" ht="15.75" customHeight="1">
      <c r="F581" s="74"/>
      <c r="G581" s="74"/>
      <c r="I581" s="74"/>
      <c r="J581" s="74"/>
      <c r="K581" s="74"/>
      <c r="L581" s="74"/>
      <c r="M581" s="74"/>
    </row>
    <row r="582" spans="6:13" ht="15.75" customHeight="1">
      <c r="F582" s="74"/>
      <c r="G582" s="74"/>
      <c r="I582" s="74"/>
      <c r="J582" s="74"/>
      <c r="K582" s="74"/>
      <c r="L582" s="74"/>
      <c r="M582" s="74"/>
    </row>
    <row r="583" spans="6:13" ht="15.75" customHeight="1">
      <c r="F583" s="74"/>
      <c r="G583" s="74"/>
      <c r="I583" s="74"/>
      <c r="J583" s="74"/>
      <c r="K583" s="74"/>
      <c r="L583" s="74"/>
      <c r="M583" s="74"/>
    </row>
    <row r="584" spans="6:13" ht="15.75" customHeight="1">
      <c r="F584" s="74"/>
      <c r="G584" s="74"/>
      <c r="I584" s="74"/>
      <c r="J584" s="74"/>
      <c r="K584" s="74"/>
      <c r="L584" s="74"/>
      <c r="M584" s="74"/>
    </row>
    <row r="585" spans="6:13" ht="15.75" customHeight="1">
      <c r="F585" s="74"/>
      <c r="G585" s="74"/>
      <c r="I585" s="74"/>
      <c r="J585" s="74"/>
      <c r="K585" s="74"/>
      <c r="L585" s="74"/>
      <c r="M585" s="74"/>
    </row>
    <row r="586" spans="6:13" ht="15.75" customHeight="1">
      <c r="F586" s="74"/>
      <c r="G586" s="74"/>
      <c r="I586" s="74"/>
      <c r="J586" s="74"/>
      <c r="K586" s="74"/>
      <c r="L586" s="74"/>
      <c r="M586" s="74"/>
    </row>
    <row r="587" spans="6:13" ht="15.75" customHeight="1">
      <c r="F587" s="74"/>
      <c r="G587" s="74"/>
      <c r="I587" s="74"/>
      <c r="J587" s="74"/>
      <c r="K587" s="74"/>
      <c r="L587" s="74"/>
      <c r="M587" s="74"/>
    </row>
    <row r="588" spans="6:13" ht="15.75" customHeight="1">
      <c r="F588" s="74"/>
      <c r="G588" s="74"/>
      <c r="I588" s="74"/>
      <c r="J588" s="74"/>
      <c r="K588" s="74"/>
      <c r="L588" s="74"/>
      <c r="M588" s="74"/>
    </row>
    <row r="589" spans="6:13" ht="15.75" customHeight="1">
      <c r="F589" s="74"/>
      <c r="G589" s="74"/>
      <c r="I589" s="74"/>
      <c r="J589" s="74"/>
      <c r="K589" s="74"/>
      <c r="L589" s="74"/>
      <c r="M589" s="74"/>
    </row>
    <row r="590" spans="6:13" ht="15.75" customHeight="1">
      <c r="F590" s="74"/>
      <c r="G590" s="74"/>
      <c r="I590" s="74"/>
      <c r="J590" s="74"/>
      <c r="K590" s="74"/>
      <c r="L590" s="74"/>
      <c r="M590" s="74"/>
    </row>
    <row r="591" spans="6:13" ht="15.75" customHeight="1">
      <c r="F591" s="74"/>
      <c r="G591" s="74"/>
      <c r="I591" s="74"/>
      <c r="J591" s="74"/>
      <c r="K591" s="74"/>
      <c r="L591" s="74"/>
      <c r="M591" s="74"/>
    </row>
    <row r="592" spans="6:13" ht="15.75" customHeight="1">
      <c r="F592" s="74"/>
      <c r="G592" s="74"/>
      <c r="I592" s="74"/>
      <c r="J592" s="74"/>
      <c r="K592" s="74"/>
      <c r="L592" s="74"/>
      <c r="M592" s="74"/>
    </row>
    <row r="593" spans="6:13" ht="15.75" customHeight="1">
      <c r="F593" s="74"/>
      <c r="G593" s="74"/>
      <c r="I593" s="74"/>
      <c r="J593" s="74"/>
      <c r="K593" s="74"/>
      <c r="L593" s="74"/>
      <c r="M593" s="74"/>
    </row>
    <row r="594" spans="6:13" ht="15.75" customHeight="1">
      <c r="F594" s="74"/>
      <c r="G594" s="74"/>
      <c r="I594" s="74"/>
      <c r="J594" s="74"/>
      <c r="K594" s="74"/>
      <c r="L594" s="74"/>
      <c r="M594" s="74"/>
    </row>
    <row r="595" spans="6:13" ht="15.75" customHeight="1">
      <c r="F595" s="74"/>
      <c r="G595" s="74"/>
      <c r="I595" s="74"/>
      <c r="J595" s="74"/>
      <c r="K595" s="74"/>
      <c r="L595" s="74"/>
      <c r="M595" s="74"/>
    </row>
    <row r="596" spans="6:13" ht="15.75" customHeight="1">
      <c r="F596" s="74"/>
      <c r="G596" s="74"/>
      <c r="I596" s="74"/>
      <c r="J596" s="74"/>
      <c r="K596" s="74"/>
      <c r="L596" s="74"/>
      <c r="M596" s="74"/>
    </row>
    <row r="597" spans="6:13" ht="15.75" customHeight="1">
      <c r="F597" s="74"/>
      <c r="G597" s="74"/>
      <c r="I597" s="74"/>
      <c r="J597" s="74"/>
      <c r="K597" s="74"/>
      <c r="L597" s="74"/>
      <c r="M597" s="74"/>
    </row>
    <row r="598" spans="6:13" ht="15.75" customHeight="1">
      <c r="F598" s="74"/>
      <c r="G598" s="74"/>
      <c r="I598" s="74"/>
      <c r="J598" s="74"/>
      <c r="K598" s="74"/>
      <c r="L598" s="74"/>
      <c r="M598" s="74"/>
    </row>
    <row r="599" spans="6:13" ht="15.75" customHeight="1">
      <c r="F599" s="74"/>
      <c r="G599" s="74"/>
      <c r="I599" s="74"/>
      <c r="J599" s="74"/>
      <c r="K599" s="74"/>
      <c r="L599" s="74"/>
      <c r="M599" s="74"/>
    </row>
    <row r="600" spans="6:13" ht="15.75" customHeight="1">
      <c r="F600" s="74"/>
      <c r="G600" s="74"/>
      <c r="I600" s="74"/>
      <c r="J600" s="74"/>
      <c r="K600" s="74"/>
      <c r="L600" s="74"/>
      <c r="M600" s="74"/>
    </row>
    <row r="601" spans="6:13" ht="15.75" customHeight="1">
      <c r="F601" s="74"/>
      <c r="G601" s="74"/>
      <c r="I601" s="74"/>
      <c r="J601" s="74"/>
      <c r="K601" s="74"/>
      <c r="L601" s="74"/>
      <c r="M601" s="74"/>
    </row>
    <row r="602" spans="6:13" ht="15.75" customHeight="1">
      <c r="F602" s="74"/>
      <c r="G602" s="74"/>
      <c r="I602" s="74"/>
      <c r="J602" s="74"/>
      <c r="K602" s="74"/>
      <c r="L602" s="74"/>
      <c r="M602" s="74"/>
    </row>
    <row r="603" spans="6:13" ht="15.75" customHeight="1">
      <c r="F603" s="74"/>
      <c r="G603" s="74"/>
      <c r="I603" s="74"/>
      <c r="J603" s="74"/>
      <c r="K603" s="74"/>
      <c r="L603" s="74"/>
      <c r="M603" s="74"/>
    </row>
    <row r="604" spans="6:13" ht="15.75" customHeight="1">
      <c r="F604" s="74"/>
      <c r="G604" s="74"/>
      <c r="I604" s="74"/>
      <c r="J604" s="74"/>
      <c r="K604" s="74"/>
      <c r="L604" s="74"/>
      <c r="M604" s="74"/>
    </row>
    <row r="605" spans="6:13" ht="15.75" customHeight="1">
      <c r="F605" s="74"/>
      <c r="G605" s="74"/>
      <c r="I605" s="74"/>
      <c r="J605" s="74"/>
      <c r="K605" s="74"/>
      <c r="L605" s="74"/>
      <c r="M605" s="74"/>
    </row>
    <row r="606" spans="6:13" ht="15.75" customHeight="1">
      <c r="F606" s="74"/>
      <c r="G606" s="74"/>
      <c r="I606" s="74"/>
      <c r="J606" s="74"/>
      <c r="K606" s="74"/>
      <c r="L606" s="74"/>
      <c r="M606" s="74"/>
    </row>
    <row r="607" spans="6:13" ht="15.75" customHeight="1">
      <c r="F607" s="74"/>
      <c r="G607" s="74"/>
      <c r="I607" s="74"/>
      <c r="J607" s="74"/>
      <c r="K607" s="74"/>
      <c r="L607" s="74"/>
      <c r="M607" s="74"/>
    </row>
    <row r="608" spans="6:13" ht="15.75" customHeight="1">
      <c r="F608" s="74"/>
      <c r="G608" s="74"/>
      <c r="I608" s="74"/>
      <c r="J608" s="74"/>
      <c r="K608" s="74"/>
      <c r="L608" s="74"/>
      <c r="M608" s="74"/>
    </row>
    <row r="609" spans="6:13" ht="15.75" customHeight="1">
      <c r="F609" s="74"/>
      <c r="G609" s="74"/>
      <c r="I609" s="74"/>
      <c r="J609" s="74"/>
      <c r="K609" s="74"/>
      <c r="L609" s="74"/>
      <c r="M609" s="74"/>
    </row>
    <row r="610" spans="6:13" ht="15.75" customHeight="1">
      <c r="F610" s="74"/>
      <c r="G610" s="74"/>
      <c r="I610" s="74"/>
      <c r="J610" s="74"/>
      <c r="K610" s="74"/>
      <c r="L610" s="74"/>
      <c r="M610" s="74"/>
    </row>
    <row r="611" spans="6:13" ht="15.75" customHeight="1">
      <c r="F611" s="74"/>
      <c r="G611" s="74"/>
      <c r="I611" s="74"/>
      <c r="J611" s="74"/>
      <c r="K611" s="74"/>
      <c r="L611" s="74"/>
      <c r="M611" s="74"/>
    </row>
    <row r="612" spans="6:13" ht="15.75" customHeight="1">
      <c r="F612" s="74"/>
      <c r="G612" s="74"/>
      <c r="I612" s="74"/>
      <c r="J612" s="74"/>
      <c r="K612" s="74"/>
      <c r="L612" s="74"/>
      <c r="M612" s="74"/>
    </row>
    <row r="613" spans="6:13" ht="15.75" customHeight="1">
      <c r="F613" s="74"/>
      <c r="G613" s="74"/>
      <c r="I613" s="74"/>
      <c r="J613" s="74"/>
      <c r="K613" s="74"/>
      <c r="L613" s="74"/>
      <c r="M613" s="74"/>
    </row>
    <row r="614" spans="6:13" ht="15.75" customHeight="1">
      <c r="F614" s="74"/>
      <c r="G614" s="74"/>
      <c r="I614" s="74"/>
      <c r="J614" s="74"/>
      <c r="K614" s="74"/>
      <c r="L614" s="74"/>
      <c r="M614" s="74"/>
    </row>
    <row r="615" spans="6:13" ht="15.75" customHeight="1">
      <c r="F615" s="74"/>
      <c r="G615" s="74"/>
      <c r="I615" s="74"/>
      <c r="J615" s="74"/>
      <c r="K615" s="74"/>
      <c r="L615" s="74"/>
      <c r="M615" s="74"/>
    </row>
    <row r="616" spans="6:13" ht="15.75" customHeight="1">
      <c r="F616" s="74"/>
      <c r="G616" s="74"/>
      <c r="I616" s="74"/>
      <c r="J616" s="74"/>
      <c r="K616" s="74"/>
      <c r="L616" s="74"/>
      <c r="M616" s="74"/>
    </row>
    <row r="617" spans="6:13" ht="15.75" customHeight="1">
      <c r="F617" s="74"/>
      <c r="G617" s="74"/>
      <c r="I617" s="74"/>
      <c r="J617" s="74"/>
      <c r="K617" s="74"/>
      <c r="L617" s="74"/>
      <c r="M617" s="74"/>
    </row>
    <row r="618" spans="6:13" ht="15.75" customHeight="1">
      <c r="F618" s="74"/>
      <c r="G618" s="74"/>
      <c r="I618" s="74"/>
      <c r="J618" s="74"/>
      <c r="K618" s="74"/>
      <c r="L618" s="74"/>
      <c r="M618" s="74"/>
    </row>
    <row r="619" spans="6:13" ht="15.75" customHeight="1">
      <c r="F619" s="74"/>
      <c r="G619" s="74"/>
      <c r="I619" s="74"/>
      <c r="J619" s="74"/>
      <c r="K619" s="74"/>
      <c r="L619" s="74"/>
      <c r="M619" s="74"/>
    </row>
    <row r="620" spans="6:13" ht="15.75" customHeight="1">
      <c r="F620" s="74"/>
      <c r="G620" s="74"/>
      <c r="I620" s="74"/>
      <c r="J620" s="74"/>
      <c r="K620" s="74"/>
      <c r="L620" s="74"/>
      <c r="M620" s="74"/>
    </row>
    <row r="621" spans="6:13" ht="15.75" customHeight="1">
      <c r="F621" s="74"/>
      <c r="G621" s="74"/>
      <c r="I621" s="74"/>
      <c r="J621" s="74"/>
      <c r="K621" s="74"/>
      <c r="L621" s="74"/>
      <c r="M621" s="74"/>
    </row>
    <row r="622" spans="6:13" ht="15.75" customHeight="1">
      <c r="F622" s="74"/>
      <c r="G622" s="74"/>
      <c r="I622" s="74"/>
      <c r="J622" s="74"/>
      <c r="K622" s="74"/>
      <c r="L622" s="74"/>
      <c r="M622" s="74"/>
    </row>
    <row r="623" spans="6:13" ht="15.75" customHeight="1">
      <c r="F623" s="74"/>
      <c r="G623" s="74"/>
      <c r="I623" s="74"/>
      <c r="J623" s="74"/>
      <c r="K623" s="74"/>
      <c r="L623" s="74"/>
      <c r="M623" s="74"/>
    </row>
    <row r="624" spans="6:13" ht="15.75" customHeight="1">
      <c r="F624" s="74"/>
      <c r="G624" s="74"/>
      <c r="I624" s="74"/>
      <c r="J624" s="74"/>
      <c r="K624" s="74"/>
      <c r="L624" s="74"/>
      <c r="M624" s="74"/>
    </row>
    <row r="625" spans="6:13" ht="15.75" customHeight="1">
      <c r="F625" s="74"/>
      <c r="G625" s="74"/>
      <c r="I625" s="74"/>
      <c r="J625" s="74"/>
      <c r="K625" s="74"/>
      <c r="L625" s="74"/>
      <c r="M625" s="74"/>
    </row>
    <row r="626" spans="6:13" ht="15.75" customHeight="1">
      <c r="F626" s="74"/>
      <c r="G626" s="74"/>
      <c r="I626" s="74"/>
      <c r="J626" s="74"/>
      <c r="K626" s="74"/>
      <c r="L626" s="74"/>
      <c r="M626" s="74"/>
    </row>
    <row r="627" spans="6:13" ht="15.75" customHeight="1">
      <c r="F627" s="74"/>
      <c r="G627" s="74"/>
      <c r="I627" s="74"/>
      <c r="J627" s="74"/>
      <c r="K627" s="74"/>
      <c r="L627" s="74"/>
      <c r="M627" s="74"/>
    </row>
    <row r="628" spans="6:13" ht="15.75" customHeight="1">
      <c r="F628" s="74"/>
      <c r="G628" s="74"/>
      <c r="I628" s="74"/>
      <c r="J628" s="74"/>
      <c r="K628" s="74"/>
      <c r="L628" s="74"/>
      <c r="M628" s="74"/>
    </row>
    <row r="629" spans="6:13" ht="15.75" customHeight="1">
      <c r="F629" s="74"/>
      <c r="G629" s="74"/>
      <c r="I629" s="74"/>
      <c r="J629" s="74"/>
      <c r="K629" s="74"/>
      <c r="L629" s="74"/>
      <c r="M629" s="74"/>
    </row>
    <row r="630" spans="6:13" ht="15.75" customHeight="1">
      <c r="F630" s="74"/>
      <c r="G630" s="74"/>
      <c r="I630" s="74"/>
      <c r="J630" s="74"/>
      <c r="K630" s="74"/>
      <c r="L630" s="74"/>
      <c r="M630" s="74"/>
    </row>
    <row r="631" spans="6:13" ht="15.75" customHeight="1">
      <c r="F631" s="74"/>
      <c r="G631" s="74"/>
      <c r="I631" s="74"/>
      <c r="J631" s="74"/>
      <c r="K631" s="74"/>
      <c r="L631" s="74"/>
      <c r="M631" s="74"/>
    </row>
    <row r="632" spans="6:13" ht="15.75" customHeight="1">
      <c r="F632" s="74"/>
      <c r="G632" s="74"/>
      <c r="I632" s="74"/>
      <c r="J632" s="74"/>
      <c r="K632" s="74"/>
      <c r="L632" s="74"/>
      <c r="M632" s="74"/>
    </row>
    <row r="633" spans="6:13" ht="15.75" customHeight="1">
      <c r="F633" s="74"/>
      <c r="G633" s="74"/>
      <c r="I633" s="74"/>
      <c r="J633" s="74"/>
      <c r="K633" s="74"/>
      <c r="L633" s="74"/>
      <c r="M633" s="74"/>
    </row>
    <row r="634" spans="6:13" ht="15.75" customHeight="1">
      <c r="F634" s="74"/>
      <c r="G634" s="74"/>
      <c r="I634" s="74"/>
      <c r="J634" s="74"/>
      <c r="K634" s="74"/>
      <c r="L634" s="74"/>
      <c r="M634" s="74"/>
    </row>
    <row r="635" spans="6:13" ht="15.75" customHeight="1">
      <c r="F635" s="74"/>
      <c r="G635" s="74"/>
      <c r="I635" s="74"/>
      <c r="J635" s="74"/>
      <c r="K635" s="74"/>
      <c r="L635" s="74"/>
      <c r="M635" s="74"/>
    </row>
    <row r="636" spans="6:13" ht="15.75" customHeight="1">
      <c r="F636" s="74"/>
      <c r="G636" s="74"/>
      <c r="I636" s="74"/>
      <c r="J636" s="74"/>
      <c r="K636" s="74"/>
      <c r="L636" s="74"/>
      <c r="M636" s="74"/>
    </row>
    <row r="637" spans="6:13" ht="15.75" customHeight="1">
      <c r="F637" s="74"/>
      <c r="G637" s="74"/>
      <c r="I637" s="74"/>
      <c r="J637" s="74"/>
      <c r="K637" s="74"/>
      <c r="L637" s="74"/>
      <c r="M637" s="74"/>
    </row>
    <row r="638" spans="6:13" ht="15.75" customHeight="1">
      <c r="F638" s="74"/>
      <c r="G638" s="74"/>
      <c r="I638" s="74"/>
      <c r="J638" s="74"/>
      <c r="K638" s="74"/>
      <c r="L638" s="74"/>
      <c r="M638" s="74"/>
    </row>
    <row r="639" spans="6:13" ht="15.75" customHeight="1">
      <c r="F639" s="74"/>
      <c r="G639" s="74"/>
      <c r="I639" s="74"/>
      <c r="J639" s="74"/>
      <c r="K639" s="74"/>
      <c r="L639" s="74"/>
      <c r="M639" s="74"/>
    </row>
    <row r="640" spans="6:13" ht="15.75" customHeight="1">
      <c r="F640" s="74"/>
      <c r="G640" s="74"/>
      <c r="I640" s="74"/>
      <c r="J640" s="74"/>
      <c r="K640" s="74"/>
      <c r="L640" s="74"/>
      <c r="M640" s="74"/>
    </row>
    <row r="641" spans="6:13" ht="15.75" customHeight="1">
      <c r="F641" s="74"/>
      <c r="G641" s="74"/>
      <c r="I641" s="74"/>
      <c r="J641" s="74"/>
      <c r="K641" s="74"/>
      <c r="L641" s="74"/>
      <c r="M641" s="74"/>
    </row>
    <row r="642" spans="6:13" ht="15.75" customHeight="1">
      <c r="F642" s="74"/>
      <c r="G642" s="74"/>
      <c r="I642" s="74"/>
      <c r="J642" s="74"/>
      <c r="K642" s="74"/>
      <c r="L642" s="74"/>
      <c r="M642" s="74"/>
    </row>
    <row r="643" spans="6:13" ht="15.75" customHeight="1">
      <c r="F643" s="74"/>
      <c r="G643" s="74"/>
      <c r="I643" s="74"/>
      <c r="J643" s="74"/>
      <c r="K643" s="74"/>
      <c r="L643" s="74"/>
      <c r="M643" s="74"/>
    </row>
    <row r="644" spans="6:13" ht="15.75" customHeight="1">
      <c r="F644" s="74"/>
      <c r="G644" s="74"/>
      <c r="I644" s="74"/>
      <c r="J644" s="74"/>
      <c r="K644" s="74"/>
      <c r="L644" s="74"/>
      <c r="M644" s="74"/>
    </row>
    <row r="645" spans="6:13" ht="15.75" customHeight="1">
      <c r="F645" s="74"/>
      <c r="G645" s="74"/>
      <c r="I645" s="74"/>
      <c r="J645" s="74"/>
      <c r="K645" s="74"/>
      <c r="L645" s="74"/>
      <c r="M645" s="74"/>
    </row>
    <row r="646" spans="6:13" ht="15.75" customHeight="1">
      <c r="F646" s="74"/>
      <c r="G646" s="74"/>
      <c r="I646" s="74"/>
      <c r="J646" s="74"/>
      <c r="K646" s="74"/>
      <c r="L646" s="74"/>
      <c r="M646" s="74"/>
    </row>
    <row r="647" spans="6:13" ht="15.75" customHeight="1">
      <c r="F647" s="74"/>
      <c r="G647" s="74"/>
      <c r="I647" s="74"/>
      <c r="J647" s="74"/>
      <c r="K647" s="74"/>
      <c r="L647" s="74"/>
      <c r="M647" s="74"/>
    </row>
    <row r="648" spans="6:13" ht="15.75" customHeight="1">
      <c r="F648" s="74"/>
      <c r="G648" s="74"/>
      <c r="I648" s="74"/>
      <c r="J648" s="74"/>
      <c r="K648" s="74"/>
      <c r="L648" s="74"/>
      <c r="M648" s="74"/>
    </row>
    <row r="649" spans="6:13" ht="15.75" customHeight="1">
      <c r="F649" s="74"/>
      <c r="G649" s="74"/>
      <c r="I649" s="74"/>
      <c r="J649" s="74"/>
      <c r="K649" s="74"/>
      <c r="L649" s="74"/>
      <c r="M649" s="74"/>
    </row>
    <row r="650" spans="6:13" ht="15.75" customHeight="1">
      <c r="F650" s="74"/>
      <c r="G650" s="74"/>
      <c r="I650" s="74"/>
      <c r="J650" s="74"/>
      <c r="K650" s="74"/>
      <c r="L650" s="74"/>
      <c r="M650" s="74"/>
    </row>
    <row r="651" spans="6:13" ht="15.75" customHeight="1">
      <c r="F651" s="74"/>
      <c r="G651" s="74"/>
      <c r="I651" s="74"/>
      <c r="J651" s="74"/>
      <c r="K651" s="74"/>
      <c r="L651" s="74"/>
      <c r="M651" s="74"/>
    </row>
    <row r="652" spans="6:13" ht="15.75" customHeight="1">
      <c r="F652" s="74"/>
      <c r="G652" s="74"/>
      <c r="I652" s="74"/>
      <c r="J652" s="74"/>
      <c r="K652" s="74"/>
      <c r="L652" s="74"/>
      <c r="M652" s="74"/>
    </row>
    <row r="653" spans="6:13" ht="15.75" customHeight="1">
      <c r="F653" s="74"/>
      <c r="G653" s="74"/>
      <c r="I653" s="74"/>
      <c r="J653" s="74"/>
      <c r="K653" s="74"/>
      <c r="L653" s="74"/>
      <c r="M653" s="74"/>
    </row>
    <row r="654" spans="6:13" ht="15.75" customHeight="1">
      <c r="F654" s="74"/>
      <c r="G654" s="74"/>
      <c r="I654" s="74"/>
      <c r="J654" s="74"/>
      <c r="K654" s="74"/>
      <c r="L654" s="74"/>
      <c r="M654" s="74"/>
    </row>
    <row r="655" spans="6:13" ht="15.75" customHeight="1">
      <c r="F655" s="74"/>
      <c r="G655" s="74"/>
      <c r="I655" s="74"/>
      <c r="J655" s="74"/>
      <c r="K655" s="74"/>
      <c r="L655" s="74"/>
      <c r="M655" s="74"/>
    </row>
    <row r="656" spans="6:13" ht="15.75" customHeight="1">
      <c r="F656" s="74"/>
      <c r="G656" s="74"/>
      <c r="I656" s="74"/>
      <c r="J656" s="74"/>
      <c r="K656" s="74"/>
      <c r="L656" s="74"/>
      <c r="M656" s="74"/>
    </row>
    <row r="657" spans="6:13" ht="15.75" customHeight="1">
      <c r="F657" s="74"/>
      <c r="G657" s="74"/>
      <c r="I657" s="74"/>
      <c r="J657" s="74"/>
      <c r="K657" s="74"/>
      <c r="L657" s="74"/>
      <c r="M657" s="74"/>
    </row>
    <row r="658" spans="6:13" ht="15.75" customHeight="1">
      <c r="F658" s="74"/>
      <c r="G658" s="74"/>
      <c r="I658" s="74"/>
      <c r="J658" s="74"/>
      <c r="K658" s="74"/>
      <c r="L658" s="74"/>
      <c r="M658" s="74"/>
    </row>
    <row r="659" spans="6:13" ht="15.75" customHeight="1">
      <c r="F659" s="74"/>
      <c r="G659" s="74"/>
      <c r="I659" s="74"/>
      <c r="J659" s="74"/>
      <c r="K659" s="74"/>
      <c r="L659" s="74"/>
      <c r="M659" s="74"/>
    </row>
    <row r="660" spans="6:13" ht="15.75" customHeight="1">
      <c r="F660" s="74"/>
      <c r="G660" s="74"/>
      <c r="I660" s="74"/>
      <c r="J660" s="74"/>
      <c r="K660" s="74"/>
      <c r="L660" s="74"/>
      <c r="M660" s="74"/>
    </row>
    <row r="661" spans="6:13" ht="15.75" customHeight="1">
      <c r="F661" s="74"/>
      <c r="G661" s="74"/>
      <c r="I661" s="74"/>
      <c r="J661" s="74"/>
      <c r="K661" s="74"/>
      <c r="L661" s="74"/>
      <c r="M661" s="74"/>
    </row>
    <row r="662" spans="6:13" ht="15.75" customHeight="1">
      <c r="F662" s="74"/>
      <c r="G662" s="74"/>
      <c r="I662" s="74"/>
      <c r="J662" s="74"/>
      <c r="K662" s="74"/>
      <c r="L662" s="74"/>
      <c r="M662" s="74"/>
    </row>
    <row r="663" spans="6:13" ht="15.75" customHeight="1">
      <c r="F663" s="74"/>
      <c r="G663" s="74"/>
      <c r="I663" s="74"/>
      <c r="J663" s="74"/>
      <c r="K663" s="74"/>
      <c r="L663" s="74"/>
      <c r="M663" s="74"/>
    </row>
    <row r="664" spans="6:13" ht="15.75" customHeight="1">
      <c r="F664" s="74"/>
      <c r="G664" s="74"/>
      <c r="I664" s="74"/>
      <c r="J664" s="74"/>
      <c r="K664" s="74"/>
      <c r="L664" s="74"/>
      <c r="M664" s="74"/>
    </row>
    <row r="665" spans="6:13" ht="15.75" customHeight="1">
      <c r="F665" s="74"/>
      <c r="G665" s="74"/>
      <c r="I665" s="74"/>
      <c r="J665" s="74"/>
      <c r="K665" s="74"/>
      <c r="L665" s="74"/>
      <c r="M665" s="74"/>
    </row>
    <row r="666" spans="6:13" ht="15.75" customHeight="1">
      <c r="F666" s="74"/>
      <c r="G666" s="74"/>
      <c r="I666" s="74"/>
      <c r="J666" s="74"/>
      <c r="K666" s="74"/>
      <c r="L666" s="74"/>
      <c r="M666" s="74"/>
    </row>
    <row r="667" spans="6:13" ht="15.75" customHeight="1">
      <c r="F667" s="74"/>
      <c r="G667" s="74"/>
      <c r="I667" s="74"/>
      <c r="J667" s="74"/>
      <c r="K667" s="74"/>
      <c r="L667" s="74"/>
      <c r="M667" s="74"/>
    </row>
    <row r="668" spans="6:13" ht="15.75" customHeight="1">
      <c r="F668" s="74"/>
      <c r="G668" s="74"/>
      <c r="I668" s="74"/>
      <c r="J668" s="74"/>
      <c r="K668" s="74"/>
      <c r="L668" s="74"/>
      <c r="M668" s="74"/>
    </row>
    <row r="669" spans="6:13" ht="15.75" customHeight="1">
      <c r="F669" s="74"/>
      <c r="G669" s="74"/>
      <c r="I669" s="74"/>
      <c r="J669" s="74"/>
      <c r="K669" s="74"/>
      <c r="L669" s="74"/>
      <c r="M669" s="74"/>
    </row>
    <row r="670" spans="6:13" ht="15.75" customHeight="1">
      <c r="F670" s="74"/>
      <c r="G670" s="74"/>
      <c r="I670" s="74"/>
      <c r="J670" s="74"/>
      <c r="K670" s="74"/>
      <c r="L670" s="74"/>
      <c r="M670" s="74"/>
    </row>
    <row r="671" spans="6:13" ht="15.75" customHeight="1">
      <c r="F671" s="74"/>
      <c r="G671" s="74"/>
      <c r="I671" s="74"/>
      <c r="J671" s="74"/>
      <c r="K671" s="74"/>
      <c r="L671" s="74"/>
      <c r="M671" s="74"/>
    </row>
    <row r="672" spans="6:13" ht="15.75" customHeight="1">
      <c r="F672" s="74"/>
      <c r="G672" s="74"/>
      <c r="I672" s="74"/>
      <c r="J672" s="74"/>
      <c r="K672" s="74"/>
      <c r="L672" s="74"/>
      <c r="M672" s="74"/>
    </row>
    <row r="673" spans="6:13" ht="15.75" customHeight="1">
      <c r="F673" s="74"/>
      <c r="G673" s="74"/>
      <c r="I673" s="74"/>
      <c r="J673" s="74"/>
      <c r="K673" s="74"/>
      <c r="L673" s="74"/>
      <c r="M673" s="74"/>
    </row>
    <row r="674" spans="6:13" ht="15.75" customHeight="1">
      <c r="F674" s="74"/>
      <c r="G674" s="74"/>
      <c r="I674" s="74"/>
      <c r="J674" s="74"/>
      <c r="K674" s="74"/>
      <c r="L674" s="74"/>
      <c r="M674" s="74"/>
    </row>
    <row r="675" spans="6:13" ht="15.75" customHeight="1">
      <c r="F675" s="74"/>
      <c r="G675" s="74"/>
      <c r="I675" s="74"/>
      <c r="J675" s="74"/>
      <c r="K675" s="74"/>
      <c r="L675" s="74"/>
      <c r="M675" s="74"/>
    </row>
    <row r="676" spans="6:13" ht="15.75" customHeight="1">
      <c r="F676" s="74"/>
      <c r="G676" s="74"/>
      <c r="I676" s="74"/>
      <c r="J676" s="74"/>
      <c r="K676" s="74"/>
      <c r="L676" s="74"/>
      <c r="M676" s="74"/>
    </row>
    <row r="677" spans="6:13" ht="15.75" customHeight="1">
      <c r="F677" s="74"/>
      <c r="G677" s="74"/>
      <c r="I677" s="74"/>
      <c r="J677" s="74"/>
      <c r="K677" s="74"/>
      <c r="L677" s="74"/>
      <c r="M677" s="74"/>
    </row>
    <row r="678" spans="6:13" ht="15.75" customHeight="1">
      <c r="F678" s="74"/>
      <c r="G678" s="74"/>
      <c r="I678" s="74"/>
      <c r="J678" s="74"/>
      <c r="K678" s="74"/>
      <c r="L678" s="74"/>
      <c r="M678" s="74"/>
    </row>
    <row r="679" spans="6:13" ht="15.75" customHeight="1">
      <c r="F679" s="74"/>
      <c r="G679" s="74"/>
      <c r="I679" s="74"/>
      <c r="J679" s="74"/>
      <c r="K679" s="74"/>
      <c r="L679" s="74"/>
      <c r="M679" s="74"/>
    </row>
    <row r="680" spans="6:13" ht="15.75" customHeight="1">
      <c r="F680" s="74"/>
      <c r="G680" s="74"/>
      <c r="I680" s="74"/>
      <c r="J680" s="74"/>
      <c r="K680" s="74"/>
      <c r="L680" s="74"/>
      <c r="M680" s="74"/>
    </row>
    <row r="681" spans="6:13" ht="15.75" customHeight="1">
      <c r="F681" s="74"/>
      <c r="G681" s="74"/>
      <c r="I681" s="74"/>
      <c r="J681" s="74"/>
      <c r="K681" s="74"/>
      <c r="L681" s="74"/>
      <c r="M681" s="74"/>
    </row>
    <row r="682" spans="6:13" ht="15.75" customHeight="1">
      <c r="F682" s="74"/>
      <c r="G682" s="74"/>
      <c r="I682" s="74"/>
      <c r="J682" s="74"/>
      <c r="K682" s="74"/>
      <c r="L682" s="74"/>
      <c r="M682" s="74"/>
    </row>
    <row r="683" spans="6:13" ht="15.75" customHeight="1">
      <c r="F683" s="74"/>
      <c r="G683" s="74"/>
      <c r="I683" s="74"/>
      <c r="J683" s="74"/>
      <c r="K683" s="74"/>
      <c r="L683" s="74"/>
      <c r="M683" s="74"/>
    </row>
    <row r="684" spans="6:13" ht="15.75" customHeight="1">
      <c r="F684" s="74"/>
      <c r="G684" s="74"/>
      <c r="I684" s="74"/>
      <c r="J684" s="74"/>
      <c r="K684" s="74"/>
      <c r="L684" s="74"/>
      <c r="M684" s="74"/>
    </row>
    <row r="685" spans="6:13" ht="15.75" customHeight="1">
      <c r="F685" s="74"/>
      <c r="G685" s="74"/>
      <c r="I685" s="74"/>
      <c r="J685" s="74"/>
      <c r="K685" s="74"/>
      <c r="L685" s="74"/>
      <c r="M685" s="74"/>
    </row>
    <row r="686" spans="6:13" ht="15.75" customHeight="1">
      <c r="F686" s="74"/>
      <c r="G686" s="74"/>
      <c r="I686" s="74"/>
      <c r="J686" s="74"/>
      <c r="K686" s="74"/>
      <c r="L686" s="74"/>
      <c r="M686" s="74"/>
    </row>
    <row r="687" spans="6:13" ht="15.75" customHeight="1">
      <c r="F687" s="74"/>
      <c r="G687" s="74"/>
      <c r="I687" s="74"/>
      <c r="J687" s="74"/>
      <c r="K687" s="74"/>
      <c r="L687" s="74"/>
      <c r="M687" s="74"/>
    </row>
    <row r="688" spans="6:13" ht="15.75" customHeight="1">
      <c r="F688" s="74"/>
      <c r="G688" s="74"/>
      <c r="I688" s="74"/>
      <c r="J688" s="74"/>
      <c r="K688" s="74"/>
      <c r="L688" s="74"/>
      <c r="M688" s="74"/>
    </row>
    <row r="689" spans="6:13" ht="15.75" customHeight="1">
      <c r="F689" s="74"/>
      <c r="G689" s="74"/>
      <c r="I689" s="74"/>
      <c r="J689" s="74"/>
      <c r="K689" s="74"/>
      <c r="L689" s="74"/>
      <c r="M689" s="74"/>
    </row>
    <row r="690" spans="6:13" ht="15.75" customHeight="1">
      <c r="F690" s="74"/>
      <c r="G690" s="74"/>
      <c r="I690" s="74"/>
      <c r="J690" s="74"/>
      <c r="K690" s="74"/>
      <c r="L690" s="74"/>
      <c r="M690" s="74"/>
    </row>
    <row r="691" spans="6:13" ht="15.75" customHeight="1">
      <c r="F691" s="74"/>
      <c r="G691" s="74"/>
      <c r="I691" s="74"/>
      <c r="J691" s="74"/>
      <c r="K691" s="74"/>
      <c r="L691" s="74"/>
      <c r="M691" s="74"/>
    </row>
    <row r="692" spans="6:13" ht="15.75" customHeight="1">
      <c r="F692" s="74"/>
      <c r="G692" s="74"/>
      <c r="I692" s="74"/>
      <c r="J692" s="74"/>
      <c r="K692" s="74"/>
      <c r="L692" s="74"/>
      <c r="M692" s="74"/>
    </row>
    <row r="693" spans="6:13" ht="15.75" customHeight="1">
      <c r="F693" s="74"/>
      <c r="G693" s="74"/>
      <c r="I693" s="74"/>
      <c r="J693" s="74"/>
      <c r="K693" s="74"/>
      <c r="L693" s="74"/>
      <c r="M693" s="74"/>
    </row>
    <row r="694" spans="6:13" ht="15.75" customHeight="1">
      <c r="F694" s="74"/>
      <c r="G694" s="74"/>
      <c r="I694" s="74"/>
      <c r="J694" s="74"/>
      <c r="K694" s="74"/>
      <c r="L694" s="74"/>
      <c r="M694" s="74"/>
    </row>
    <row r="695" spans="6:13" ht="15.75" customHeight="1">
      <c r="F695" s="74"/>
      <c r="G695" s="74"/>
      <c r="I695" s="74"/>
      <c r="J695" s="74"/>
      <c r="K695" s="74"/>
      <c r="L695" s="74"/>
      <c r="M695" s="74"/>
    </row>
    <row r="696" spans="6:13" ht="15.75" customHeight="1">
      <c r="F696" s="74"/>
      <c r="G696" s="74"/>
      <c r="I696" s="74"/>
      <c r="J696" s="74"/>
      <c r="K696" s="74"/>
      <c r="L696" s="74"/>
      <c r="M696" s="74"/>
    </row>
    <row r="697" spans="6:13" ht="15.75" customHeight="1">
      <c r="F697" s="74"/>
      <c r="G697" s="74"/>
      <c r="I697" s="74"/>
      <c r="J697" s="74"/>
      <c r="K697" s="74"/>
      <c r="L697" s="74"/>
      <c r="M697" s="74"/>
    </row>
    <row r="698" spans="6:13" ht="15.75" customHeight="1">
      <c r="F698" s="74"/>
      <c r="G698" s="74"/>
      <c r="I698" s="74"/>
      <c r="J698" s="74"/>
      <c r="K698" s="74"/>
      <c r="L698" s="74"/>
      <c r="M698" s="74"/>
    </row>
    <row r="699" spans="6:13" ht="15.75" customHeight="1">
      <c r="F699" s="74"/>
      <c r="G699" s="74"/>
      <c r="I699" s="74"/>
      <c r="J699" s="74"/>
      <c r="K699" s="74"/>
      <c r="L699" s="74"/>
      <c r="M699" s="74"/>
    </row>
    <row r="700" spans="6:13" ht="15.75" customHeight="1">
      <c r="F700" s="74"/>
      <c r="G700" s="74"/>
      <c r="I700" s="74"/>
      <c r="J700" s="74"/>
      <c r="K700" s="74"/>
      <c r="L700" s="74"/>
      <c r="M700" s="74"/>
    </row>
    <row r="701" spans="6:13" ht="15.75" customHeight="1">
      <c r="F701" s="74"/>
      <c r="G701" s="74"/>
      <c r="I701" s="74"/>
      <c r="J701" s="74"/>
      <c r="K701" s="74"/>
      <c r="L701" s="74"/>
      <c r="M701" s="74"/>
    </row>
    <row r="702" spans="6:13" ht="15.75" customHeight="1">
      <c r="F702" s="74"/>
      <c r="G702" s="74"/>
      <c r="I702" s="74"/>
      <c r="J702" s="74"/>
      <c r="K702" s="74"/>
      <c r="L702" s="74"/>
      <c r="M702" s="74"/>
    </row>
    <row r="703" spans="6:13" ht="15.75" customHeight="1">
      <c r="F703" s="74"/>
      <c r="G703" s="74"/>
      <c r="I703" s="74"/>
      <c r="J703" s="74"/>
      <c r="K703" s="74"/>
      <c r="L703" s="74"/>
      <c r="M703" s="74"/>
    </row>
    <row r="704" spans="6:13" ht="15.75" customHeight="1">
      <c r="F704" s="74"/>
      <c r="G704" s="74"/>
      <c r="I704" s="74"/>
      <c r="J704" s="74"/>
      <c r="K704" s="74"/>
      <c r="L704" s="74"/>
      <c r="M704" s="74"/>
    </row>
    <row r="705" spans="6:13" ht="15.75" customHeight="1">
      <c r="F705" s="74"/>
      <c r="G705" s="74"/>
      <c r="I705" s="74"/>
      <c r="J705" s="74"/>
      <c r="K705" s="74"/>
      <c r="L705" s="74"/>
      <c r="M705" s="74"/>
    </row>
    <row r="706" spans="6:13" ht="15.75" customHeight="1">
      <c r="F706" s="74"/>
      <c r="G706" s="74"/>
      <c r="I706" s="74"/>
      <c r="J706" s="74"/>
      <c r="K706" s="74"/>
      <c r="L706" s="74"/>
      <c r="M706" s="74"/>
    </row>
    <row r="707" spans="6:13" ht="15.75" customHeight="1">
      <c r="F707" s="74"/>
      <c r="G707" s="74"/>
      <c r="I707" s="74"/>
      <c r="J707" s="74"/>
      <c r="K707" s="74"/>
      <c r="L707" s="74"/>
      <c r="M707" s="74"/>
    </row>
    <row r="708" spans="6:13" ht="15.75" customHeight="1">
      <c r="F708" s="74"/>
      <c r="G708" s="74"/>
      <c r="I708" s="74"/>
      <c r="J708" s="74"/>
      <c r="K708" s="74"/>
      <c r="L708" s="74"/>
      <c r="M708" s="74"/>
    </row>
    <row r="709" spans="6:13" ht="15.75" customHeight="1">
      <c r="F709" s="74"/>
      <c r="G709" s="74"/>
      <c r="I709" s="74"/>
      <c r="J709" s="74"/>
      <c r="K709" s="74"/>
      <c r="L709" s="74"/>
      <c r="M709" s="74"/>
    </row>
    <row r="710" spans="6:13" ht="15.75" customHeight="1">
      <c r="F710" s="74"/>
      <c r="G710" s="74"/>
      <c r="I710" s="74"/>
      <c r="J710" s="74"/>
      <c r="K710" s="74"/>
      <c r="L710" s="74"/>
      <c r="M710" s="74"/>
    </row>
    <row r="711" spans="6:13" ht="15.75" customHeight="1">
      <c r="F711" s="74"/>
      <c r="G711" s="74"/>
      <c r="I711" s="74"/>
      <c r="J711" s="74"/>
      <c r="K711" s="74"/>
      <c r="L711" s="74"/>
      <c r="M711" s="74"/>
    </row>
    <row r="712" spans="6:13" ht="15.75" customHeight="1">
      <c r="F712" s="74"/>
      <c r="G712" s="74"/>
      <c r="I712" s="74"/>
      <c r="J712" s="74"/>
      <c r="K712" s="74"/>
      <c r="L712" s="74"/>
      <c r="M712" s="74"/>
    </row>
    <row r="713" spans="6:13" ht="15.75" customHeight="1">
      <c r="F713" s="74"/>
      <c r="G713" s="74"/>
      <c r="I713" s="74"/>
      <c r="J713" s="74"/>
      <c r="K713" s="74"/>
      <c r="L713" s="74"/>
      <c r="M713" s="74"/>
    </row>
    <row r="714" spans="6:13" ht="15.75" customHeight="1">
      <c r="F714" s="74"/>
      <c r="G714" s="74"/>
      <c r="I714" s="74"/>
      <c r="J714" s="74"/>
      <c r="K714" s="74"/>
      <c r="L714" s="74"/>
      <c r="M714" s="74"/>
    </row>
    <row r="715" spans="6:13" ht="15.75" customHeight="1">
      <c r="F715" s="74"/>
      <c r="G715" s="74"/>
      <c r="I715" s="74"/>
      <c r="J715" s="74"/>
      <c r="K715" s="74"/>
      <c r="L715" s="74"/>
      <c r="M715" s="74"/>
    </row>
    <row r="716" spans="6:13" ht="15.75" customHeight="1">
      <c r="F716" s="74"/>
      <c r="G716" s="74"/>
      <c r="I716" s="74"/>
      <c r="J716" s="74"/>
      <c r="K716" s="74"/>
      <c r="L716" s="74"/>
      <c r="M716" s="74"/>
    </row>
    <row r="717" spans="6:13" ht="15.75" customHeight="1">
      <c r="F717" s="74"/>
      <c r="G717" s="74"/>
      <c r="I717" s="74"/>
      <c r="J717" s="74"/>
      <c r="K717" s="74"/>
      <c r="L717" s="74"/>
      <c r="M717" s="74"/>
    </row>
    <row r="718" spans="6:13" ht="15.75" customHeight="1">
      <c r="F718" s="74"/>
      <c r="G718" s="74"/>
      <c r="I718" s="74"/>
      <c r="J718" s="74"/>
      <c r="K718" s="74"/>
      <c r="L718" s="74"/>
      <c r="M718" s="74"/>
    </row>
    <row r="719" spans="6:13" ht="15.75" customHeight="1">
      <c r="F719" s="74"/>
      <c r="G719" s="74"/>
      <c r="I719" s="74"/>
      <c r="J719" s="74"/>
      <c r="K719" s="74"/>
      <c r="L719" s="74"/>
      <c r="M719" s="74"/>
    </row>
    <row r="720" spans="6:13" ht="15.75" customHeight="1">
      <c r="F720" s="74"/>
      <c r="G720" s="74"/>
      <c r="I720" s="74"/>
      <c r="J720" s="74"/>
      <c r="K720" s="74"/>
      <c r="L720" s="74"/>
      <c r="M720" s="74"/>
    </row>
    <row r="721" spans="6:13" ht="15.75" customHeight="1">
      <c r="F721" s="74"/>
      <c r="G721" s="74"/>
      <c r="I721" s="74"/>
      <c r="J721" s="74"/>
      <c r="K721" s="74"/>
      <c r="L721" s="74"/>
      <c r="M721" s="74"/>
    </row>
    <row r="722" spans="6:13" ht="15.75" customHeight="1">
      <c r="F722" s="74"/>
      <c r="G722" s="74"/>
      <c r="I722" s="74"/>
      <c r="J722" s="74"/>
      <c r="K722" s="74"/>
      <c r="L722" s="74"/>
      <c r="M722" s="74"/>
    </row>
    <row r="723" spans="6:13" ht="15.75" customHeight="1">
      <c r="F723" s="74"/>
      <c r="G723" s="74"/>
      <c r="I723" s="74"/>
      <c r="J723" s="74"/>
      <c r="K723" s="74"/>
      <c r="L723" s="74"/>
      <c r="M723" s="74"/>
    </row>
    <row r="724" spans="6:13" ht="15.75" customHeight="1">
      <c r="F724" s="74"/>
      <c r="G724" s="74"/>
      <c r="I724" s="74"/>
      <c r="J724" s="74"/>
      <c r="K724" s="74"/>
      <c r="L724" s="74"/>
      <c r="M724" s="74"/>
    </row>
    <row r="725" spans="6:13" ht="15.75" customHeight="1">
      <c r="F725" s="74"/>
      <c r="G725" s="74"/>
      <c r="I725" s="74"/>
      <c r="J725" s="74"/>
      <c r="K725" s="74"/>
      <c r="L725" s="74"/>
      <c r="M725" s="74"/>
    </row>
    <row r="726" spans="6:13" ht="15.75" customHeight="1">
      <c r="F726" s="74"/>
      <c r="G726" s="74"/>
      <c r="I726" s="74"/>
      <c r="J726" s="74"/>
      <c r="K726" s="74"/>
      <c r="L726" s="74"/>
      <c r="M726" s="74"/>
    </row>
    <row r="727" spans="6:13" ht="15.75" customHeight="1">
      <c r="F727" s="74"/>
      <c r="G727" s="74"/>
      <c r="I727" s="74"/>
      <c r="J727" s="74"/>
      <c r="K727" s="74"/>
      <c r="L727" s="74"/>
      <c r="M727" s="74"/>
    </row>
    <row r="728" spans="6:13" ht="15.75" customHeight="1">
      <c r="F728" s="74"/>
      <c r="G728" s="74"/>
      <c r="I728" s="74"/>
      <c r="J728" s="74"/>
      <c r="K728" s="74"/>
      <c r="L728" s="74"/>
      <c r="M728" s="74"/>
    </row>
    <row r="729" spans="6:13" ht="15.75" customHeight="1">
      <c r="F729" s="74"/>
      <c r="G729" s="74"/>
      <c r="I729" s="74"/>
      <c r="J729" s="74"/>
      <c r="K729" s="74"/>
      <c r="L729" s="74"/>
      <c r="M729" s="74"/>
    </row>
    <row r="730" spans="6:13" ht="15.75" customHeight="1">
      <c r="F730" s="74"/>
      <c r="G730" s="74"/>
      <c r="I730" s="74"/>
      <c r="J730" s="74"/>
      <c r="K730" s="74"/>
      <c r="L730" s="74"/>
      <c r="M730" s="74"/>
    </row>
    <row r="731" spans="6:13" ht="15.75" customHeight="1">
      <c r="F731" s="74"/>
      <c r="G731" s="74"/>
      <c r="I731" s="74"/>
      <c r="J731" s="74"/>
      <c r="K731" s="74"/>
      <c r="L731" s="74"/>
      <c r="M731" s="74"/>
    </row>
    <row r="732" spans="6:13" ht="15.75" customHeight="1">
      <c r="F732" s="74"/>
      <c r="G732" s="74"/>
      <c r="I732" s="74"/>
      <c r="J732" s="74"/>
      <c r="K732" s="74"/>
      <c r="L732" s="74"/>
      <c r="M732" s="74"/>
    </row>
    <row r="733" spans="6:13" ht="15.75" customHeight="1">
      <c r="F733" s="74"/>
      <c r="G733" s="74"/>
      <c r="I733" s="74"/>
      <c r="J733" s="74"/>
      <c r="K733" s="74"/>
      <c r="L733" s="74"/>
      <c r="M733" s="74"/>
    </row>
    <row r="734" spans="6:13" ht="15.75" customHeight="1">
      <c r="F734" s="74"/>
      <c r="G734" s="74"/>
      <c r="I734" s="74"/>
      <c r="J734" s="74"/>
      <c r="K734" s="74"/>
      <c r="L734" s="74"/>
      <c r="M734" s="74"/>
    </row>
    <row r="735" spans="6:13" ht="15.75" customHeight="1">
      <c r="F735" s="74"/>
      <c r="G735" s="74"/>
      <c r="I735" s="74"/>
      <c r="J735" s="74"/>
      <c r="K735" s="74"/>
      <c r="L735" s="74"/>
      <c r="M735" s="74"/>
    </row>
    <row r="736" spans="6:13" ht="15.75" customHeight="1">
      <c r="F736" s="74"/>
      <c r="G736" s="74"/>
      <c r="I736" s="74"/>
      <c r="J736" s="74"/>
      <c r="K736" s="74"/>
      <c r="L736" s="74"/>
      <c r="M736" s="74"/>
    </row>
    <row r="737" spans="6:13" ht="15.75" customHeight="1">
      <c r="F737" s="74"/>
      <c r="G737" s="74"/>
      <c r="I737" s="74"/>
      <c r="J737" s="74"/>
      <c r="K737" s="74"/>
      <c r="L737" s="74"/>
      <c r="M737" s="74"/>
    </row>
    <row r="738" spans="6:13" ht="15.75" customHeight="1">
      <c r="F738" s="74"/>
      <c r="G738" s="74"/>
      <c r="I738" s="74"/>
      <c r="J738" s="74"/>
      <c r="K738" s="74"/>
      <c r="L738" s="74"/>
      <c r="M738" s="74"/>
    </row>
    <row r="739" spans="6:13" ht="15.75" customHeight="1">
      <c r="F739" s="74"/>
      <c r="G739" s="74"/>
      <c r="I739" s="74"/>
      <c r="J739" s="74"/>
      <c r="K739" s="74"/>
      <c r="L739" s="74"/>
      <c r="M739" s="74"/>
    </row>
    <row r="740" spans="6:13" ht="15.75" customHeight="1">
      <c r="F740" s="74"/>
      <c r="G740" s="74"/>
      <c r="I740" s="74"/>
      <c r="J740" s="74"/>
      <c r="K740" s="74"/>
      <c r="L740" s="74"/>
      <c r="M740" s="74"/>
    </row>
    <row r="741" spans="6:13" ht="15.75" customHeight="1">
      <c r="F741" s="74"/>
      <c r="G741" s="74"/>
      <c r="I741" s="74"/>
      <c r="J741" s="74"/>
      <c r="K741" s="74"/>
      <c r="L741" s="74"/>
      <c r="M741" s="74"/>
    </row>
    <row r="742" spans="6:13" ht="15.75" customHeight="1">
      <c r="F742" s="74"/>
      <c r="G742" s="74"/>
      <c r="I742" s="74"/>
      <c r="J742" s="74"/>
      <c r="K742" s="74"/>
      <c r="L742" s="74"/>
      <c r="M742" s="74"/>
    </row>
    <row r="743" spans="6:13" ht="15.75" customHeight="1">
      <c r="F743" s="74"/>
      <c r="G743" s="74"/>
      <c r="I743" s="74"/>
      <c r="J743" s="74"/>
      <c r="K743" s="74"/>
      <c r="L743" s="74"/>
      <c r="M743" s="74"/>
    </row>
    <row r="744" spans="6:13" ht="15.75" customHeight="1">
      <c r="F744" s="74"/>
      <c r="G744" s="74"/>
      <c r="I744" s="74"/>
      <c r="J744" s="74"/>
      <c r="K744" s="74"/>
      <c r="L744" s="74"/>
      <c r="M744" s="74"/>
    </row>
    <row r="745" spans="6:13" ht="15.75" customHeight="1">
      <c r="F745" s="74"/>
      <c r="G745" s="74"/>
      <c r="I745" s="74"/>
      <c r="J745" s="74"/>
      <c r="K745" s="74"/>
      <c r="L745" s="74"/>
      <c r="M745" s="74"/>
    </row>
    <row r="746" spans="6:13" ht="15.75" customHeight="1">
      <c r="F746" s="74"/>
      <c r="G746" s="74"/>
      <c r="I746" s="74"/>
      <c r="J746" s="74"/>
      <c r="K746" s="74"/>
      <c r="L746" s="74"/>
      <c r="M746" s="74"/>
    </row>
    <row r="747" spans="6:13" ht="15.75" customHeight="1">
      <c r="F747" s="74"/>
      <c r="G747" s="74"/>
      <c r="I747" s="74"/>
      <c r="J747" s="74"/>
      <c r="K747" s="74"/>
      <c r="L747" s="74"/>
      <c r="M747" s="74"/>
    </row>
    <row r="748" spans="6:13" ht="15.75" customHeight="1">
      <c r="F748" s="74"/>
      <c r="G748" s="74"/>
      <c r="I748" s="74"/>
      <c r="J748" s="74"/>
      <c r="K748" s="74"/>
      <c r="L748" s="74"/>
      <c r="M748" s="74"/>
    </row>
    <row r="749" spans="6:13" ht="15.75" customHeight="1">
      <c r="F749" s="74"/>
      <c r="G749" s="74"/>
      <c r="I749" s="74"/>
      <c r="J749" s="74"/>
      <c r="K749" s="74"/>
      <c r="L749" s="74"/>
      <c r="M749" s="74"/>
    </row>
    <row r="750" spans="6:13" ht="15.75" customHeight="1">
      <c r="F750" s="74"/>
      <c r="G750" s="74"/>
      <c r="I750" s="74"/>
      <c r="J750" s="74"/>
      <c r="K750" s="74"/>
      <c r="L750" s="74"/>
      <c r="M750" s="74"/>
    </row>
    <row r="751" spans="6:13" ht="15.75" customHeight="1">
      <c r="F751" s="74"/>
      <c r="G751" s="74"/>
      <c r="I751" s="74"/>
      <c r="J751" s="74"/>
      <c r="K751" s="74"/>
      <c r="L751" s="74"/>
      <c r="M751" s="74"/>
    </row>
    <row r="752" spans="6:13" ht="15.75" customHeight="1">
      <c r="F752" s="74"/>
      <c r="G752" s="74"/>
      <c r="I752" s="74"/>
      <c r="J752" s="74"/>
      <c r="K752" s="74"/>
      <c r="L752" s="74"/>
      <c r="M752" s="74"/>
    </row>
    <row r="753" spans="6:13" ht="15.75" customHeight="1">
      <c r="F753" s="74"/>
      <c r="G753" s="74"/>
      <c r="I753" s="74"/>
      <c r="J753" s="74"/>
      <c r="K753" s="74"/>
      <c r="L753" s="74"/>
      <c r="M753" s="74"/>
    </row>
    <row r="754" spans="6:13" ht="15.75" customHeight="1">
      <c r="F754" s="74"/>
      <c r="G754" s="74"/>
      <c r="I754" s="74"/>
      <c r="J754" s="74"/>
      <c r="K754" s="74"/>
      <c r="L754" s="74"/>
      <c r="M754" s="74"/>
    </row>
    <row r="755" spans="6:13" ht="15.75" customHeight="1">
      <c r="F755" s="74"/>
      <c r="G755" s="74"/>
      <c r="I755" s="74"/>
      <c r="J755" s="74"/>
      <c r="K755" s="74"/>
      <c r="L755" s="74"/>
      <c r="M755" s="74"/>
    </row>
    <row r="756" spans="6:13" ht="15.75" customHeight="1">
      <c r="F756" s="74"/>
      <c r="G756" s="74"/>
      <c r="I756" s="74"/>
      <c r="J756" s="74"/>
      <c r="K756" s="74"/>
      <c r="L756" s="74"/>
      <c r="M756" s="74"/>
    </row>
    <row r="757" spans="6:13" ht="15.75" customHeight="1">
      <c r="F757" s="74"/>
      <c r="G757" s="74"/>
      <c r="I757" s="74"/>
      <c r="J757" s="74"/>
      <c r="K757" s="74"/>
      <c r="L757" s="74"/>
      <c r="M757" s="74"/>
    </row>
    <row r="758" spans="6:13" ht="15.75" customHeight="1">
      <c r="F758" s="74"/>
      <c r="G758" s="74"/>
      <c r="I758" s="74"/>
      <c r="J758" s="74"/>
      <c r="K758" s="74"/>
      <c r="L758" s="74"/>
      <c r="M758" s="74"/>
    </row>
    <row r="759" spans="6:13" ht="15.75" customHeight="1">
      <c r="F759" s="74"/>
      <c r="G759" s="74"/>
      <c r="I759" s="74"/>
      <c r="J759" s="74"/>
      <c r="K759" s="74"/>
      <c r="L759" s="74"/>
      <c r="M759" s="74"/>
    </row>
    <row r="760" spans="6:13" ht="15.75" customHeight="1">
      <c r="F760" s="74"/>
      <c r="G760" s="74"/>
      <c r="I760" s="74"/>
      <c r="J760" s="74"/>
      <c r="K760" s="74"/>
      <c r="L760" s="74"/>
      <c r="M760" s="74"/>
    </row>
    <row r="761" spans="6:13" ht="15.75" customHeight="1">
      <c r="F761" s="74"/>
      <c r="G761" s="74"/>
      <c r="I761" s="74"/>
      <c r="J761" s="74"/>
      <c r="K761" s="74"/>
      <c r="L761" s="74"/>
      <c r="M761" s="74"/>
    </row>
    <row r="762" spans="6:13" ht="15.75" customHeight="1">
      <c r="F762" s="74"/>
      <c r="G762" s="74"/>
      <c r="I762" s="74"/>
      <c r="J762" s="74"/>
      <c r="K762" s="74"/>
      <c r="L762" s="74"/>
      <c r="M762" s="74"/>
    </row>
    <row r="763" spans="6:13" ht="15.75" customHeight="1">
      <c r="F763" s="74"/>
      <c r="G763" s="74"/>
      <c r="I763" s="74"/>
      <c r="J763" s="74"/>
      <c r="K763" s="74"/>
      <c r="L763" s="74"/>
      <c r="M763" s="74"/>
    </row>
    <row r="764" spans="6:13" ht="15.75" customHeight="1">
      <c r="F764" s="74"/>
      <c r="G764" s="74"/>
      <c r="I764" s="74"/>
      <c r="J764" s="74"/>
      <c r="K764" s="74"/>
      <c r="L764" s="74"/>
      <c r="M764" s="74"/>
    </row>
    <row r="765" spans="6:13" ht="15.75" customHeight="1">
      <c r="F765" s="74"/>
      <c r="G765" s="74"/>
      <c r="I765" s="74"/>
      <c r="J765" s="74"/>
      <c r="K765" s="74"/>
      <c r="L765" s="74"/>
      <c r="M765" s="74"/>
    </row>
    <row r="766" spans="6:13" ht="15.75" customHeight="1">
      <c r="F766" s="74"/>
      <c r="G766" s="74"/>
      <c r="I766" s="74"/>
      <c r="J766" s="74"/>
      <c r="K766" s="74"/>
      <c r="L766" s="74"/>
      <c r="M766" s="74"/>
    </row>
    <row r="767" spans="6:13" ht="15.75" customHeight="1">
      <c r="F767" s="74"/>
      <c r="G767" s="74"/>
      <c r="I767" s="74"/>
      <c r="J767" s="74"/>
      <c r="K767" s="74"/>
      <c r="L767" s="74"/>
      <c r="M767" s="74"/>
    </row>
    <row r="768" spans="6:13" ht="15.75" customHeight="1">
      <c r="F768" s="74"/>
      <c r="G768" s="74"/>
      <c r="I768" s="74"/>
      <c r="J768" s="74"/>
      <c r="K768" s="74"/>
      <c r="L768" s="74"/>
      <c r="M768" s="74"/>
    </row>
    <row r="769" spans="6:13" ht="15.75" customHeight="1">
      <c r="F769" s="74"/>
      <c r="G769" s="74"/>
      <c r="I769" s="74"/>
      <c r="J769" s="74"/>
      <c r="K769" s="74"/>
      <c r="L769" s="74"/>
      <c r="M769" s="74"/>
    </row>
    <row r="770" spans="6:13" ht="15.75" customHeight="1">
      <c r="F770" s="74"/>
      <c r="G770" s="74"/>
      <c r="I770" s="74"/>
      <c r="J770" s="74"/>
      <c r="K770" s="74"/>
      <c r="L770" s="74"/>
      <c r="M770" s="74"/>
    </row>
    <row r="771" spans="6:13" ht="15.75" customHeight="1">
      <c r="F771" s="74"/>
      <c r="G771" s="74"/>
      <c r="I771" s="74"/>
      <c r="J771" s="74"/>
      <c r="K771" s="74"/>
      <c r="L771" s="74"/>
      <c r="M771" s="74"/>
    </row>
    <row r="772" spans="6:13" ht="15.75" customHeight="1">
      <c r="F772" s="74"/>
      <c r="G772" s="74"/>
      <c r="I772" s="74"/>
      <c r="J772" s="74"/>
      <c r="K772" s="74"/>
      <c r="L772" s="74"/>
      <c r="M772" s="74"/>
    </row>
    <row r="773" spans="6:13" ht="15.75" customHeight="1">
      <c r="F773" s="74"/>
      <c r="G773" s="74"/>
      <c r="I773" s="74"/>
      <c r="J773" s="74"/>
      <c r="K773" s="74"/>
      <c r="L773" s="74"/>
      <c r="M773" s="74"/>
    </row>
    <row r="774" spans="6:13" ht="15.75" customHeight="1">
      <c r="F774" s="74"/>
      <c r="G774" s="74"/>
      <c r="I774" s="74"/>
      <c r="J774" s="74"/>
      <c r="K774" s="74"/>
      <c r="L774" s="74"/>
      <c r="M774" s="74"/>
    </row>
    <row r="775" spans="6:13" ht="15.75" customHeight="1">
      <c r="F775" s="74"/>
      <c r="G775" s="74"/>
      <c r="I775" s="74"/>
      <c r="J775" s="74"/>
      <c r="K775" s="74"/>
      <c r="L775" s="74"/>
      <c r="M775" s="74"/>
    </row>
    <row r="776" spans="6:13" ht="15.75" customHeight="1">
      <c r="F776" s="74"/>
      <c r="G776" s="74"/>
      <c r="I776" s="74"/>
      <c r="J776" s="74"/>
      <c r="K776" s="74"/>
      <c r="L776" s="74"/>
      <c r="M776" s="74"/>
    </row>
    <row r="777" spans="6:13" ht="15.75" customHeight="1">
      <c r="F777" s="74"/>
      <c r="G777" s="74"/>
      <c r="I777" s="74"/>
      <c r="J777" s="74"/>
      <c r="K777" s="74"/>
      <c r="L777" s="74"/>
      <c r="M777" s="74"/>
    </row>
    <row r="778" spans="6:13" ht="15.75" customHeight="1">
      <c r="F778" s="74"/>
      <c r="G778" s="74"/>
      <c r="I778" s="74"/>
      <c r="J778" s="74"/>
      <c r="K778" s="74"/>
      <c r="L778" s="74"/>
      <c r="M778" s="74"/>
    </row>
    <row r="779" spans="6:13" ht="15.75" customHeight="1">
      <c r="F779" s="74"/>
      <c r="G779" s="74"/>
      <c r="I779" s="74"/>
      <c r="J779" s="74"/>
      <c r="K779" s="74"/>
      <c r="L779" s="74"/>
      <c r="M779" s="74"/>
    </row>
    <row r="780" spans="6:13" ht="15.75" customHeight="1">
      <c r="F780" s="74"/>
      <c r="G780" s="74"/>
      <c r="I780" s="74"/>
      <c r="J780" s="74"/>
      <c r="K780" s="74"/>
      <c r="L780" s="74"/>
      <c r="M780" s="74"/>
    </row>
    <row r="781" spans="6:13" ht="15.75" customHeight="1">
      <c r="F781" s="74"/>
      <c r="G781" s="74"/>
      <c r="I781" s="74"/>
      <c r="J781" s="74"/>
      <c r="K781" s="74"/>
      <c r="L781" s="74"/>
      <c r="M781" s="74"/>
    </row>
    <row r="782" spans="6:13" ht="15.75" customHeight="1">
      <c r="F782" s="74"/>
      <c r="G782" s="74"/>
      <c r="I782" s="74"/>
      <c r="J782" s="74"/>
      <c r="K782" s="74"/>
      <c r="L782" s="74"/>
      <c r="M782" s="74"/>
    </row>
    <row r="783" spans="6:13" ht="15.75" customHeight="1">
      <c r="F783" s="74"/>
      <c r="G783" s="74"/>
      <c r="I783" s="74"/>
      <c r="J783" s="74"/>
      <c r="K783" s="74"/>
      <c r="L783" s="74"/>
      <c r="M783" s="74"/>
    </row>
    <row r="784" spans="6:13" ht="15.75" customHeight="1">
      <c r="F784" s="74"/>
      <c r="G784" s="74"/>
      <c r="I784" s="74"/>
      <c r="J784" s="74"/>
      <c r="K784" s="74"/>
      <c r="L784" s="74"/>
      <c r="M784" s="74"/>
    </row>
    <row r="785" spans="6:13" ht="15.75" customHeight="1">
      <c r="F785" s="74"/>
      <c r="G785" s="74"/>
      <c r="I785" s="74"/>
      <c r="J785" s="74"/>
      <c r="K785" s="74"/>
      <c r="L785" s="74"/>
      <c r="M785" s="74"/>
    </row>
    <row r="786" spans="6:13" ht="15.75" customHeight="1">
      <c r="F786" s="74"/>
      <c r="G786" s="74"/>
      <c r="I786" s="74"/>
      <c r="J786" s="74"/>
      <c r="K786" s="74"/>
      <c r="L786" s="74"/>
      <c r="M786" s="74"/>
    </row>
    <row r="787" spans="6:13" ht="15.75" customHeight="1">
      <c r="F787" s="74"/>
      <c r="G787" s="74"/>
      <c r="I787" s="74"/>
      <c r="J787" s="74"/>
      <c r="K787" s="74"/>
      <c r="L787" s="74"/>
      <c r="M787" s="74"/>
    </row>
    <row r="788" spans="6:13" ht="15.75" customHeight="1">
      <c r="F788" s="74"/>
      <c r="G788" s="74"/>
      <c r="I788" s="74"/>
      <c r="J788" s="74"/>
      <c r="K788" s="74"/>
      <c r="L788" s="74"/>
      <c r="M788" s="74"/>
    </row>
    <row r="789" spans="6:13" ht="15.75" customHeight="1">
      <c r="F789" s="74"/>
      <c r="G789" s="74"/>
      <c r="I789" s="74"/>
      <c r="J789" s="74"/>
      <c r="K789" s="74"/>
      <c r="L789" s="74"/>
      <c r="M789" s="74"/>
    </row>
    <row r="790" spans="6:13" ht="15.75" customHeight="1">
      <c r="F790" s="74"/>
      <c r="G790" s="74"/>
      <c r="I790" s="74"/>
      <c r="J790" s="74"/>
      <c r="K790" s="74"/>
      <c r="L790" s="74"/>
      <c r="M790" s="74"/>
    </row>
    <row r="791" spans="6:13" ht="15.75" customHeight="1">
      <c r="F791" s="74"/>
      <c r="G791" s="74"/>
      <c r="I791" s="74"/>
      <c r="J791" s="74"/>
      <c r="K791" s="74"/>
      <c r="L791" s="74"/>
      <c r="M791" s="74"/>
    </row>
    <row r="792" spans="6:13" ht="15.75" customHeight="1">
      <c r="F792" s="74"/>
      <c r="G792" s="74"/>
      <c r="I792" s="74"/>
      <c r="J792" s="74"/>
      <c r="K792" s="74"/>
      <c r="L792" s="74"/>
      <c r="M792" s="74"/>
    </row>
    <row r="793" spans="6:13" ht="15.75" customHeight="1">
      <c r="F793" s="74"/>
      <c r="G793" s="74"/>
      <c r="I793" s="74"/>
      <c r="J793" s="74"/>
      <c r="K793" s="74"/>
      <c r="L793" s="74"/>
      <c r="M793" s="74"/>
    </row>
    <row r="794" spans="6:13" ht="15.75" customHeight="1">
      <c r="F794" s="74"/>
      <c r="G794" s="74"/>
      <c r="I794" s="74"/>
      <c r="J794" s="74"/>
      <c r="K794" s="74"/>
      <c r="L794" s="74"/>
      <c r="M794" s="74"/>
    </row>
    <row r="795" spans="6:13" ht="15.75" customHeight="1">
      <c r="F795" s="74"/>
      <c r="G795" s="74"/>
      <c r="I795" s="74"/>
      <c r="J795" s="74"/>
      <c r="K795" s="74"/>
      <c r="L795" s="74"/>
      <c r="M795" s="74"/>
    </row>
    <row r="796" spans="6:13" ht="15.75" customHeight="1">
      <c r="F796" s="74"/>
      <c r="G796" s="74"/>
      <c r="I796" s="74"/>
      <c r="J796" s="74"/>
      <c r="K796" s="74"/>
      <c r="L796" s="74"/>
      <c r="M796" s="74"/>
    </row>
    <row r="797" spans="6:13" ht="15.75" customHeight="1">
      <c r="F797" s="74"/>
      <c r="G797" s="74"/>
      <c r="I797" s="74"/>
      <c r="J797" s="74"/>
      <c r="K797" s="74"/>
      <c r="L797" s="74"/>
      <c r="M797" s="74"/>
    </row>
    <row r="798" spans="6:13" ht="15.75" customHeight="1">
      <c r="F798" s="74"/>
      <c r="G798" s="74"/>
      <c r="I798" s="74"/>
      <c r="J798" s="74"/>
      <c r="K798" s="74"/>
      <c r="L798" s="74"/>
      <c r="M798" s="74"/>
    </row>
    <row r="799" spans="6:13" ht="15.75" customHeight="1">
      <c r="F799" s="74"/>
      <c r="G799" s="74"/>
      <c r="I799" s="74"/>
      <c r="J799" s="74"/>
      <c r="K799" s="74"/>
      <c r="L799" s="74"/>
      <c r="M799" s="74"/>
    </row>
    <row r="800" spans="6:13" ht="15.75" customHeight="1">
      <c r="F800" s="74"/>
      <c r="G800" s="74"/>
      <c r="I800" s="74"/>
      <c r="J800" s="74"/>
      <c r="K800" s="74"/>
      <c r="L800" s="74"/>
      <c r="M800" s="74"/>
    </row>
    <row r="801" spans="6:13" ht="15.75" customHeight="1">
      <c r="F801" s="74"/>
      <c r="G801" s="74"/>
      <c r="I801" s="74"/>
      <c r="J801" s="74"/>
      <c r="K801" s="74"/>
      <c r="L801" s="74"/>
      <c r="M801" s="74"/>
    </row>
    <row r="802" spans="6:13" ht="15.75" customHeight="1">
      <c r="F802" s="74"/>
      <c r="G802" s="74"/>
      <c r="I802" s="74"/>
      <c r="J802" s="74"/>
      <c r="K802" s="74"/>
      <c r="L802" s="74"/>
      <c r="M802" s="74"/>
    </row>
    <row r="803" spans="6:13" ht="15.75" customHeight="1">
      <c r="F803" s="74"/>
      <c r="G803" s="74"/>
      <c r="I803" s="74"/>
      <c r="J803" s="74"/>
      <c r="K803" s="74"/>
      <c r="L803" s="74"/>
      <c r="M803" s="74"/>
    </row>
    <row r="804" spans="6:13" ht="15.75" customHeight="1">
      <c r="F804" s="74"/>
      <c r="G804" s="74"/>
      <c r="I804" s="74"/>
      <c r="J804" s="74"/>
      <c r="K804" s="74"/>
      <c r="L804" s="74"/>
      <c r="M804" s="74"/>
    </row>
    <row r="805" spans="6:13" ht="15.75" customHeight="1">
      <c r="F805" s="74"/>
      <c r="G805" s="74"/>
      <c r="I805" s="74"/>
      <c r="J805" s="74"/>
      <c r="K805" s="74"/>
      <c r="L805" s="74"/>
      <c r="M805" s="74"/>
    </row>
    <row r="806" spans="6:13" ht="15.75" customHeight="1">
      <c r="F806" s="74"/>
      <c r="G806" s="74"/>
      <c r="I806" s="74"/>
      <c r="J806" s="74"/>
      <c r="K806" s="74"/>
      <c r="L806" s="74"/>
      <c r="M806" s="74"/>
    </row>
    <row r="807" spans="6:13" ht="15.75" customHeight="1">
      <c r="F807" s="74"/>
      <c r="G807" s="74"/>
      <c r="I807" s="74"/>
      <c r="J807" s="74"/>
      <c r="K807" s="74"/>
      <c r="L807" s="74"/>
      <c r="M807" s="74"/>
    </row>
    <row r="808" spans="6:13" ht="15.75" customHeight="1">
      <c r="F808" s="74"/>
      <c r="G808" s="74"/>
      <c r="I808" s="74"/>
      <c r="J808" s="74"/>
      <c r="K808" s="74"/>
      <c r="L808" s="74"/>
      <c r="M808" s="74"/>
    </row>
    <row r="809" spans="6:13" ht="15.75" customHeight="1">
      <c r="F809" s="74"/>
      <c r="G809" s="74"/>
      <c r="I809" s="74"/>
      <c r="J809" s="74"/>
      <c r="K809" s="74"/>
      <c r="L809" s="74"/>
      <c r="M809" s="74"/>
    </row>
    <row r="810" spans="6:13" ht="15.75" customHeight="1">
      <c r="F810" s="74"/>
      <c r="G810" s="74"/>
      <c r="I810" s="74"/>
      <c r="J810" s="74"/>
      <c r="K810" s="74"/>
      <c r="L810" s="74"/>
      <c r="M810" s="74"/>
    </row>
    <row r="811" spans="6:13" ht="15.75" customHeight="1">
      <c r="F811" s="74"/>
      <c r="G811" s="74"/>
      <c r="I811" s="74"/>
      <c r="J811" s="74"/>
      <c r="K811" s="74"/>
      <c r="L811" s="74"/>
      <c r="M811" s="74"/>
    </row>
    <row r="812" spans="6:13" ht="15.75" customHeight="1">
      <c r="F812" s="74"/>
      <c r="G812" s="74"/>
      <c r="I812" s="74"/>
      <c r="J812" s="74"/>
      <c r="K812" s="74"/>
      <c r="L812" s="74"/>
      <c r="M812" s="74"/>
    </row>
    <row r="813" spans="6:13" ht="15.75" customHeight="1">
      <c r="F813" s="74"/>
      <c r="G813" s="74"/>
      <c r="I813" s="74"/>
      <c r="J813" s="74"/>
      <c r="K813" s="74"/>
      <c r="L813" s="74"/>
      <c r="M813" s="74"/>
    </row>
    <row r="814" spans="6:13" ht="15.75" customHeight="1">
      <c r="F814" s="74"/>
      <c r="G814" s="74"/>
      <c r="I814" s="74"/>
      <c r="J814" s="74"/>
      <c r="K814" s="74"/>
      <c r="L814" s="74"/>
      <c r="M814" s="74"/>
    </row>
    <row r="815" spans="6:13" ht="15.75" customHeight="1">
      <c r="F815" s="74"/>
      <c r="G815" s="74"/>
      <c r="I815" s="74"/>
      <c r="J815" s="74"/>
      <c r="K815" s="74"/>
      <c r="L815" s="74"/>
      <c r="M815" s="74"/>
    </row>
    <row r="816" spans="6:13" ht="15.75" customHeight="1">
      <c r="F816" s="74"/>
      <c r="G816" s="74"/>
      <c r="I816" s="74"/>
      <c r="J816" s="74"/>
      <c r="K816" s="74"/>
      <c r="L816" s="74"/>
      <c r="M816" s="74"/>
    </row>
    <row r="817" spans="6:13" ht="15.75" customHeight="1">
      <c r="F817" s="74"/>
      <c r="G817" s="74"/>
      <c r="I817" s="74"/>
      <c r="J817" s="74"/>
      <c r="K817" s="74"/>
      <c r="L817" s="74"/>
      <c r="M817" s="74"/>
    </row>
    <row r="818" spans="6:13" ht="15.75" customHeight="1">
      <c r="F818" s="74"/>
      <c r="G818" s="74"/>
      <c r="I818" s="74"/>
      <c r="J818" s="74"/>
      <c r="K818" s="74"/>
      <c r="L818" s="74"/>
      <c r="M818" s="74"/>
    </row>
    <row r="819" spans="6:13" ht="15.75" customHeight="1">
      <c r="F819" s="74"/>
      <c r="G819" s="74"/>
      <c r="I819" s="74"/>
      <c r="J819" s="74"/>
      <c r="K819" s="74"/>
      <c r="L819" s="74"/>
      <c r="M819" s="74"/>
    </row>
    <row r="820" spans="6:13" ht="15.75" customHeight="1">
      <c r="F820" s="74"/>
      <c r="G820" s="74"/>
      <c r="I820" s="74"/>
      <c r="J820" s="74"/>
      <c r="K820" s="74"/>
      <c r="L820" s="74"/>
      <c r="M820" s="74"/>
    </row>
    <row r="821" spans="6:13" ht="15.75" customHeight="1">
      <c r="F821" s="74"/>
      <c r="G821" s="74"/>
      <c r="I821" s="74"/>
      <c r="J821" s="74"/>
      <c r="K821" s="74"/>
      <c r="L821" s="74"/>
      <c r="M821" s="74"/>
    </row>
    <row r="822" spans="6:13" ht="15.75" customHeight="1">
      <c r="F822" s="74"/>
      <c r="G822" s="74"/>
      <c r="I822" s="74"/>
      <c r="J822" s="74"/>
      <c r="K822" s="74"/>
      <c r="L822" s="74"/>
      <c r="M822" s="74"/>
    </row>
    <row r="823" spans="6:13" ht="15.75" customHeight="1">
      <c r="F823" s="74"/>
      <c r="G823" s="74"/>
      <c r="I823" s="74"/>
      <c r="J823" s="74"/>
      <c r="K823" s="74"/>
      <c r="L823" s="74"/>
      <c r="M823" s="74"/>
    </row>
    <row r="824" spans="6:13" ht="15.75" customHeight="1">
      <c r="F824" s="74"/>
      <c r="G824" s="74"/>
      <c r="I824" s="74"/>
      <c r="J824" s="74"/>
      <c r="K824" s="74"/>
      <c r="L824" s="74"/>
      <c r="M824" s="74"/>
    </row>
    <row r="825" spans="6:13" ht="15.75" customHeight="1">
      <c r="F825" s="74"/>
      <c r="G825" s="74"/>
      <c r="I825" s="74"/>
      <c r="J825" s="74"/>
      <c r="K825" s="74"/>
      <c r="L825" s="74"/>
      <c r="M825" s="74"/>
    </row>
    <row r="826" spans="6:13" ht="15.75" customHeight="1">
      <c r="F826" s="74"/>
      <c r="G826" s="74"/>
      <c r="I826" s="74"/>
      <c r="J826" s="74"/>
      <c r="K826" s="74"/>
      <c r="L826" s="74"/>
      <c r="M826" s="74"/>
    </row>
    <row r="827" spans="6:13" ht="15.75" customHeight="1">
      <c r="F827" s="74"/>
      <c r="G827" s="74"/>
      <c r="I827" s="74"/>
      <c r="J827" s="74"/>
      <c r="K827" s="74"/>
      <c r="L827" s="74"/>
      <c r="M827" s="74"/>
    </row>
    <row r="828" spans="6:13" ht="15.75" customHeight="1">
      <c r="F828" s="74"/>
      <c r="G828" s="74"/>
      <c r="I828" s="74"/>
      <c r="J828" s="74"/>
      <c r="K828" s="74"/>
      <c r="L828" s="74"/>
      <c r="M828" s="74"/>
    </row>
    <row r="829" spans="6:13" ht="15.75" customHeight="1">
      <c r="F829" s="74"/>
      <c r="G829" s="74"/>
      <c r="I829" s="74"/>
      <c r="J829" s="74"/>
      <c r="K829" s="74"/>
      <c r="L829" s="74"/>
      <c r="M829" s="74"/>
    </row>
    <row r="830" spans="6:13" ht="15.75" customHeight="1">
      <c r="F830" s="74"/>
      <c r="G830" s="74"/>
      <c r="I830" s="74"/>
      <c r="J830" s="74"/>
      <c r="K830" s="74"/>
      <c r="L830" s="74"/>
      <c r="M830" s="74"/>
    </row>
    <row r="831" spans="6:13" ht="15.75" customHeight="1">
      <c r="F831" s="74"/>
      <c r="G831" s="74"/>
      <c r="I831" s="74"/>
      <c r="J831" s="74"/>
      <c r="K831" s="74"/>
      <c r="L831" s="74"/>
      <c r="M831" s="74"/>
    </row>
    <row r="832" spans="6:13" ht="15.75" customHeight="1">
      <c r="F832" s="74"/>
      <c r="G832" s="74"/>
      <c r="I832" s="74"/>
      <c r="J832" s="74"/>
      <c r="K832" s="74"/>
      <c r="L832" s="74"/>
      <c r="M832" s="74"/>
    </row>
    <row r="833" spans="6:13" ht="15.75" customHeight="1">
      <c r="F833" s="74"/>
      <c r="G833" s="74"/>
      <c r="I833" s="74"/>
      <c r="J833" s="74"/>
      <c r="K833" s="74"/>
      <c r="L833" s="74"/>
      <c r="M833" s="74"/>
    </row>
    <row r="834" spans="6:13" ht="15.75" customHeight="1">
      <c r="F834" s="74"/>
      <c r="G834" s="74"/>
      <c r="I834" s="74"/>
      <c r="J834" s="74"/>
      <c r="K834" s="74"/>
      <c r="L834" s="74"/>
      <c r="M834" s="74"/>
    </row>
    <row r="835" spans="6:13" ht="15.75" customHeight="1">
      <c r="F835" s="74"/>
      <c r="G835" s="74"/>
      <c r="I835" s="74"/>
      <c r="J835" s="74"/>
      <c r="K835" s="74"/>
      <c r="L835" s="74"/>
      <c r="M835" s="74"/>
    </row>
    <row r="836" spans="6:13" ht="15.75" customHeight="1">
      <c r="F836" s="74"/>
      <c r="G836" s="74"/>
      <c r="I836" s="74"/>
      <c r="J836" s="74"/>
      <c r="K836" s="74"/>
      <c r="L836" s="74"/>
      <c r="M836" s="74"/>
    </row>
    <row r="837" spans="6:13" ht="15.75" customHeight="1">
      <c r="F837" s="74"/>
      <c r="G837" s="74"/>
      <c r="I837" s="74"/>
      <c r="J837" s="74"/>
      <c r="K837" s="74"/>
      <c r="L837" s="74"/>
      <c r="M837" s="74"/>
    </row>
    <row r="838" spans="6:13" ht="15.75" customHeight="1">
      <c r="F838" s="74"/>
      <c r="G838" s="74"/>
      <c r="I838" s="74"/>
      <c r="J838" s="74"/>
      <c r="K838" s="74"/>
      <c r="L838" s="74"/>
      <c r="M838" s="74"/>
    </row>
    <row r="839" spans="6:13" ht="15.75" customHeight="1">
      <c r="F839" s="74"/>
      <c r="G839" s="74"/>
      <c r="I839" s="74"/>
      <c r="J839" s="74"/>
      <c r="K839" s="74"/>
      <c r="L839" s="74"/>
      <c r="M839" s="74"/>
    </row>
    <row r="840" spans="6:13" ht="15.75" customHeight="1">
      <c r="F840" s="74"/>
      <c r="G840" s="74"/>
      <c r="I840" s="74"/>
      <c r="J840" s="74"/>
      <c r="K840" s="74"/>
      <c r="L840" s="74"/>
      <c r="M840" s="74"/>
    </row>
    <row r="841" spans="6:13" ht="15.75" customHeight="1">
      <c r="F841" s="74"/>
      <c r="G841" s="74"/>
      <c r="I841" s="74"/>
      <c r="J841" s="74"/>
      <c r="K841" s="74"/>
      <c r="L841" s="74"/>
      <c r="M841" s="74"/>
    </row>
    <row r="842" spans="6:13" ht="15.75" customHeight="1">
      <c r="F842" s="74"/>
      <c r="G842" s="74"/>
      <c r="I842" s="74"/>
      <c r="J842" s="74"/>
      <c r="K842" s="74"/>
      <c r="L842" s="74"/>
      <c r="M842" s="74"/>
    </row>
    <row r="843" spans="6:13" ht="15.75" customHeight="1">
      <c r="F843" s="74"/>
      <c r="G843" s="74"/>
      <c r="I843" s="74"/>
      <c r="J843" s="74"/>
      <c r="K843" s="74"/>
      <c r="L843" s="74"/>
      <c r="M843" s="74"/>
    </row>
    <row r="844" spans="6:13" ht="15.75" customHeight="1">
      <c r="F844" s="74"/>
      <c r="G844" s="74"/>
      <c r="I844" s="74"/>
      <c r="J844" s="74"/>
      <c r="K844" s="74"/>
      <c r="L844" s="74"/>
      <c r="M844" s="74"/>
    </row>
    <row r="845" spans="6:13" ht="15.75" customHeight="1">
      <c r="F845" s="74"/>
      <c r="G845" s="74"/>
      <c r="I845" s="74"/>
      <c r="J845" s="74"/>
      <c r="K845" s="74"/>
      <c r="L845" s="74"/>
      <c r="M845" s="74"/>
    </row>
    <row r="846" spans="6:13" ht="15.75" customHeight="1">
      <c r="F846" s="74"/>
      <c r="G846" s="74"/>
      <c r="I846" s="74"/>
      <c r="J846" s="74"/>
      <c r="K846" s="74"/>
      <c r="L846" s="74"/>
      <c r="M846" s="74"/>
    </row>
    <row r="847" spans="6:13" ht="15.75" customHeight="1">
      <c r="F847" s="74"/>
      <c r="G847" s="74"/>
      <c r="I847" s="74"/>
      <c r="J847" s="74"/>
      <c r="K847" s="74"/>
      <c r="L847" s="74"/>
      <c r="M847" s="74"/>
    </row>
    <row r="848" spans="6:13" ht="15.75" customHeight="1">
      <c r="F848" s="74"/>
      <c r="G848" s="74"/>
      <c r="I848" s="74"/>
      <c r="J848" s="74"/>
      <c r="K848" s="74"/>
      <c r="L848" s="74"/>
      <c r="M848" s="74"/>
    </row>
    <row r="849" spans="6:13" ht="15.75" customHeight="1">
      <c r="F849" s="74"/>
      <c r="G849" s="74"/>
      <c r="I849" s="74"/>
      <c r="J849" s="74"/>
      <c r="K849" s="74"/>
      <c r="L849" s="74"/>
      <c r="M849" s="74"/>
    </row>
    <row r="850" spans="6:13" ht="15.75" customHeight="1">
      <c r="F850" s="74"/>
      <c r="G850" s="74"/>
      <c r="I850" s="74"/>
      <c r="J850" s="74"/>
      <c r="K850" s="74"/>
      <c r="L850" s="74"/>
      <c r="M850" s="74"/>
    </row>
    <row r="851" spans="6:13" ht="15.75" customHeight="1">
      <c r="F851" s="74"/>
      <c r="G851" s="74"/>
      <c r="I851" s="74"/>
      <c r="J851" s="74"/>
      <c r="K851" s="74"/>
      <c r="L851" s="74"/>
      <c r="M851" s="74"/>
    </row>
    <row r="852" spans="6:13" ht="15.75" customHeight="1">
      <c r="F852" s="74"/>
      <c r="G852" s="74"/>
      <c r="I852" s="74"/>
      <c r="J852" s="74"/>
      <c r="K852" s="74"/>
      <c r="L852" s="74"/>
      <c r="M852" s="74"/>
    </row>
    <row r="853" spans="6:13" ht="15.75" customHeight="1">
      <c r="F853" s="74"/>
      <c r="G853" s="74"/>
      <c r="I853" s="74"/>
      <c r="J853" s="74"/>
      <c r="K853" s="74"/>
      <c r="L853" s="74"/>
      <c r="M853" s="74"/>
    </row>
    <row r="854" spans="6:13" ht="15.75" customHeight="1">
      <c r="F854" s="74"/>
      <c r="G854" s="74"/>
      <c r="I854" s="74"/>
      <c r="J854" s="74"/>
      <c r="K854" s="74"/>
      <c r="L854" s="74"/>
      <c r="M854" s="74"/>
    </row>
    <row r="855" spans="6:13" ht="15.75" customHeight="1">
      <c r="F855" s="74"/>
      <c r="G855" s="74"/>
      <c r="I855" s="74"/>
      <c r="J855" s="74"/>
      <c r="K855" s="74"/>
      <c r="L855" s="74"/>
      <c r="M855" s="74"/>
    </row>
    <row r="856" spans="6:13" ht="15.75" customHeight="1">
      <c r="F856" s="74"/>
      <c r="G856" s="74"/>
      <c r="I856" s="74"/>
      <c r="J856" s="74"/>
      <c r="K856" s="74"/>
      <c r="L856" s="74"/>
      <c r="M856" s="74"/>
    </row>
    <row r="857" spans="6:13" ht="15.75" customHeight="1">
      <c r="F857" s="74"/>
      <c r="G857" s="74"/>
      <c r="I857" s="74"/>
      <c r="J857" s="74"/>
      <c r="K857" s="74"/>
      <c r="L857" s="74"/>
      <c r="M857" s="74"/>
    </row>
    <row r="858" spans="6:13" ht="15.75" customHeight="1">
      <c r="F858" s="74"/>
      <c r="G858" s="74"/>
      <c r="I858" s="74"/>
      <c r="J858" s="74"/>
      <c r="K858" s="74"/>
      <c r="L858" s="74"/>
      <c r="M858" s="74"/>
    </row>
    <row r="859" spans="6:13" ht="15.75" customHeight="1">
      <c r="F859" s="74"/>
      <c r="G859" s="74"/>
      <c r="I859" s="74"/>
      <c r="J859" s="74"/>
      <c r="K859" s="74"/>
      <c r="L859" s="74"/>
      <c r="M859" s="74"/>
    </row>
    <row r="860" spans="6:13" ht="15.75" customHeight="1">
      <c r="F860" s="74"/>
      <c r="G860" s="74"/>
      <c r="I860" s="74"/>
      <c r="J860" s="74"/>
      <c r="K860" s="74"/>
      <c r="L860" s="74"/>
      <c r="M860" s="74"/>
    </row>
    <row r="861" spans="6:13" ht="15.75" customHeight="1">
      <c r="F861" s="74"/>
      <c r="G861" s="74"/>
      <c r="I861" s="74"/>
      <c r="J861" s="74"/>
      <c r="K861" s="74"/>
      <c r="L861" s="74"/>
      <c r="M861" s="74"/>
    </row>
    <row r="862" spans="6:13" ht="15.75" customHeight="1">
      <c r="F862" s="74"/>
      <c r="G862" s="74"/>
      <c r="I862" s="74"/>
      <c r="J862" s="74"/>
      <c r="K862" s="74"/>
      <c r="L862" s="74"/>
      <c r="M862" s="74"/>
    </row>
    <row r="863" spans="6:13" ht="15.75" customHeight="1">
      <c r="F863" s="74"/>
      <c r="G863" s="74"/>
      <c r="I863" s="74"/>
      <c r="J863" s="74"/>
      <c r="K863" s="74"/>
      <c r="L863" s="74"/>
      <c r="M863" s="74"/>
    </row>
    <row r="864" spans="6:13" ht="15.75" customHeight="1">
      <c r="F864" s="74"/>
      <c r="G864" s="74"/>
      <c r="I864" s="74"/>
      <c r="J864" s="74"/>
      <c r="K864" s="74"/>
      <c r="L864" s="74"/>
      <c r="M864" s="74"/>
    </row>
    <row r="865" spans="6:13" ht="15.75" customHeight="1">
      <c r="F865" s="74"/>
      <c r="G865" s="74"/>
      <c r="I865" s="74"/>
      <c r="J865" s="74"/>
      <c r="K865" s="74"/>
      <c r="L865" s="74"/>
      <c r="M865" s="74"/>
    </row>
    <row r="866" spans="6:13" ht="15.75" customHeight="1">
      <c r="F866" s="74"/>
      <c r="G866" s="74"/>
      <c r="I866" s="74"/>
      <c r="J866" s="74"/>
      <c r="K866" s="74"/>
      <c r="L866" s="74"/>
      <c r="M866" s="74"/>
    </row>
    <row r="867" spans="6:13" ht="15.75" customHeight="1">
      <c r="F867" s="74"/>
      <c r="G867" s="74"/>
      <c r="I867" s="74"/>
      <c r="J867" s="74"/>
      <c r="K867" s="74"/>
      <c r="L867" s="74"/>
      <c r="M867" s="74"/>
    </row>
    <row r="868" spans="6:13" ht="15.75" customHeight="1">
      <c r="F868" s="74"/>
      <c r="G868" s="74"/>
      <c r="I868" s="74"/>
      <c r="J868" s="74"/>
      <c r="K868" s="74"/>
      <c r="L868" s="74"/>
      <c r="M868" s="74"/>
    </row>
    <row r="869" spans="6:13" ht="15.75" customHeight="1">
      <c r="F869" s="74"/>
      <c r="G869" s="74"/>
      <c r="I869" s="74"/>
      <c r="J869" s="74"/>
      <c r="K869" s="74"/>
      <c r="L869" s="74"/>
      <c r="M869" s="74"/>
    </row>
    <row r="870" spans="6:13" ht="15.75" customHeight="1">
      <c r="F870" s="74"/>
      <c r="G870" s="74"/>
      <c r="I870" s="74"/>
      <c r="J870" s="74"/>
      <c r="K870" s="74"/>
      <c r="L870" s="74"/>
      <c r="M870" s="74"/>
    </row>
    <row r="871" spans="6:13" ht="15.75" customHeight="1">
      <c r="F871" s="74"/>
      <c r="G871" s="74"/>
      <c r="I871" s="74"/>
      <c r="J871" s="74"/>
      <c r="K871" s="74"/>
      <c r="L871" s="74"/>
      <c r="M871" s="74"/>
    </row>
    <row r="872" spans="6:13" ht="15.75" customHeight="1">
      <c r="F872" s="74"/>
      <c r="G872" s="74"/>
      <c r="I872" s="74"/>
      <c r="J872" s="74"/>
      <c r="K872" s="74"/>
      <c r="L872" s="74"/>
      <c r="M872" s="74"/>
    </row>
    <row r="873" spans="6:13" ht="15.75" customHeight="1">
      <c r="F873" s="74"/>
      <c r="G873" s="74"/>
      <c r="I873" s="74"/>
      <c r="J873" s="74"/>
      <c r="K873" s="74"/>
      <c r="L873" s="74"/>
      <c r="M873" s="74"/>
    </row>
    <row r="874" spans="6:13" ht="15.75" customHeight="1">
      <c r="F874" s="74"/>
      <c r="G874" s="74"/>
      <c r="I874" s="74"/>
      <c r="J874" s="74"/>
      <c r="K874" s="74"/>
      <c r="L874" s="74"/>
      <c r="M874" s="74"/>
    </row>
    <row r="875" spans="6:13" ht="15.75" customHeight="1">
      <c r="F875" s="74"/>
      <c r="G875" s="74"/>
      <c r="I875" s="74"/>
      <c r="J875" s="74"/>
      <c r="K875" s="74"/>
      <c r="L875" s="74"/>
      <c r="M875" s="74"/>
    </row>
    <row r="876" spans="6:13" ht="15.75" customHeight="1">
      <c r="F876" s="74"/>
      <c r="G876" s="74"/>
      <c r="I876" s="74"/>
      <c r="J876" s="74"/>
      <c r="K876" s="74"/>
      <c r="L876" s="74"/>
      <c r="M876" s="74"/>
    </row>
    <row r="877" spans="6:13" ht="15.75" customHeight="1">
      <c r="F877" s="74"/>
      <c r="G877" s="74"/>
      <c r="I877" s="74"/>
      <c r="J877" s="74"/>
      <c r="K877" s="74"/>
      <c r="L877" s="74"/>
      <c r="M877" s="74"/>
    </row>
    <row r="878" spans="6:13" ht="15.75" customHeight="1">
      <c r="F878" s="74"/>
      <c r="G878" s="74"/>
      <c r="I878" s="74"/>
      <c r="J878" s="74"/>
      <c r="K878" s="74"/>
      <c r="L878" s="74"/>
      <c r="M878" s="74"/>
    </row>
    <row r="879" spans="6:13" ht="15.75" customHeight="1">
      <c r="F879" s="74"/>
      <c r="G879" s="74"/>
      <c r="I879" s="74"/>
      <c r="J879" s="74"/>
      <c r="K879" s="74"/>
      <c r="L879" s="74"/>
      <c r="M879" s="74"/>
    </row>
    <row r="880" spans="6:13" ht="15.75" customHeight="1">
      <c r="F880" s="74"/>
      <c r="G880" s="74"/>
      <c r="I880" s="74"/>
      <c r="J880" s="74"/>
      <c r="K880" s="74"/>
      <c r="L880" s="74"/>
      <c r="M880" s="74"/>
    </row>
    <row r="881" spans="6:13" ht="15.75" customHeight="1">
      <c r="F881" s="74"/>
      <c r="G881" s="74"/>
      <c r="I881" s="74"/>
      <c r="J881" s="74"/>
      <c r="K881" s="74"/>
      <c r="L881" s="74"/>
      <c r="M881" s="74"/>
    </row>
    <row r="882" spans="6:13" ht="15.75" customHeight="1">
      <c r="F882" s="74"/>
      <c r="G882" s="74"/>
      <c r="I882" s="74"/>
      <c r="J882" s="74"/>
      <c r="K882" s="74"/>
      <c r="L882" s="74"/>
      <c r="M882" s="74"/>
    </row>
    <row r="883" spans="6:13" ht="15.75" customHeight="1">
      <c r="F883" s="74"/>
      <c r="G883" s="74"/>
      <c r="I883" s="74"/>
      <c r="J883" s="74"/>
      <c r="K883" s="74"/>
      <c r="L883" s="74"/>
      <c r="M883" s="74"/>
    </row>
    <row r="884" spans="6:13" ht="15.75" customHeight="1">
      <c r="F884" s="74"/>
      <c r="G884" s="74"/>
      <c r="I884" s="74"/>
      <c r="J884" s="74"/>
      <c r="K884" s="74"/>
      <c r="L884" s="74"/>
      <c r="M884" s="74"/>
    </row>
    <row r="885" spans="6:13" ht="15.75" customHeight="1">
      <c r="F885" s="74"/>
      <c r="G885" s="74"/>
      <c r="I885" s="74"/>
      <c r="J885" s="74"/>
      <c r="K885" s="74"/>
      <c r="L885" s="74"/>
      <c r="M885" s="74"/>
    </row>
    <row r="886" spans="6:13" ht="15.75" customHeight="1">
      <c r="F886" s="74"/>
      <c r="G886" s="74"/>
      <c r="I886" s="74"/>
      <c r="J886" s="74"/>
      <c r="K886" s="74"/>
      <c r="L886" s="74"/>
      <c r="M886" s="74"/>
    </row>
    <row r="887" spans="6:13" ht="15.75" customHeight="1">
      <c r="F887" s="74"/>
      <c r="G887" s="74"/>
      <c r="I887" s="74"/>
      <c r="J887" s="74"/>
      <c r="K887" s="74"/>
      <c r="L887" s="74"/>
      <c r="M887" s="74"/>
    </row>
    <row r="888" spans="6:13" ht="15.75" customHeight="1">
      <c r="F888" s="74"/>
      <c r="G888" s="74"/>
      <c r="I888" s="74"/>
      <c r="J888" s="74"/>
      <c r="K888" s="74"/>
      <c r="L888" s="74"/>
      <c r="M888" s="74"/>
    </row>
    <row r="889" spans="6:13" ht="15.75" customHeight="1">
      <c r="F889" s="74"/>
      <c r="G889" s="74"/>
      <c r="I889" s="74"/>
      <c r="J889" s="74"/>
      <c r="K889" s="74"/>
      <c r="L889" s="74"/>
      <c r="M889" s="74"/>
    </row>
    <row r="890" spans="6:13" ht="15.75" customHeight="1">
      <c r="F890" s="74"/>
      <c r="G890" s="74"/>
      <c r="I890" s="74"/>
      <c r="J890" s="74"/>
      <c r="K890" s="74"/>
      <c r="L890" s="74"/>
      <c r="M890" s="74"/>
    </row>
    <row r="891" spans="6:13" ht="15.75" customHeight="1">
      <c r="F891" s="74"/>
      <c r="G891" s="74"/>
      <c r="I891" s="74"/>
      <c r="J891" s="74"/>
      <c r="K891" s="74"/>
      <c r="L891" s="74"/>
      <c r="M891" s="74"/>
    </row>
    <row r="892" spans="6:13" ht="15.75" customHeight="1">
      <c r="F892" s="74"/>
      <c r="G892" s="74"/>
      <c r="I892" s="74"/>
      <c r="J892" s="74"/>
      <c r="K892" s="74"/>
      <c r="L892" s="74"/>
      <c r="M892" s="74"/>
    </row>
    <row r="893" spans="6:13" ht="15.75" customHeight="1">
      <c r="F893" s="74"/>
      <c r="G893" s="74"/>
      <c r="I893" s="74"/>
      <c r="J893" s="74"/>
      <c r="K893" s="74"/>
      <c r="L893" s="74"/>
      <c r="M893" s="74"/>
    </row>
    <row r="894" spans="6:13" ht="15.75" customHeight="1">
      <c r="F894" s="74"/>
      <c r="G894" s="74"/>
      <c r="I894" s="74"/>
      <c r="J894" s="74"/>
      <c r="K894" s="74"/>
      <c r="L894" s="74"/>
      <c r="M894" s="74"/>
    </row>
    <row r="895" spans="6:13" ht="15.75" customHeight="1">
      <c r="F895" s="74"/>
      <c r="G895" s="74"/>
      <c r="I895" s="74"/>
      <c r="J895" s="74"/>
      <c r="K895" s="74"/>
      <c r="L895" s="74"/>
      <c r="M895" s="74"/>
    </row>
    <row r="896" spans="6:13" ht="15.75" customHeight="1">
      <c r="F896" s="74"/>
      <c r="G896" s="74"/>
      <c r="I896" s="74"/>
      <c r="J896" s="74"/>
      <c r="K896" s="74"/>
      <c r="L896" s="74"/>
      <c r="M896" s="74"/>
    </row>
    <row r="897" spans="6:13" ht="15.75" customHeight="1">
      <c r="F897" s="74"/>
      <c r="G897" s="74"/>
      <c r="I897" s="74"/>
      <c r="J897" s="74"/>
      <c r="K897" s="74"/>
      <c r="L897" s="74"/>
      <c r="M897" s="74"/>
    </row>
    <row r="898" spans="6:13" ht="15.75" customHeight="1">
      <c r="F898" s="74"/>
      <c r="G898" s="74"/>
      <c r="I898" s="74"/>
      <c r="J898" s="74"/>
      <c r="K898" s="74"/>
      <c r="L898" s="74"/>
      <c r="M898" s="74"/>
    </row>
    <row r="899" spans="6:13" ht="15.75" customHeight="1">
      <c r="F899" s="74"/>
      <c r="G899" s="74"/>
      <c r="I899" s="74"/>
      <c r="J899" s="74"/>
      <c r="K899" s="74"/>
      <c r="L899" s="74"/>
      <c r="M899" s="74"/>
    </row>
    <row r="900" spans="6:13" ht="15.75" customHeight="1">
      <c r="F900" s="74"/>
      <c r="G900" s="74"/>
      <c r="I900" s="74"/>
      <c r="J900" s="74"/>
      <c r="K900" s="74"/>
      <c r="L900" s="74"/>
      <c r="M900" s="74"/>
    </row>
    <row r="901" spans="6:13" ht="15.75" customHeight="1">
      <c r="F901" s="74"/>
      <c r="G901" s="74"/>
      <c r="I901" s="74"/>
      <c r="J901" s="74"/>
      <c r="K901" s="74"/>
      <c r="L901" s="74"/>
      <c r="M901" s="74"/>
    </row>
    <row r="902" spans="6:13" ht="15.75" customHeight="1">
      <c r="F902" s="74"/>
      <c r="G902" s="74"/>
      <c r="I902" s="74"/>
      <c r="J902" s="74"/>
      <c r="K902" s="74"/>
      <c r="L902" s="74"/>
      <c r="M902" s="74"/>
    </row>
    <row r="903" spans="6:13" ht="15.75" customHeight="1">
      <c r="F903" s="74"/>
      <c r="G903" s="74"/>
      <c r="I903" s="74"/>
      <c r="J903" s="74"/>
      <c r="K903" s="74"/>
      <c r="L903" s="74"/>
      <c r="M903" s="74"/>
    </row>
    <row r="904" spans="6:13" ht="15.75" customHeight="1">
      <c r="F904" s="74"/>
      <c r="G904" s="74"/>
      <c r="I904" s="74"/>
      <c r="J904" s="74"/>
      <c r="K904" s="74"/>
      <c r="L904" s="74"/>
      <c r="M904" s="74"/>
    </row>
    <row r="905" spans="6:13" ht="15.75" customHeight="1">
      <c r="F905" s="74"/>
      <c r="G905" s="74"/>
      <c r="I905" s="74"/>
      <c r="J905" s="74"/>
      <c r="K905" s="74"/>
      <c r="L905" s="74"/>
      <c r="M905" s="74"/>
    </row>
    <row r="906" spans="6:13" ht="15.75" customHeight="1">
      <c r="F906" s="74"/>
      <c r="G906" s="74"/>
      <c r="I906" s="74"/>
      <c r="J906" s="74"/>
      <c r="K906" s="74"/>
      <c r="L906" s="74"/>
      <c r="M906" s="74"/>
    </row>
    <row r="907" spans="6:13" ht="15.75" customHeight="1">
      <c r="F907" s="74"/>
      <c r="G907" s="74"/>
      <c r="I907" s="74"/>
      <c r="J907" s="74"/>
      <c r="K907" s="74"/>
      <c r="L907" s="74"/>
      <c r="M907" s="74"/>
    </row>
    <row r="908" spans="6:13" ht="15.75" customHeight="1">
      <c r="F908" s="74"/>
      <c r="G908" s="74"/>
      <c r="I908" s="74"/>
      <c r="J908" s="74"/>
      <c r="K908" s="74"/>
      <c r="L908" s="74"/>
      <c r="M908" s="74"/>
    </row>
    <row r="909" spans="6:13" ht="15.75" customHeight="1">
      <c r="F909" s="74"/>
      <c r="G909" s="74"/>
      <c r="I909" s="74"/>
      <c r="J909" s="74"/>
      <c r="K909" s="74"/>
      <c r="L909" s="74"/>
      <c r="M909" s="74"/>
    </row>
    <row r="910" spans="6:13" ht="15.75" customHeight="1">
      <c r="F910" s="74"/>
      <c r="G910" s="74"/>
      <c r="I910" s="74"/>
      <c r="J910" s="74"/>
      <c r="K910" s="74"/>
      <c r="L910" s="74"/>
      <c r="M910" s="74"/>
    </row>
    <row r="911" spans="6:13" ht="15.75" customHeight="1">
      <c r="F911" s="74"/>
      <c r="G911" s="74"/>
      <c r="I911" s="74"/>
      <c r="J911" s="74"/>
      <c r="K911" s="74"/>
      <c r="L911" s="74"/>
      <c r="M911" s="74"/>
    </row>
    <row r="912" spans="6:13" ht="15.75" customHeight="1">
      <c r="F912" s="74"/>
      <c r="G912" s="74"/>
      <c r="I912" s="74"/>
      <c r="J912" s="74"/>
      <c r="K912" s="74"/>
      <c r="L912" s="74"/>
      <c r="M912" s="74"/>
    </row>
    <row r="913" spans="6:13" ht="15.75" customHeight="1">
      <c r="F913" s="74"/>
      <c r="G913" s="74"/>
      <c r="I913" s="74"/>
      <c r="J913" s="74"/>
      <c r="K913" s="74"/>
      <c r="L913" s="74"/>
      <c r="M913" s="74"/>
    </row>
    <row r="914" spans="6:13" ht="15.75" customHeight="1">
      <c r="F914" s="74"/>
      <c r="G914" s="74"/>
      <c r="I914" s="74"/>
      <c r="J914" s="74"/>
      <c r="K914" s="74"/>
      <c r="L914" s="74"/>
      <c r="M914" s="74"/>
    </row>
    <row r="915" spans="6:13" ht="15.75" customHeight="1">
      <c r="F915" s="74"/>
      <c r="G915" s="74"/>
      <c r="I915" s="74"/>
      <c r="J915" s="74"/>
      <c r="K915" s="74"/>
      <c r="L915" s="74"/>
      <c r="M915" s="74"/>
    </row>
    <row r="916" spans="6:13" ht="15.75" customHeight="1">
      <c r="F916" s="74"/>
      <c r="G916" s="74"/>
      <c r="I916" s="74"/>
      <c r="J916" s="74"/>
      <c r="K916" s="74"/>
      <c r="L916" s="74"/>
      <c r="M916" s="74"/>
    </row>
    <row r="917" spans="6:13" ht="15.75" customHeight="1">
      <c r="F917" s="74"/>
      <c r="G917" s="74"/>
      <c r="I917" s="74"/>
      <c r="J917" s="74"/>
      <c r="K917" s="74"/>
      <c r="L917" s="74"/>
      <c r="M917" s="74"/>
    </row>
    <row r="918" spans="6:13" ht="15.75" customHeight="1">
      <c r="F918" s="74"/>
      <c r="G918" s="74"/>
      <c r="I918" s="74"/>
      <c r="J918" s="74"/>
      <c r="K918" s="74"/>
      <c r="L918" s="74"/>
      <c r="M918" s="74"/>
    </row>
    <row r="919" spans="6:13" ht="15.75" customHeight="1">
      <c r="F919" s="74"/>
      <c r="G919" s="74"/>
      <c r="I919" s="74"/>
      <c r="J919" s="74"/>
      <c r="K919" s="74"/>
      <c r="L919" s="74"/>
      <c r="M919" s="74"/>
    </row>
    <row r="920" spans="6:13" ht="15.75" customHeight="1">
      <c r="F920" s="74"/>
      <c r="G920" s="74"/>
      <c r="I920" s="74"/>
      <c r="J920" s="74"/>
      <c r="K920" s="74"/>
      <c r="L920" s="74"/>
      <c r="M920" s="74"/>
    </row>
    <row r="921" spans="6:13" ht="15.75" customHeight="1">
      <c r="F921" s="74"/>
      <c r="G921" s="74"/>
      <c r="I921" s="74"/>
      <c r="J921" s="74"/>
      <c r="K921" s="74"/>
      <c r="L921" s="74"/>
      <c r="M921" s="74"/>
    </row>
    <row r="922" spans="6:13" ht="15.75" customHeight="1">
      <c r="F922" s="74"/>
      <c r="G922" s="74"/>
      <c r="I922" s="74"/>
      <c r="J922" s="74"/>
      <c r="K922" s="74"/>
      <c r="L922" s="74"/>
      <c r="M922" s="74"/>
    </row>
    <row r="923" spans="6:13" ht="15.75" customHeight="1">
      <c r="F923" s="74"/>
      <c r="G923" s="74"/>
      <c r="I923" s="74"/>
      <c r="J923" s="74"/>
      <c r="K923" s="74"/>
      <c r="L923" s="74"/>
      <c r="M923" s="74"/>
    </row>
    <row r="924" spans="6:13" ht="15.75" customHeight="1">
      <c r="F924" s="74"/>
      <c r="G924" s="74"/>
      <c r="I924" s="74"/>
      <c r="J924" s="74"/>
      <c r="K924" s="74"/>
      <c r="L924" s="74"/>
      <c r="M924" s="74"/>
    </row>
    <row r="925" spans="6:13" ht="15.75" customHeight="1">
      <c r="F925" s="74"/>
      <c r="G925" s="74"/>
      <c r="I925" s="74"/>
      <c r="J925" s="74"/>
      <c r="K925" s="74"/>
      <c r="L925" s="74"/>
      <c r="M925" s="74"/>
    </row>
    <row r="926" spans="6:13" ht="15.75" customHeight="1">
      <c r="F926" s="74"/>
      <c r="G926" s="74"/>
      <c r="I926" s="74"/>
      <c r="J926" s="74"/>
      <c r="K926" s="74"/>
      <c r="L926" s="74"/>
      <c r="M926" s="74"/>
    </row>
    <row r="927" spans="6:13" ht="15.75" customHeight="1">
      <c r="F927" s="74"/>
      <c r="G927" s="74"/>
      <c r="I927" s="74"/>
      <c r="J927" s="74"/>
      <c r="K927" s="74"/>
      <c r="L927" s="74"/>
      <c r="M927" s="74"/>
    </row>
    <row r="928" spans="6:13" ht="15.75" customHeight="1">
      <c r="F928" s="74"/>
      <c r="G928" s="74"/>
      <c r="I928" s="74"/>
      <c r="J928" s="74"/>
      <c r="K928" s="74"/>
      <c r="L928" s="74"/>
      <c r="M928" s="74"/>
    </row>
    <row r="929" spans="6:13" ht="15.75" customHeight="1">
      <c r="F929" s="74"/>
      <c r="G929" s="74"/>
      <c r="I929" s="74"/>
      <c r="J929" s="74"/>
      <c r="K929" s="74"/>
      <c r="L929" s="74"/>
      <c r="M929" s="74"/>
    </row>
    <row r="930" spans="6:13" ht="15.75" customHeight="1">
      <c r="F930" s="74"/>
      <c r="G930" s="74"/>
      <c r="I930" s="74"/>
      <c r="J930" s="74"/>
      <c r="K930" s="74"/>
      <c r="L930" s="74"/>
      <c r="M930" s="74"/>
    </row>
    <row r="931" spans="6:13" ht="15.75" customHeight="1">
      <c r="F931" s="74"/>
      <c r="G931" s="74"/>
      <c r="I931" s="74"/>
      <c r="J931" s="74"/>
      <c r="K931" s="74"/>
      <c r="L931" s="74"/>
      <c r="M931" s="74"/>
    </row>
    <row r="932" spans="6:13" ht="15.75" customHeight="1">
      <c r="F932" s="74"/>
      <c r="G932" s="74"/>
      <c r="I932" s="74"/>
      <c r="J932" s="74"/>
      <c r="K932" s="74"/>
      <c r="L932" s="74"/>
      <c r="M932" s="74"/>
    </row>
    <row r="933" spans="6:13" ht="15.75" customHeight="1">
      <c r="F933" s="74"/>
      <c r="G933" s="74"/>
      <c r="I933" s="74"/>
      <c r="J933" s="74"/>
      <c r="K933" s="74"/>
      <c r="L933" s="74"/>
      <c r="M933" s="74"/>
    </row>
    <row r="934" spans="6:13" ht="15.75" customHeight="1">
      <c r="F934" s="74"/>
      <c r="G934" s="74"/>
      <c r="I934" s="74"/>
      <c r="J934" s="74"/>
      <c r="K934" s="74"/>
      <c r="L934" s="74"/>
      <c r="M934" s="74"/>
    </row>
    <row r="935" spans="6:13" ht="15.75" customHeight="1">
      <c r="F935" s="74"/>
      <c r="G935" s="74"/>
      <c r="I935" s="74"/>
      <c r="J935" s="74"/>
      <c r="K935" s="74"/>
      <c r="L935" s="74"/>
      <c r="M935" s="74"/>
    </row>
    <row r="936" spans="6:13" ht="15.75" customHeight="1">
      <c r="F936" s="74"/>
      <c r="G936" s="74"/>
      <c r="I936" s="74"/>
      <c r="J936" s="74"/>
      <c r="K936" s="74"/>
      <c r="L936" s="74"/>
      <c r="M936" s="74"/>
    </row>
    <row r="937" spans="6:13" ht="15.75" customHeight="1">
      <c r="F937" s="74"/>
      <c r="G937" s="74"/>
      <c r="I937" s="74"/>
      <c r="J937" s="74"/>
      <c r="K937" s="74"/>
      <c r="L937" s="74"/>
      <c r="M937" s="74"/>
    </row>
    <row r="938" spans="6:13" ht="15.75" customHeight="1">
      <c r="F938" s="74"/>
      <c r="G938" s="74"/>
      <c r="I938" s="74"/>
      <c r="J938" s="74"/>
      <c r="K938" s="74"/>
      <c r="L938" s="74"/>
      <c r="M938" s="74"/>
    </row>
    <row r="939" spans="6:13" ht="15.75" customHeight="1">
      <c r="F939" s="74"/>
      <c r="G939" s="74"/>
      <c r="I939" s="74"/>
      <c r="J939" s="74"/>
      <c r="K939" s="74"/>
      <c r="L939" s="74"/>
      <c r="M939" s="74"/>
    </row>
    <row r="940" spans="6:13" ht="15.75" customHeight="1">
      <c r="F940" s="74"/>
      <c r="G940" s="74"/>
      <c r="I940" s="74"/>
      <c r="J940" s="74"/>
      <c r="K940" s="74"/>
      <c r="L940" s="74"/>
      <c r="M940" s="74"/>
    </row>
    <row r="941" spans="6:13" ht="15.75" customHeight="1">
      <c r="F941" s="74"/>
      <c r="G941" s="74"/>
      <c r="I941" s="74"/>
      <c r="J941" s="74"/>
      <c r="K941" s="74"/>
      <c r="L941" s="74"/>
      <c r="M941" s="74"/>
    </row>
    <row r="942" spans="6:13" ht="15.75" customHeight="1">
      <c r="F942" s="74"/>
      <c r="G942" s="74"/>
      <c r="I942" s="74"/>
      <c r="J942" s="74"/>
      <c r="K942" s="74"/>
      <c r="L942" s="74"/>
      <c r="M942" s="74"/>
    </row>
    <row r="943" spans="6:13" ht="15.75" customHeight="1">
      <c r="F943" s="74"/>
      <c r="G943" s="74"/>
      <c r="I943" s="74"/>
      <c r="J943" s="74"/>
      <c r="K943" s="74"/>
      <c r="L943" s="74"/>
      <c r="M943" s="74"/>
    </row>
    <row r="944" spans="6:13" ht="15.75" customHeight="1">
      <c r="F944" s="74"/>
      <c r="G944" s="74"/>
      <c r="I944" s="74"/>
      <c r="J944" s="74"/>
      <c r="K944" s="74"/>
      <c r="L944" s="74"/>
      <c r="M944" s="74"/>
    </row>
    <row r="945" spans="6:13" ht="15.75" customHeight="1">
      <c r="F945" s="74"/>
      <c r="G945" s="74"/>
      <c r="I945" s="74"/>
      <c r="J945" s="74"/>
      <c r="K945" s="74"/>
      <c r="L945" s="74"/>
      <c r="M945" s="74"/>
    </row>
    <row r="946" spans="6:13" ht="15.75" customHeight="1">
      <c r="F946" s="74"/>
      <c r="G946" s="74"/>
      <c r="I946" s="74"/>
      <c r="J946" s="74"/>
      <c r="K946" s="74"/>
      <c r="L946" s="74"/>
      <c r="M946" s="74"/>
    </row>
    <row r="947" spans="6:13" ht="15.75" customHeight="1">
      <c r="F947" s="74"/>
      <c r="G947" s="74"/>
      <c r="I947" s="74"/>
      <c r="J947" s="74"/>
      <c r="K947" s="74"/>
      <c r="L947" s="74"/>
      <c r="M947" s="74"/>
    </row>
    <row r="948" spans="6:13" ht="15.75" customHeight="1">
      <c r="F948" s="74"/>
      <c r="G948" s="74"/>
      <c r="I948" s="74"/>
      <c r="J948" s="74"/>
      <c r="K948" s="74"/>
      <c r="L948" s="74"/>
      <c r="M948" s="74"/>
    </row>
    <row r="949" spans="6:13" ht="15.75" customHeight="1">
      <c r="F949" s="74"/>
      <c r="G949" s="74"/>
      <c r="I949" s="74"/>
      <c r="J949" s="74"/>
      <c r="K949" s="74"/>
      <c r="L949" s="74"/>
      <c r="M949" s="74"/>
    </row>
    <row r="950" spans="6:13" ht="15.75" customHeight="1">
      <c r="F950" s="74"/>
      <c r="G950" s="74"/>
      <c r="I950" s="74"/>
      <c r="J950" s="74"/>
      <c r="K950" s="74"/>
      <c r="L950" s="74"/>
      <c r="M950" s="74"/>
    </row>
    <row r="951" spans="6:13" ht="15.75" customHeight="1">
      <c r="F951" s="74"/>
      <c r="G951" s="74"/>
      <c r="I951" s="74"/>
      <c r="J951" s="74"/>
      <c r="K951" s="74"/>
      <c r="L951" s="74"/>
      <c r="M951" s="74"/>
    </row>
    <row r="952" spans="6:13" ht="15.75" customHeight="1">
      <c r="F952" s="74"/>
      <c r="G952" s="74"/>
      <c r="I952" s="74"/>
      <c r="J952" s="74"/>
      <c r="K952" s="74"/>
      <c r="L952" s="74"/>
      <c r="M952" s="74"/>
    </row>
    <row r="953" spans="6:13" ht="15.75" customHeight="1">
      <c r="F953" s="74"/>
      <c r="G953" s="74"/>
      <c r="I953" s="74"/>
      <c r="J953" s="74"/>
      <c r="K953" s="74"/>
      <c r="L953" s="74"/>
      <c r="M953" s="74"/>
    </row>
    <row r="954" spans="6:13" ht="15.75" customHeight="1">
      <c r="F954" s="74"/>
      <c r="G954" s="74"/>
      <c r="I954" s="74"/>
      <c r="J954" s="74"/>
      <c r="K954" s="74"/>
      <c r="L954" s="74"/>
      <c r="M954" s="74"/>
    </row>
    <row r="955" spans="6:13" ht="15.75" customHeight="1">
      <c r="F955" s="74"/>
      <c r="G955" s="74"/>
      <c r="I955" s="74"/>
      <c r="J955" s="74"/>
      <c r="K955" s="74"/>
      <c r="L955" s="74"/>
      <c r="M955" s="74"/>
    </row>
    <row r="956" spans="6:13" ht="15.75" customHeight="1">
      <c r="F956" s="74"/>
      <c r="G956" s="74"/>
      <c r="I956" s="74"/>
      <c r="J956" s="74"/>
      <c r="K956" s="74"/>
      <c r="L956" s="74"/>
      <c r="M956" s="74"/>
    </row>
    <row r="957" spans="6:13" ht="15.75" customHeight="1">
      <c r="F957" s="74"/>
      <c r="G957" s="74"/>
      <c r="I957" s="74"/>
      <c r="J957" s="74"/>
      <c r="K957" s="74"/>
      <c r="L957" s="74"/>
      <c r="M957" s="74"/>
    </row>
    <row r="958" spans="6:13" ht="15.75" customHeight="1">
      <c r="F958" s="74"/>
      <c r="G958" s="74"/>
      <c r="I958" s="74"/>
      <c r="J958" s="74"/>
      <c r="K958" s="74"/>
      <c r="L958" s="74"/>
      <c r="M958" s="74"/>
    </row>
    <row r="959" spans="6:13" ht="15.75" customHeight="1">
      <c r="F959" s="74"/>
      <c r="G959" s="74"/>
      <c r="I959" s="74"/>
      <c r="J959" s="74"/>
      <c r="K959" s="74"/>
      <c r="L959" s="74"/>
      <c r="M959" s="74"/>
    </row>
    <row r="960" spans="6:13" ht="15.75" customHeight="1">
      <c r="F960" s="74"/>
      <c r="G960" s="74"/>
      <c r="I960" s="74"/>
      <c r="J960" s="74"/>
      <c r="K960" s="74"/>
      <c r="L960" s="74"/>
      <c r="M960" s="74"/>
    </row>
    <row r="961" spans="6:13" ht="15.75" customHeight="1">
      <c r="F961" s="74"/>
      <c r="G961" s="74"/>
      <c r="I961" s="74"/>
      <c r="J961" s="74"/>
      <c r="K961" s="74"/>
      <c r="L961" s="74"/>
      <c r="M961" s="74"/>
    </row>
    <row r="962" spans="6:13" ht="15.75" customHeight="1">
      <c r="F962" s="74"/>
      <c r="G962" s="74"/>
      <c r="I962" s="74"/>
      <c r="J962" s="74"/>
      <c r="K962" s="74"/>
      <c r="L962" s="74"/>
      <c r="M962" s="74"/>
    </row>
    <row r="963" spans="6:13" ht="15.75" customHeight="1">
      <c r="F963" s="74"/>
      <c r="G963" s="74"/>
      <c r="I963" s="74"/>
      <c r="J963" s="74"/>
      <c r="K963" s="74"/>
      <c r="L963" s="74"/>
      <c r="M963" s="74"/>
    </row>
    <row r="964" spans="6:13" ht="15.75" customHeight="1">
      <c r="F964" s="74"/>
      <c r="G964" s="74"/>
      <c r="I964" s="74"/>
      <c r="J964" s="74"/>
      <c r="K964" s="74"/>
      <c r="L964" s="74"/>
      <c r="M964" s="74"/>
    </row>
    <row r="965" spans="6:13" ht="15.75" customHeight="1">
      <c r="F965" s="74"/>
      <c r="G965" s="74"/>
      <c r="I965" s="74"/>
      <c r="J965" s="74"/>
      <c r="K965" s="74"/>
      <c r="L965" s="74"/>
      <c r="M965" s="74"/>
    </row>
    <row r="966" spans="6:13" ht="15.75" customHeight="1">
      <c r="F966" s="74"/>
      <c r="G966" s="74"/>
      <c r="I966" s="74"/>
      <c r="J966" s="74"/>
      <c r="K966" s="74"/>
      <c r="L966" s="74"/>
      <c r="M966" s="74"/>
    </row>
    <row r="967" spans="6:13" ht="15.75" customHeight="1">
      <c r="F967" s="74"/>
      <c r="G967" s="74"/>
      <c r="I967" s="74"/>
      <c r="J967" s="74"/>
      <c r="K967" s="74"/>
      <c r="L967" s="74"/>
      <c r="M967" s="74"/>
    </row>
    <row r="968" spans="6:13" ht="15.75" customHeight="1">
      <c r="F968" s="74"/>
      <c r="G968" s="74"/>
      <c r="I968" s="74"/>
      <c r="J968" s="74"/>
      <c r="K968" s="74"/>
      <c r="L968" s="74"/>
      <c r="M968" s="74"/>
    </row>
    <row r="969" spans="6:13" ht="15.75" customHeight="1">
      <c r="F969" s="74"/>
      <c r="G969" s="74"/>
      <c r="I969" s="74"/>
      <c r="J969" s="74"/>
      <c r="K969" s="74"/>
      <c r="L969" s="74"/>
      <c r="M969" s="74"/>
    </row>
    <row r="970" spans="6:13" ht="15.75" customHeight="1">
      <c r="F970" s="74"/>
      <c r="G970" s="74"/>
      <c r="I970" s="74"/>
      <c r="J970" s="74"/>
      <c r="K970" s="74"/>
      <c r="L970" s="74"/>
      <c r="M970" s="74"/>
    </row>
    <row r="971" spans="6:13" ht="15.75" customHeight="1">
      <c r="F971" s="74"/>
      <c r="G971" s="74"/>
      <c r="I971" s="74"/>
      <c r="J971" s="74"/>
      <c r="K971" s="74"/>
      <c r="L971" s="74"/>
      <c r="M971" s="74"/>
    </row>
    <row r="972" spans="6:13" ht="15.75" customHeight="1">
      <c r="F972" s="74"/>
      <c r="G972" s="74"/>
      <c r="I972" s="74"/>
      <c r="J972" s="74"/>
      <c r="K972" s="74"/>
      <c r="L972" s="74"/>
      <c r="M972" s="74"/>
    </row>
    <row r="973" spans="6:13" ht="15.75" customHeight="1">
      <c r="F973" s="74"/>
      <c r="G973" s="74"/>
      <c r="I973" s="74"/>
      <c r="J973" s="74"/>
      <c r="K973" s="74"/>
      <c r="L973" s="74"/>
      <c r="M973" s="74"/>
    </row>
    <row r="974" spans="6:13" ht="15.75" customHeight="1">
      <c r="F974" s="74"/>
      <c r="G974" s="74"/>
      <c r="I974" s="74"/>
      <c r="J974" s="74"/>
      <c r="K974" s="74"/>
      <c r="L974" s="74"/>
      <c r="M974" s="74"/>
    </row>
    <row r="975" spans="6:13" ht="15.75" customHeight="1">
      <c r="F975" s="74"/>
      <c r="G975" s="74"/>
      <c r="I975" s="74"/>
      <c r="J975" s="74"/>
      <c r="K975" s="74"/>
      <c r="L975" s="74"/>
      <c r="M975" s="74"/>
    </row>
    <row r="976" spans="6:13" ht="15.75" customHeight="1">
      <c r="F976" s="74"/>
      <c r="G976" s="74"/>
      <c r="I976" s="74"/>
      <c r="J976" s="74"/>
      <c r="K976" s="74"/>
      <c r="L976" s="74"/>
      <c r="M976" s="74"/>
    </row>
    <row r="977" spans="6:13" ht="15.75" customHeight="1">
      <c r="F977" s="74"/>
      <c r="G977" s="74"/>
      <c r="I977" s="74"/>
      <c r="J977" s="74"/>
      <c r="K977" s="74"/>
      <c r="L977" s="74"/>
      <c r="M977" s="74"/>
    </row>
    <row r="978" spans="6:13" ht="15.75" customHeight="1">
      <c r="F978" s="74"/>
      <c r="G978" s="74"/>
      <c r="I978" s="74"/>
      <c r="J978" s="74"/>
      <c r="K978" s="74"/>
      <c r="L978" s="74"/>
      <c r="M978" s="74"/>
    </row>
    <row r="979" spans="6:13" ht="15.75" customHeight="1">
      <c r="F979" s="74"/>
      <c r="G979" s="74"/>
      <c r="I979" s="74"/>
      <c r="J979" s="74"/>
      <c r="K979" s="74"/>
      <c r="L979" s="74"/>
      <c r="M979" s="74"/>
    </row>
    <row r="980" spans="6:13" ht="15.75" customHeight="1">
      <c r="F980" s="74"/>
      <c r="G980" s="74"/>
      <c r="I980" s="74"/>
      <c r="J980" s="74"/>
      <c r="K980" s="74"/>
      <c r="L980" s="74"/>
      <c r="M980" s="74"/>
    </row>
    <row r="981" spans="6:13" ht="15.75" customHeight="1">
      <c r="F981" s="74"/>
      <c r="G981" s="74"/>
      <c r="I981" s="74"/>
      <c r="J981" s="74"/>
      <c r="K981" s="74"/>
      <c r="L981" s="74"/>
      <c r="M981" s="74"/>
    </row>
    <row r="982" spans="6:13" ht="15.75" customHeight="1">
      <c r="F982" s="74"/>
      <c r="G982" s="74"/>
      <c r="I982" s="74"/>
      <c r="J982" s="74"/>
      <c r="K982" s="74"/>
      <c r="L982" s="74"/>
      <c r="M982" s="74"/>
    </row>
    <row r="983" spans="6:13" ht="15.75" customHeight="1">
      <c r="F983" s="74"/>
      <c r="G983" s="74"/>
      <c r="I983" s="74"/>
      <c r="J983" s="74"/>
      <c r="K983" s="74"/>
      <c r="L983" s="74"/>
      <c r="M983" s="74"/>
    </row>
    <row r="984" spans="6:13" ht="15.75" customHeight="1">
      <c r="F984" s="74"/>
      <c r="G984" s="74"/>
      <c r="I984" s="74"/>
      <c r="J984" s="74"/>
      <c r="K984" s="74"/>
      <c r="L984" s="74"/>
      <c r="M984" s="74"/>
    </row>
    <row r="985" spans="6:13" ht="15.75" customHeight="1">
      <c r="F985" s="74"/>
      <c r="G985" s="74"/>
      <c r="I985" s="74"/>
      <c r="J985" s="74"/>
      <c r="K985" s="74"/>
      <c r="L985" s="74"/>
      <c r="M985" s="74"/>
    </row>
    <row r="986" spans="6:13" ht="15.75" customHeight="1">
      <c r="F986" s="74"/>
      <c r="G986" s="74"/>
      <c r="I986" s="74"/>
      <c r="J986" s="74"/>
      <c r="K986" s="74"/>
      <c r="L986" s="74"/>
      <c r="M986" s="74"/>
    </row>
    <row r="987" spans="6:13" ht="15.75" customHeight="1">
      <c r="F987" s="74"/>
      <c r="G987" s="74"/>
      <c r="I987" s="74"/>
      <c r="J987" s="74"/>
      <c r="K987" s="74"/>
      <c r="L987" s="74"/>
      <c r="M987" s="74"/>
    </row>
    <row r="988" spans="6:13" ht="15.75" customHeight="1">
      <c r="F988" s="74"/>
      <c r="G988" s="74"/>
      <c r="I988" s="74"/>
      <c r="J988" s="74"/>
      <c r="K988" s="74"/>
      <c r="L988" s="74"/>
      <c r="M988" s="74"/>
    </row>
    <row r="989" spans="6:13" ht="15.75" customHeight="1">
      <c r="F989" s="74"/>
      <c r="G989" s="74"/>
      <c r="I989" s="74"/>
      <c r="J989" s="74"/>
      <c r="K989" s="74"/>
      <c r="L989" s="74"/>
      <c r="M989" s="74"/>
    </row>
    <row r="990" spans="6:13" ht="15.75" customHeight="1">
      <c r="F990" s="74"/>
      <c r="G990" s="74"/>
      <c r="I990" s="74"/>
      <c r="J990" s="74"/>
      <c r="K990" s="74"/>
      <c r="L990" s="74"/>
      <c r="M990" s="74"/>
    </row>
    <row r="991" spans="6:13" ht="15.75" customHeight="1">
      <c r="F991" s="74"/>
      <c r="G991" s="74"/>
      <c r="I991" s="74"/>
      <c r="J991" s="74"/>
      <c r="K991" s="74"/>
      <c r="L991" s="74"/>
      <c r="M991" s="74"/>
    </row>
    <row r="992" spans="6:13" ht="15.75" customHeight="1">
      <c r="F992" s="74"/>
      <c r="G992" s="74"/>
      <c r="I992" s="74"/>
      <c r="J992" s="74"/>
      <c r="K992" s="74"/>
      <c r="L992" s="74"/>
      <c r="M992" s="74"/>
    </row>
    <row r="993" spans="6:13" ht="15.75" customHeight="1">
      <c r="F993" s="74"/>
      <c r="G993" s="74"/>
      <c r="I993" s="74"/>
      <c r="J993" s="74"/>
      <c r="K993" s="74"/>
      <c r="L993" s="74"/>
      <c r="M993" s="74"/>
    </row>
    <row r="994" spans="6:13" ht="15.75" customHeight="1">
      <c r="F994" s="74"/>
      <c r="G994" s="74"/>
      <c r="I994" s="74"/>
      <c r="J994" s="74"/>
      <c r="K994" s="74"/>
      <c r="L994" s="74"/>
      <c r="M994" s="74"/>
    </row>
    <row r="995" spans="6:13" ht="15.75" customHeight="1">
      <c r="F995" s="74"/>
      <c r="G995" s="74"/>
      <c r="I995" s="74"/>
      <c r="J995" s="74"/>
      <c r="K995" s="74"/>
      <c r="L995" s="74"/>
      <c r="M995" s="74"/>
    </row>
    <row r="996" spans="6:13" ht="15.75" customHeight="1">
      <c r="F996" s="74"/>
      <c r="G996" s="74"/>
      <c r="I996" s="74"/>
      <c r="J996" s="74"/>
      <c r="K996" s="74"/>
      <c r="L996" s="74"/>
      <c r="M996" s="74"/>
    </row>
    <row r="997" spans="6:13" ht="15.75" customHeight="1">
      <c r="F997" s="74"/>
      <c r="G997" s="74"/>
      <c r="I997" s="74"/>
      <c r="J997" s="74"/>
      <c r="K997" s="74"/>
      <c r="L997" s="74"/>
      <c r="M997" s="74"/>
    </row>
    <row r="998" spans="6:13" ht="15.75" customHeight="1">
      <c r="F998" s="74"/>
      <c r="G998" s="74"/>
      <c r="I998" s="74"/>
      <c r="J998" s="74"/>
      <c r="K998" s="74"/>
      <c r="L998" s="74"/>
      <c r="M998" s="74"/>
    </row>
    <row r="999" spans="6:13" ht="15.75" customHeight="1">
      <c r="F999" s="74"/>
      <c r="G999" s="74"/>
      <c r="I999" s="74"/>
      <c r="J999" s="74"/>
      <c r="K999" s="74"/>
      <c r="L999" s="74"/>
      <c r="M999" s="74"/>
    </row>
    <row r="1000" spans="6:13" ht="15.75" customHeight="1">
      <c r="F1000" s="74"/>
      <c r="G1000" s="74"/>
      <c r="I1000" s="74"/>
      <c r="J1000" s="74"/>
      <c r="K1000" s="74"/>
      <c r="L1000" s="74"/>
      <c r="M1000" s="74"/>
    </row>
    <row r="1001" spans="6:13" ht="15.75" customHeight="1">
      <c r="F1001" s="74"/>
      <c r="G1001" s="74"/>
      <c r="I1001" s="74"/>
      <c r="J1001" s="74"/>
      <c r="K1001" s="74"/>
      <c r="L1001" s="74"/>
      <c r="M1001" s="74"/>
    </row>
    <row r="1002" spans="6:13" ht="15.75" customHeight="1">
      <c r="F1002" s="74"/>
      <c r="G1002" s="74"/>
      <c r="I1002" s="74"/>
      <c r="J1002" s="74"/>
      <c r="K1002" s="74"/>
      <c r="L1002" s="74"/>
      <c r="M1002" s="74"/>
    </row>
    <row r="1003" spans="6:13" ht="15.75" customHeight="1">
      <c r="F1003" s="74"/>
      <c r="G1003" s="74"/>
      <c r="I1003" s="74"/>
      <c r="J1003" s="74"/>
      <c r="K1003" s="74"/>
      <c r="L1003" s="74"/>
      <c r="M1003" s="74"/>
    </row>
    <row r="1004" spans="6:13" ht="15.75" customHeight="1">
      <c r="F1004" s="74"/>
      <c r="G1004" s="74"/>
      <c r="I1004" s="74"/>
      <c r="J1004" s="74"/>
      <c r="K1004" s="74"/>
      <c r="L1004" s="74"/>
      <c r="M1004" s="74"/>
    </row>
    <row r="1005" spans="6:13" ht="15.75" customHeight="1">
      <c r="F1005" s="74"/>
      <c r="G1005" s="74"/>
      <c r="I1005" s="74"/>
      <c r="J1005" s="74"/>
      <c r="K1005" s="74"/>
      <c r="L1005" s="74"/>
      <c r="M1005" s="74"/>
    </row>
    <row r="1006" spans="6:13" ht="15.75" customHeight="1">
      <c r="F1006" s="74"/>
      <c r="G1006" s="74"/>
      <c r="I1006" s="74"/>
      <c r="J1006" s="74"/>
      <c r="K1006" s="74"/>
      <c r="L1006" s="74"/>
      <c r="M1006" s="74"/>
    </row>
    <row r="1007" spans="6:13" ht="15.75" customHeight="1">
      <c r="F1007" s="74"/>
      <c r="G1007" s="74"/>
      <c r="I1007" s="74"/>
      <c r="J1007" s="74"/>
      <c r="K1007" s="74"/>
      <c r="L1007" s="74"/>
      <c r="M1007" s="74"/>
    </row>
    <row r="1008" spans="6:13" ht="15.75" customHeight="1">
      <c r="F1008" s="74"/>
      <c r="G1008" s="74"/>
      <c r="I1008" s="74"/>
      <c r="J1008" s="74"/>
      <c r="K1008" s="74"/>
      <c r="L1008" s="74"/>
      <c r="M1008" s="74"/>
    </row>
    <row r="1009" spans="6:13" ht="15.75" customHeight="1">
      <c r="F1009" s="74"/>
      <c r="G1009" s="74"/>
      <c r="I1009" s="74"/>
      <c r="J1009" s="74"/>
      <c r="K1009" s="74"/>
      <c r="L1009" s="74"/>
      <c r="M1009" s="74"/>
    </row>
  </sheetData>
  <autoFilter ref="A5:A8" xr:uid="{00000000-0009-0000-0000-000001000000}"/>
  <mergeCells count="8">
    <mergeCell ref="A1:M1"/>
    <mergeCell ref="A4:M4"/>
    <mergeCell ref="B5:B6"/>
    <mergeCell ref="C5:C6"/>
    <mergeCell ref="D5:D6"/>
    <mergeCell ref="E5:E6"/>
    <mergeCell ref="F5:M5"/>
    <mergeCell ref="G6:H6"/>
  </mergeCells>
  <printOptions horizontalCentered="1"/>
  <pageMargins left="0.19685039370078741" right="0.19685039370078741" top="0.51181102362204722" bottom="0.23622047244094491" header="0" footer="0"/>
  <pageSetup paperSize="9" fitToHeight="0"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552EF-13B5-469E-B28F-9A13442E31DC}">
  <sheetPr>
    <pageSetUpPr fitToPage="1"/>
  </sheetPr>
  <dimension ref="A1:N75"/>
  <sheetViews>
    <sheetView workbookViewId="0">
      <pane xSplit="4" ySplit="3" topLeftCell="F4" activePane="bottomRight" state="frozen"/>
      <selection pane="bottomRight" activeCell="N6" sqref="N6"/>
      <selection pane="bottomLeft"/>
      <selection pane="topRight"/>
    </sheetView>
  </sheetViews>
  <sheetFormatPr defaultRowHeight="15"/>
  <cols>
    <col min="1" max="1" width="4.28515625" style="620" customWidth="1"/>
    <col min="2" max="2" width="23" style="602" customWidth="1"/>
    <col min="3" max="3" width="21.28515625" style="602" customWidth="1"/>
    <col min="4" max="4" width="21.140625" style="602" customWidth="1"/>
    <col min="5" max="5" width="5.7109375" style="593" customWidth="1"/>
    <col min="6" max="6" width="6.85546875" style="602" customWidth="1"/>
    <col min="7" max="7" width="9.140625" style="602" customWidth="1"/>
    <col min="8" max="8" width="16.85546875" style="602" customWidth="1"/>
    <col min="9" max="9" width="22" style="602" customWidth="1"/>
    <col min="10" max="10" width="24.140625" style="602" customWidth="1"/>
    <col min="11" max="11" width="29.28515625" customWidth="1"/>
    <col min="12" max="12" width="21.5703125" style="593" customWidth="1"/>
    <col min="13" max="13" width="15.5703125" customWidth="1"/>
    <col min="14" max="14" width="29.85546875" customWidth="1"/>
  </cols>
  <sheetData>
    <row r="1" spans="1:14" ht="15.75">
      <c r="A1" s="1604" t="s">
        <v>1948</v>
      </c>
      <c r="B1" s="1604"/>
      <c r="C1" s="1604"/>
      <c r="D1" s="1604"/>
      <c r="E1" s="1604"/>
      <c r="F1" s="1604"/>
      <c r="G1" s="1604"/>
      <c r="H1" s="1604"/>
      <c r="I1" s="1604"/>
      <c r="J1" s="1604"/>
      <c r="K1" s="1604"/>
      <c r="L1" s="1604"/>
      <c r="M1" s="1604"/>
    </row>
    <row r="2" spans="1:14" s="7" customFormat="1" ht="63" customHeight="1">
      <c r="A2" s="618" t="s">
        <v>0</v>
      </c>
      <c r="B2" s="604" t="s">
        <v>62</v>
      </c>
      <c r="C2" s="604" t="s">
        <v>2</v>
      </c>
      <c r="D2" s="604" t="s">
        <v>63</v>
      </c>
      <c r="E2" s="624" t="s">
        <v>1949</v>
      </c>
      <c r="F2" s="604" t="s">
        <v>64</v>
      </c>
      <c r="G2" s="604" t="s">
        <v>1950</v>
      </c>
      <c r="H2" s="604" t="s">
        <v>66</v>
      </c>
      <c r="I2" s="604" t="s">
        <v>1951</v>
      </c>
      <c r="J2" s="604" t="s">
        <v>1952</v>
      </c>
      <c r="K2" s="605" t="s">
        <v>1953</v>
      </c>
      <c r="L2" s="633" t="s">
        <v>1954</v>
      </c>
      <c r="M2" s="633" t="s">
        <v>1955</v>
      </c>
      <c r="N2" s="633" t="s">
        <v>1956</v>
      </c>
    </row>
    <row r="3" spans="1:14" s="7" customFormat="1">
      <c r="A3" s="621">
        <v>1</v>
      </c>
      <c r="B3" s="622">
        <v>2</v>
      </c>
      <c r="C3" s="622">
        <v>3</v>
      </c>
      <c r="D3" s="622">
        <v>4</v>
      </c>
      <c r="E3" s="625">
        <v>5</v>
      </c>
      <c r="F3" s="622">
        <v>6</v>
      </c>
      <c r="G3" s="622">
        <v>7</v>
      </c>
      <c r="H3" s="622">
        <v>8</v>
      </c>
      <c r="I3" s="622">
        <v>9</v>
      </c>
      <c r="J3" s="623">
        <v>10</v>
      </c>
      <c r="K3" s="623">
        <v>11</v>
      </c>
      <c r="L3" s="643">
        <v>12</v>
      </c>
      <c r="M3" s="623">
        <v>13</v>
      </c>
      <c r="N3" s="638">
        <v>14</v>
      </c>
    </row>
    <row r="4" spans="1:14" s="7" customFormat="1" ht="40.5" customHeight="1">
      <c r="A4" s="619">
        <v>1</v>
      </c>
      <c r="B4" s="607" t="s">
        <v>103</v>
      </c>
      <c r="C4" s="608" t="s">
        <v>104</v>
      </c>
      <c r="D4" s="613" t="s">
        <v>1957</v>
      </c>
      <c r="E4" s="606" t="s">
        <v>1958</v>
      </c>
      <c r="F4" s="606" t="s">
        <v>92</v>
      </c>
      <c r="G4" s="606" t="s">
        <v>77</v>
      </c>
      <c r="H4" s="609" t="s">
        <v>93</v>
      </c>
      <c r="I4" s="609" t="s">
        <v>1959</v>
      </c>
      <c r="J4" s="634" t="s">
        <v>77</v>
      </c>
      <c r="K4" s="610" t="s">
        <v>1960</v>
      </c>
      <c r="L4" s="610" t="s">
        <v>1961</v>
      </c>
      <c r="M4" s="636" t="s">
        <v>1962</v>
      </c>
      <c r="N4" s="24" t="s">
        <v>77</v>
      </c>
    </row>
    <row r="5" spans="1:14" s="16" customFormat="1" ht="55.5" customHeight="1">
      <c r="A5" s="617">
        <v>2</v>
      </c>
      <c r="B5" s="607" t="s">
        <v>1214</v>
      </c>
      <c r="C5" s="608" t="s">
        <v>1963</v>
      </c>
      <c r="D5" s="609" t="s">
        <v>105</v>
      </c>
      <c r="E5" s="626" t="s">
        <v>1958</v>
      </c>
      <c r="F5" s="626" t="s">
        <v>1216</v>
      </c>
      <c r="G5" s="626" t="s">
        <v>106</v>
      </c>
      <c r="H5" s="609" t="s">
        <v>1964</v>
      </c>
      <c r="I5" s="609" t="s">
        <v>105</v>
      </c>
      <c r="J5" s="634" t="s">
        <v>1965</v>
      </c>
      <c r="K5" s="610" t="s">
        <v>1966</v>
      </c>
      <c r="L5" s="642" t="s">
        <v>1967</v>
      </c>
      <c r="M5" s="636" t="s">
        <v>1968</v>
      </c>
      <c r="N5" s="610" t="s">
        <v>1969</v>
      </c>
    </row>
    <row r="6" spans="1:14" ht="71.25" customHeight="1">
      <c r="A6" s="617">
        <v>3</v>
      </c>
      <c r="B6" s="611" t="s">
        <v>168</v>
      </c>
      <c r="C6" s="612" t="s">
        <v>1222</v>
      </c>
      <c r="D6" s="613" t="s">
        <v>1223</v>
      </c>
      <c r="E6" s="626" t="s">
        <v>1970</v>
      </c>
      <c r="F6" s="626" t="s">
        <v>84</v>
      </c>
      <c r="G6" s="627" t="s">
        <v>1971</v>
      </c>
      <c r="H6" s="613" t="s">
        <v>85</v>
      </c>
      <c r="I6" s="613" t="s">
        <v>1223</v>
      </c>
      <c r="J6" s="634" t="s">
        <v>1972</v>
      </c>
      <c r="K6" s="614" t="s">
        <v>591</v>
      </c>
      <c r="L6" s="642" t="s">
        <v>1973</v>
      </c>
      <c r="M6" s="636" t="s">
        <v>1974</v>
      </c>
      <c r="N6" s="610" t="s">
        <v>1969</v>
      </c>
    </row>
    <row r="7" spans="1:14" ht="54.75" customHeight="1">
      <c r="A7" s="619">
        <v>4</v>
      </c>
      <c r="B7" s="611" t="s">
        <v>115</v>
      </c>
      <c r="C7" s="612" t="s">
        <v>1228</v>
      </c>
      <c r="D7" s="613" t="s">
        <v>117</v>
      </c>
      <c r="E7" s="626" t="s">
        <v>1970</v>
      </c>
      <c r="F7" s="626" t="s">
        <v>84</v>
      </c>
      <c r="G7" s="627" t="s">
        <v>77</v>
      </c>
      <c r="H7" s="613" t="s">
        <v>85</v>
      </c>
      <c r="I7" s="613" t="s">
        <v>117</v>
      </c>
      <c r="J7" s="634" t="s">
        <v>1975</v>
      </c>
      <c r="K7" s="615" t="s">
        <v>77</v>
      </c>
      <c r="L7" s="641" t="s">
        <v>1976</v>
      </c>
      <c r="M7" s="637" t="s">
        <v>77</v>
      </c>
      <c r="N7" s="610" t="s">
        <v>1977</v>
      </c>
    </row>
    <row r="8" spans="1:14" ht="52.5" customHeight="1">
      <c r="A8" s="617">
        <v>5</v>
      </c>
      <c r="B8" s="611" t="s">
        <v>123</v>
      </c>
      <c r="C8" s="612" t="s">
        <v>1232</v>
      </c>
      <c r="D8" s="613" t="s">
        <v>1233</v>
      </c>
      <c r="E8" s="626" t="s">
        <v>1970</v>
      </c>
      <c r="F8" s="626" t="s">
        <v>84</v>
      </c>
      <c r="G8" s="627" t="s">
        <v>77</v>
      </c>
      <c r="H8" s="613" t="s">
        <v>85</v>
      </c>
      <c r="I8" s="613" t="s">
        <v>1233</v>
      </c>
      <c r="J8" s="634" t="s">
        <v>1975</v>
      </c>
      <c r="K8" s="615" t="s">
        <v>77</v>
      </c>
      <c r="L8" s="641" t="s">
        <v>1978</v>
      </c>
      <c r="M8" s="637" t="s">
        <v>77</v>
      </c>
      <c r="N8" s="610" t="s">
        <v>1977</v>
      </c>
    </row>
    <row r="9" spans="1:14" ht="48">
      <c r="A9" s="617">
        <v>6</v>
      </c>
      <c r="B9" s="611" t="s">
        <v>128</v>
      </c>
      <c r="C9" s="612" t="s">
        <v>1235</v>
      </c>
      <c r="D9" s="613" t="s">
        <v>1236</v>
      </c>
      <c r="E9" s="626" t="s">
        <v>1958</v>
      </c>
      <c r="F9" s="626" t="s">
        <v>91</v>
      </c>
      <c r="G9" s="627" t="s">
        <v>77</v>
      </c>
      <c r="H9" s="613" t="s">
        <v>37</v>
      </c>
      <c r="I9" s="613" t="s">
        <v>1979</v>
      </c>
      <c r="J9" s="634" t="s">
        <v>1965</v>
      </c>
      <c r="K9" s="615" t="s">
        <v>77</v>
      </c>
      <c r="L9" s="641" t="s">
        <v>1980</v>
      </c>
      <c r="M9" s="637" t="s">
        <v>77</v>
      </c>
      <c r="N9" s="610" t="s">
        <v>1981</v>
      </c>
    </row>
    <row r="10" spans="1:14" ht="72">
      <c r="A10" s="619">
        <v>7</v>
      </c>
      <c r="B10" s="611" t="s">
        <v>136</v>
      </c>
      <c r="C10" s="612" t="s">
        <v>1240</v>
      </c>
      <c r="D10" s="613" t="s">
        <v>1241</v>
      </c>
      <c r="E10" s="626" t="s">
        <v>1970</v>
      </c>
      <c r="F10" s="626" t="s">
        <v>84</v>
      </c>
      <c r="G10" s="627" t="s">
        <v>77</v>
      </c>
      <c r="H10" s="613" t="s">
        <v>85</v>
      </c>
      <c r="I10" s="613" t="s">
        <v>1982</v>
      </c>
      <c r="J10" s="634" t="s">
        <v>1983</v>
      </c>
      <c r="K10" s="615" t="s">
        <v>77</v>
      </c>
      <c r="L10" s="641" t="s">
        <v>1984</v>
      </c>
      <c r="M10" s="635" t="s">
        <v>1985</v>
      </c>
      <c r="N10" s="639" t="s">
        <v>1986</v>
      </c>
    </row>
    <row r="11" spans="1:14" ht="24">
      <c r="A11" s="617">
        <v>8</v>
      </c>
      <c r="B11" s="611" t="s">
        <v>143</v>
      </c>
      <c r="C11" s="612" t="s">
        <v>1245</v>
      </c>
      <c r="D11" s="613" t="s">
        <v>1246</v>
      </c>
      <c r="E11" s="626" t="s">
        <v>1970</v>
      </c>
      <c r="F11" s="626" t="s">
        <v>84</v>
      </c>
      <c r="G11" s="627" t="s">
        <v>77</v>
      </c>
      <c r="H11" s="613" t="s">
        <v>85</v>
      </c>
      <c r="I11" s="613" t="s">
        <v>1987</v>
      </c>
      <c r="J11" s="634" t="s">
        <v>1975</v>
      </c>
      <c r="K11" s="615" t="s">
        <v>77</v>
      </c>
      <c r="L11" s="641" t="s">
        <v>1984</v>
      </c>
      <c r="M11" s="615" t="s">
        <v>77</v>
      </c>
      <c r="N11" s="635" t="s">
        <v>1988</v>
      </c>
    </row>
    <row r="12" spans="1:14" ht="24">
      <c r="A12" s="617">
        <v>9</v>
      </c>
      <c r="B12" s="611" t="s">
        <v>149</v>
      </c>
      <c r="C12" s="612" t="s">
        <v>1248</v>
      </c>
      <c r="D12" s="613" t="s">
        <v>130</v>
      </c>
      <c r="E12" s="626" t="s">
        <v>1970</v>
      </c>
      <c r="F12" s="626" t="s">
        <v>151</v>
      </c>
      <c r="G12" s="627" t="s">
        <v>77</v>
      </c>
      <c r="H12" s="613" t="s">
        <v>152</v>
      </c>
      <c r="I12" s="613" t="s">
        <v>1987</v>
      </c>
      <c r="J12" s="634" t="s">
        <v>1975</v>
      </c>
      <c r="K12" s="615" t="s">
        <v>77</v>
      </c>
      <c r="L12" s="641" t="s">
        <v>1989</v>
      </c>
      <c r="M12" s="615" t="s">
        <v>77</v>
      </c>
      <c r="N12" s="635" t="s">
        <v>1988</v>
      </c>
    </row>
    <row r="13" spans="1:14" ht="24">
      <c r="A13" s="619">
        <v>10</v>
      </c>
      <c r="B13" s="611" t="s">
        <v>154</v>
      </c>
      <c r="C13" s="612" t="s">
        <v>1273</v>
      </c>
      <c r="D13" s="613" t="s">
        <v>22</v>
      </c>
      <c r="E13" s="626" t="s">
        <v>1958</v>
      </c>
      <c r="F13" s="626" t="s">
        <v>84</v>
      </c>
      <c r="G13" s="627" t="s">
        <v>77</v>
      </c>
      <c r="H13" s="613" t="s">
        <v>85</v>
      </c>
      <c r="I13" s="613" t="s">
        <v>1990</v>
      </c>
      <c r="J13" s="634" t="s">
        <v>77</v>
      </c>
      <c r="K13" s="610" t="s">
        <v>1991</v>
      </c>
      <c r="L13" s="642" t="s">
        <v>1992</v>
      </c>
      <c r="M13" s="614" t="s">
        <v>1993</v>
      </c>
      <c r="N13" s="640" t="s">
        <v>1994</v>
      </c>
    </row>
    <row r="14" spans="1:14" ht="36">
      <c r="A14" s="617">
        <v>11</v>
      </c>
      <c r="B14" s="611" t="s">
        <v>10</v>
      </c>
      <c r="C14" s="612" t="s">
        <v>11</v>
      </c>
      <c r="D14" s="613" t="s">
        <v>13</v>
      </c>
      <c r="E14" s="626" t="s">
        <v>1958</v>
      </c>
      <c r="F14" s="626" t="s">
        <v>91</v>
      </c>
      <c r="G14" s="627" t="s">
        <v>77</v>
      </c>
      <c r="H14" s="613" t="s">
        <v>37</v>
      </c>
      <c r="I14" s="613" t="s">
        <v>1995</v>
      </c>
      <c r="J14" s="634" t="s">
        <v>1975</v>
      </c>
      <c r="K14" s="615" t="s">
        <v>77</v>
      </c>
      <c r="L14" s="641" t="s">
        <v>1996</v>
      </c>
      <c r="M14" s="637" t="s">
        <v>77</v>
      </c>
      <c r="N14" s="610" t="s">
        <v>1997</v>
      </c>
    </row>
    <row r="15" spans="1:14" ht="36">
      <c r="A15" s="617">
        <v>12</v>
      </c>
      <c r="B15" s="611" t="s">
        <v>15</v>
      </c>
      <c r="C15" s="612" t="s">
        <v>16</v>
      </c>
      <c r="D15" s="613" t="s">
        <v>13</v>
      </c>
      <c r="E15" s="626" t="s">
        <v>1958</v>
      </c>
      <c r="F15" s="626" t="s">
        <v>91</v>
      </c>
      <c r="G15" s="627" t="s">
        <v>77</v>
      </c>
      <c r="H15" s="613" t="s">
        <v>37</v>
      </c>
      <c r="I15" s="613" t="s">
        <v>1995</v>
      </c>
      <c r="J15" s="634" t="s">
        <v>1975</v>
      </c>
      <c r="K15" s="615" t="s">
        <v>77</v>
      </c>
      <c r="L15" s="641" t="s">
        <v>1998</v>
      </c>
      <c r="M15" s="615" t="s">
        <v>77</v>
      </c>
      <c r="N15" s="610" t="s">
        <v>1997</v>
      </c>
    </row>
    <row r="16" spans="1:14" ht="24">
      <c r="A16" s="619">
        <v>13</v>
      </c>
      <c r="B16" s="611" t="s">
        <v>160</v>
      </c>
      <c r="C16" s="612" t="s">
        <v>1253</v>
      </c>
      <c r="D16" s="613" t="s">
        <v>162</v>
      </c>
      <c r="E16" s="626" t="s">
        <v>1970</v>
      </c>
      <c r="F16" s="626" t="s">
        <v>1254</v>
      </c>
      <c r="G16" s="627" t="s">
        <v>77</v>
      </c>
      <c r="H16" s="613" t="s">
        <v>1999</v>
      </c>
      <c r="I16" s="613" t="s">
        <v>2000</v>
      </c>
      <c r="J16" s="634" t="s">
        <v>1975</v>
      </c>
      <c r="K16" s="615" t="s">
        <v>77</v>
      </c>
      <c r="L16" s="641" t="s">
        <v>1984</v>
      </c>
      <c r="M16" s="615" t="s">
        <v>77</v>
      </c>
      <c r="N16" s="610" t="s">
        <v>1997</v>
      </c>
    </row>
    <row r="17" spans="1:14" ht="24">
      <c r="A17" s="617">
        <v>14</v>
      </c>
      <c r="B17" s="611" t="s">
        <v>19</v>
      </c>
      <c r="C17" s="612" t="s">
        <v>20</v>
      </c>
      <c r="D17" s="613" t="s">
        <v>22</v>
      </c>
      <c r="E17" s="626" t="s">
        <v>1970</v>
      </c>
      <c r="F17" s="626" t="s">
        <v>84</v>
      </c>
      <c r="G17" s="627" t="s">
        <v>77</v>
      </c>
      <c r="H17" s="613" t="s">
        <v>85</v>
      </c>
      <c r="I17" s="613" t="s">
        <v>1995</v>
      </c>
      <c r="J17" s="634" t="s">
        <v>1975</v>
      </c>
      <c r="K17" s="615" t="s">
        <v>77</v>
      </c>
      <c r="L17" s="641" t="s">
        <v>2001</v>
      </c>
      <c r="M17" s="615" t="s">
        <v>77</v>
      </c>
      <c r="N17" s="610" t="s">
        <v>1997</v>
      </c>
    </row>
    <row r="18" spans="1:14" ht="36">
      <c r="A18" s="617">
        <v>15</v>
      </c>
      <c r="B18" s="611" t="s">
        <v>24</v>
      </c>
      <c r="C18" s="612" t="s">
        <v>1255</v>
      </c>
      <c r="D18" s="613" t="s">
        <v>13</v>
      </c>
      <c r="E18" s="626" t="s">
        <v>1958</v>
      </c>
      <c r="F18" s="626" t="s">
        <v>101</v>
      </c>
      <c r="G18" s="627" t="s">
        <v>77</v>
      </c>
      <c r="H18" s="613" t="s">
        <v>102</v>
      </c>
      <c r="I18" s="613" t="s">
        <v>1995</v>
      </c>
      <c r="J18" s="634" t="s">
        <v>1975</v>
      </c>
      <c r="K18" s="615" t="s">
        <v>77</v>
      </c>
      <c r="L18" s="641" t="s">
        <v>2002</v>
      </c>
      <c r="M18" s="615" t="s">
        <v>77</v>
      </c>
      <c r="N18" s="610" t="s">
        <v>1997</v>
      </c>
    </row>
    <row r="19" spans="1:14" ht="36">
      <c r="A19" s="619">
        <v>16</v>
      </c>
      <c r="B19" s="611" t="s">
        <v>27</v>
      </c>
      <c r="C19" s="612" t="s">
        <v>1256</v>
      </c>
      <c r="D19" s="613" t="s">
        <v>13</v>
      </c>
      <c r="E19" s="626" t="s">
        <v>1970</v>
      </c>
      <c r="F19" s="626" t="s">
        <v>91</v>
      </c>
      <c r="G19" s="627" t="s">
        <v>77</v>
      </c>
      <c r="H19" s="613" t="s">
        <v>37</v>
      </c>
      <c r="I19" s="613" t="s">
        <v>1990</v>
      </c>
      <c r="J19" s="634" t="s">
        <v>1975</v>
      </c>
      <c r="K19" s="615" t="s">
        <v>77</v>
      </c>
      <c r="L19" s="642" t="s">
        <v>2003</v>
      </c>
      <c r="M19" s="615" t="s">
        <v>77</v>
      </c>
      <c r="N19" s="610" t="s">
        <v>1997</v>
      </c>
    </row>
    <row r="20" spans="1:14" ht="36">
      <c r="A20" s="617">
        <v>17</v>
      </c>
      <c r="B20" s="611" t="s">
        <v>187</v>
      </c>
      <c r="C20" s="612" t="s">
        <v>1257</v>
      </c>
      <c r="D20" s="613" t="s">
        <v>13</v>
      </c>
      <c r="E20" s="626" t="s">
        <v>1958</v>
      </c>
      <c r="F20" s="626" t="s">
        <v>91</v>
      </c>
      <c r="G20" s="627" t="s">
        <v>77</v>
      </c>
      <c r="H20" s="613" t="s">
        <v>37</v>
      </c>
      <c r="I20" s="613" t="s">
        <v>1990</v>
      </c>
      <c r="J20" s="634" t="s">
        <v>1975</v>
      </c>
      <c r="K20" s="615" t="s">
        <v>77</v>
      </c>
      <c r="L20" s="642" t="s">
        <v>2003</v>
      </c>
      <c r="M20" s="615" t="s">
        <v>77</v>
      </c>
      <c r="N20" s="610" t="s">
        <v>1997</v>
      </c>
    </row>
    <row r="21" spans="1:14" ht="24">
      <c r="A21" s="617">
        <v>18</v>
      </c>
      <c r="B21" s="611" t="s">
        <v>29</v>
      </c>
      <c r="C21" s="612" t="s">
        <v>1258</v>
      </c>
      <c r="D21" s="613" t="s">
        <v>22</v>
      </c>
      <c r="E21" s="626" t="s">
        <v>1970</v>
      </c>
      <c r="F21" s="626" t="s">
        <v>84</v>
      </c>
      <c r="G21" s="627" t="s">
        <v>77</v>
      </c>
      <c r="H21" s="613" t="s">
        <v>85</v>
      </c>
      <c r="I21" s="613" t="s">
        <v>1990</v>
      </c>
      <c r="J21" s="634" t="s">
        <v>1975</v>
      </c>
      <c r="K21" s="615" t="s">
        <v>77</v>
      </c>
      <c r="L21" s="642" t="s">
        <v>2004</v>
      </c>
      <c r="M21" s="615" t="s">
        <v>77</v>
      </c>
      <c r="N21" s="610" t="s">
        <v>1997</v>
      </c>
    </row>
    <row r="22" spans="1:14" ht="36">
      <c r="A22" s="619">
        <v>19</v>
      </c>
      <c r="B22" s="611" t="s">
        <v>31</v>
      </c>
      <c r="C22" s="612" t="s">
        <v>1259</v>
      </c>
      <c r="D22" s="613" t="s">
        <v>13</v>
      </c>
      <c r="E22" s="626" t="s">
        <v>1958</v>
      </c>
      <c r="F22" s="626" t="s">
        <v>91</v>
      </c>
      <c r="G22" s="627" t="s">
        <v>77</v>
      </c>
      <c r="H22" s="613" t="s">
        <v>37</v>
      </c>
      <c r="I22" s="613" t="s">
        <v>1990</v>
      </c>
      <c r="J22" s="634" t="s">
        <v>1975</v>
      </c>
      <c r="K22" s="615" t="s">
        <v>77</v>
      </c>
      <c r="L22" s="642" t="s">
        <v>2005</v>
      </c>
      <c r="M22" s="615" t="s">
        <v>77</v>
      </c>
      <c r="N22" s="610" t="s">
        <v>1997</v>
      </c>
    </row>
    <row r="23" spans="1:14" ht="36">
      <c r="A23" s="617">
        <v>20</v>
      </c>
      <c r="B23" s="611" t="s">
        <v>33</v>
      </c>
      <c r="C23" s="612" t="s">
        <v>1262</v>
      </c>
      <c r="D23" s="613" t="s">
        <v>13</v>
      </c>
      <c r="E23" s="626" t="s">
        <v>1958</v>
      </c>
      <c r="F23" s="626" t="s">
        <v>91</v>
      </c>
      <c r="G23" s="627" t="s">
        <v>77</v>
      </c>
      <c r="H23" s="613" t="s">
        <v>37</v>
      </c>
      <c r="I23" s="613" t="s">
        <v>1990</v>
      </c>
      <c r="J23" s="634" t="s">
        <v>1975</v>
      </c>
      <c r="K23" s="615" t="s">
        <v>77</v>
      </c>
      <c r="L23" s="642" t="s">
        <v>2006</v>
      </c>
      <c r="M23" s="615" t="s">
        <v>77</v>
      </c>
      <c r="N23" s="610" t="s">
        <v>1997</v>
      </c>
    </row>
    <row r="24" spans="1:14" ht="36">
      <c r="A24" s="617">
        <v>21</v>
      </c>
      <c r="B24" s="611" t="s">
        <v>35</v>
      </c>
      <c r="C24" s="612" t="s">
        <v>1263</v>
      </c>
      <c r="D24" s="613" t="s">
        <v>13</v>
      </c>
      <c r="E24" s="626" t="s">
        <v>1958</v>
      </c>
      <c r="F24" s="626" t="s">
        <v>101</v>
      </c>
      <c r="G24" s="627" t="s">
        <v>77</v>
      </c>
      <c r="H24" s="613" t="s">
        <v>102</v>
      </c>
      <c r="I24" s="613" t="s">
        <v>1995</v>
      </c>
      <c r="J24" s="634" t="s">
        <v>1975</v>
      </c>
      <c r="K24" s="615" t="s">
        <v>77</v>
      </c>
      <c r="L24" s="642" t="s">
        <v>2003</v>
      </c>
      <c r="M24" s="615" t="s">
        <v>77</v>
      </c>
      <c r="N24" s="610" t="s">
        <v>1997</v>
      </c>
    </row>
    <row r="25" spans="1:14" ht="36">
      <c r="A25" s="619">
        <v>22</v>
      </c>
      <c r="B25" s="611" t="s">
        <v>38</v>
      </c>
      <c r="C25" s="612" t="s">
        <v>1264</v>
      </c>
      <c r="D25" s="613" t="s">
        <v>13</v>
      </c>
      <c r="E25" s="626" t="s">
        <v>1958</v>
      </c>
      <c r="F25" s="626" t="s">
        <v>91</v>
      </c>
      <c r="G25" s="627" t="s">
        <v>77</v>
      </c>
      <c r="H25" s="613" t="s">
        <v>37</v>
      </c>
      <c r="I25" s="613" t="s">
        <v>1990</v>
      </c>
      <c r="J25" s="634" t="s">
        <v>1975</v>
      </c>
      <c r="K25" s="615" t="s">
        <v>77</v>
      </c>
      <c r="L25" s="642" t="s">
        <v>2007</v>
      </c>
      <c r="M25" s="615" t="s">
        <v>77</v>
      </c>
      <c r="N25" s="610" t="s">
        <v>1997</v>
      </c>
    </row>
    <row r="26" spans="1:14" ht="36">
      <c r="A26" s="617">
        <v>23</v>
      </c>
      <c r="B26" s="611" t="s">
        <v>222</v>
      </c>
      <c r="C26" s="612" t="s">
        <v>1265</v>
      </c>
      <c r="D26" s="613" t="s">
        <v>1241</v>
      </c>
      <c r="E26" s="626" t="s">
        <v>1958</v>
      </c>
      <c r="F26" s="626" t="s">
        <v>84</v>
      </c>
      <c r="G26" s="627" t="s">
        <v>77</v>
      </c>
      <c r="H26" s="613" t="s">
        <v>85</v>
      </c>
      <c r="I26" s="613" t="s">
        <v>2000</v>
      </c>
      <c r="J26" s="634" t="s">
        <v>1975</v>
      </c>
      <c r="K26" s="615" t="s">
        <v>77</v>
      </c>
      <c r="L26" s="642" t="s">
        <v>2008</v>
      </c>
      <c r="M26" s="615" t="s">
        <v>77</v>
      </c>
      <c r="N26" s="610" t="s">
        <v>1997</v>
      </c>
    </row>
    <row r="27" spans="1:14" ht="36">
      <c r="A27" s="617">
        <v>24</v>
      </c>
      <c r="B27" s="611" t="s">
        <v>226</v>
      </c>
      <c r="C27" s="612" t="s">
        <v>1276</v>
      </c>
      <c r="D27" s="613" t="s">
        <v>13</v>
      </c>
      <c r="E27" s="626" t="s">
        <v>1970</v>
      </c>
      <c r="F27" s="626" t="s">
        <v>91</v>
      </c>
      <c r="G27" s="627" t="s">
        <v>77</v>
      </c>
      <c r="H27" s="613" t="s">
        <v>37</v>
      </c>
      <c r="I27" s="613" t="s">
        <v>1990</v>
      </c>
      <c r="J27" s="634" t="s">
        <v>77</v>
      </c>
      <c r="K27" s="610" t="s">
        <v>2009</v>
      </c>
      <c r="L27" s="642" t="s">
        <v>2010</v>
      </c>
      <c r="M27" s="610" t="s">
        <v>2011</v>
      </c>
      <c r="N27" s="610" t="s">
        <v>77</v>
      </c>
    </row>
    <row r="28" spans="1:14" ht="36">
      <c r="A28" s="619">
        <v>25</v>
      </c>
      <c r="B28" s="611" t="s">
        <v>40</v>
      </c>
      <c r="C28" s="612" t="s">
        <v>1267</v>
      </c>
      <c r="D28" s="613" t="s">
        <v>13</v>
      </c>
      <c r="E28" s="626" t="s">
        <v>1970</v>
      </c>
      <c r="F28" s="626" t="s">
        <v>91</v>
      </c>
      <c r="G28" s="627" t="s">
        <v>77</v>
      </c>
      <c r="H28" s="613" t="s">
        <v>37</v>
      </c>
      <c r="I28" s="613" t="s">
        <v>1990</v>
      </c>
      <c r="J28" s="634" t="s">
        <v>1975</v>
      </c>
      <c r="K28" s="615" t="s">
        <v>77</v>
      </c>
      <c r="L28" s="641" t="s">
        <v>2012</v>
      </c>
      <c r="M28" s="615" t="s">
        <v>77</v>
      </c>
      <c r="N28" s="610" t="s">
        <v>1997</v>
      </c>
    </row>
    <row r="29" spans="1:14" ht="24">
      <c r="A29" s="617">
        <v>26</v>
      </c>
      <c r="B29" s="611" t="s">
        <v>42</v>
      </c>
      <c r="C29" s="612" t="s">
        <v>1268</v>
      </c>
      <c r="D29" s="613" t="s">
        <v>22</v>
      </c>
      <c r="E29" s="626" t="s">
        <v>1970</v>
      </c>
      <c r="F29" s="626" t="s">
        <v>91</v>
      </c>
      <c r="G29" s="627" t="s">
        <v>77</v>
      </c>
      <c r="H29" s="613" t="s">
        <v>37</v>
      </c>
      <c r="I29" s="613" t="s">
        <v>1990</v>
      </c>
      <c r="J29" s="634" t="s">
        <v>1975</v>
      </c>
      <c r="K29" s="615" t="s">
        <v>77</v>
      </c>
      <c r="L29" s="641" t="s">
        <v>2012</v>
      </c>
      <c r="M29" s="615" t="s">
        <v>77</v>
      </c>
      <c r="N29" s="610" t="s">
        <v>1997</v>
      </c>
    </row>
    <row r="30" spans="1:14" ht="36">
      <c r="A30" s="617">
        <v>27</v>
      </c>
      <c r="B30" s="611" t="s">
        <v>44</v>
      </c>
      <c r="C30" s="612" t="s">
        <v>1269</v>
      </c>
      <c r="D30" s="613" t="s">
        <v>13</v>
      </c>
      <c r="E30" s="626" t="s">
        <v>1970</v>
      </c>
      <c r="F30" s="626" t="s">
        <v>91</v>
      </c>
      <c r="G30" s="627" t="s">
        <v>77</v>
      </c>
      <c r="H30" s="613" t="s">
        <v>37</v>
      </c>
      <c r="I30" s="613" t="s">
        <v>1990</v>
      </c>
      <c r="J30" s="634" t="s">
        <v>1975</v>
      </c>
      <c r="K30" s="615" t="s">
        <v>77</v>
      </c>
      <c r="L30" s="641" t="s">
        <v>2012</v>
      </c>
      <c r="M30" s="615" t="s">
        <v>77</v>
      </c>
      <c r="N30" s="610" t="s">
        <v>1997</v>
      </c>
    </row>
    <row r="31" spans="1:14" ht="36">
      <c r="A31" s="619">
        <v>28</v>
      </c>
      <c r="B31" s="611" t="s">
        <v>46</v>
      </c>
      <c r="C31" s="612" t="s">
        <v>1270</v>
      </c>
      <c r="D31" s="613" t="s">
        <v>13</v>
      </c>
      <c r="E31" s="626" t="s">
        <v>1958</v>
      </c>
      <c r="F31" s="626" t="s">
        <v>91</v>
      </c>
      <c r="G31" s="627" t="s">
        <v>77</v>
      </c>
      <c r="H31" s="613" t="s">
        <v>37</v>
      </c>
      <c r="I31" s="613" t="s">
        <v>1995</v>
      </c>
      <c r="J31" s="634" t="s">
        <v>1975</v>
      </c>
      <c r="K31" s="610" t="s">
        <v>2013</v>
      </c>
      <c r="L31" s="641" t="s">
        <v>2014</v>
      </c>
      <c r="M31" s="610" t="s">
        <v>2011</v>
      </c>
      <c r="N31" s="610" t="s">
        <v>1997</v>
      </c>
    </row>
    <row r="32" spans="1:14" ht="36">
      <c r="A32" s="617">
        <v>29</v>
      </c>
      <c r="B32" s="611" t="s">
        <v>48</v>
      </c>
      <c r="C32" s="612" t="s">
        <v>1271</v>
      </c>
      <c r="D32" s="613" t="s">
        <v>13</v>
      </c>
      <c r="E32" s="626" t="s">
        <v>1970</v>
      </c>
      <c r="F32" s="626" t="s">
        <v>91</v>
      </c>
      <c r="G32" s="627" t="s">
        <v>77</v>
      </c>
      <c r="H32" s="613" t="s">
        <v>37</v>
      </c>
      <c r="I32" s="613" t="s">
        <v>1995</v>
      </c>
      <c r="J32" s="634" t="s">
        <v>1975</v>
      </c>
      <c r="K32" s="615" t="s">
        <v>77</v>
      </c>
      <c r="L32" s="641" t="s">
        <v>2012</v>
      </c>
      <c r="M32" s="615" t="s">
        <v>77</v>
      </c>
      <c r="N32" s="610" t="s">
        <v>1997</v>
      </c>
    </row>
    <row r="33" spans="1:14" ht="36">
      <c r="A33" s="617">
        <v>30</v>
      </c>
      <c r="B33" s="611" t="s">
        <v>50</v>
      </c>
      <c r="C33" s="612" t="s">
        <v>1272</v>
      </c>
      <c r="D33" s="613" t="s">
        <v>13</v>
      </c>
      <c r="E33" s="626" t="s">
        <v>1970</v>
      </c>
      <c r="F33" s="626" t="s">
        <v>101</v>
      </c>
      <c r="G33" s="627" t="s">
        <v>77</v>
      </c>
      <c r="H33" s="613" t="s">
        <v>102</v>
      </c>
      <c r="I33" s="613" t="s">
        <v>1990</v>
      </c>
      <c r="J33" s="634" t="s">
        <v>1975</v>
      </c>
      <c r="K33" s="615" t="s">
        <v>77</v>
      </c>
      <c r="L33" s="642" t="s">
        <v>2015</v>
      </c>
      <c r="M33" s="615" t="s">
        <v>77</v>
      </c>
      <c r="N33" s="610" t="s">
        <v>1997</v>
      </c>
    </row>
    <row r="34" spans="1:14" ht="36">
      <c r="A34" s="619">
        <v>31</v>
      </c>
      <c r="B34" s="611" t="s">
        <v>52</v>
      </c>
      <c r="C34" s="612" t="s">
        <v>1240</v>
      </c>
      <c r="D34" s="613" t="s">
        <v>22</v>
      </c>
      <c r="E34" s="626" t="s">
        <v>1970</v>
      </c>
      <c r="F34" s="626" t="s">
        <v>84</v>
      </c>
      <c r="G34" s="627" t="s">
        <v>77</v>
      </c>
      <c r="H34" s="613" t="s">
        <v>85</v>
      </c>
      <c r="I34" s="613" t="s">
        <v>1995</v>
      </c>
      <c r="J34" s="634" t="s">
        <v>1975</v>
      </c>
      <c r="K34" s="610" t="s">
        <v>2016</v>
      </c>
      <c r="L34" s="642" t="s">
        <v>2017</v>
      </c>
      <c r="M34" s="610" t="s">
        <v>2011</v>
      </c>
      <c r="N34" s="610" t="s">
        <v>1997</v>
      </c>
    </row>
    <row r="35" spans="1:14" ht="36">
      <c r="A35" s="617">
        <v>32</v>
      </c>
      <c r="B35" s="611" t="s">
        <v>54</v>
      </c>
      <c r="C35" s="612" t="s">
        <v>1277</v>
      </c>
      <c r="D35" s="613" t="s">
        <v>13</v>
      </c>
      <c r="E35" s="626" t="s">
        <v>1958</v>
      </c>
      <c r="F35" s="626" t="s">
        <v>91</v>
      </c>
      <c r="G35" s="627" t="s">
        <v>77</v>
      </c>
      <c r="H35" s="613" t="s">
        <v>37</v>
      </c>
      <c r="I35" s="613" t="s">
        <v>1995</v>
      </c>
      <c r="J35" s="634" t="s">
        <v>1975</v>
      </c>
      <c r="K35" s="610" t="s">
        <v>2018</v>
      </c>
      <c r="L35" s="642" t="s">
        <v>2017</v>
      </c>
      <c r="M35" s="610" t="s">
        <v>2011</v>
      </c>
      <c r="N35" s="610" t="s">
        <v>1997</v>
      </c>
    </row>
    <row r="36" spans="1:14" ht="36">
      <c r="A36" s="617">
        <v>33</v>
      </c>
      <c r="B36" s="611" t="s">
        <v>56</v>
      </c>
      <c r="C36" s="612" t="s">
        <v>1278</v>
      </c>
      <c r="D36" s="613" t="s">
        <v>13</v>
      </c>
      <c r="E36" s="626" t="s">
        <v>1958</v>
      </c>
      <c r="F36" s="626" t="s">
        <v>91</v>
      </c>
      <c r="G36" s="626"/>
      <c r="H36" s="613" t="s">
        <v>37</v>
      </c>
      <c r="I36" s="613" t="s">
        <v>1995</v>
      </c>
      <c r="J36" s="634" t="s">
        <v>1975</v>
      </c>
      <c r="K36" s="610" t="s">
        <v>2019</v>
      </c>
      <c r="L36" s="642" t="s">
        <v>2020</v>
      </c>
      <c r="M36" s="610" t="s">
        <v>2011</v>
      </c>
      <c r="N36" s="610" t="s">
        <v>1997</v>
      </c>
    </row>
    <row r="37" spans="1:14" ht="36">
      <c r="A37" s="619">
        <v>34</v>
      </c>
      <c r="B37" s="611" t="s">
        <v>259</v>
      </c>
      <c r="C37" s="612" t="s">
        <v>1279</v>
      </c>
      <c r="D37" s="613" t="s">
        <v>13</v>
      </c>
      <c r="E37" s="626" t="s">
        <v>1970</v>
      </c>
      <c r="F37" s="627" t="s">
        <v>77</v>
      </c>
      <c r="G37" s="627" t="s">
        <v>77</v>
      </c>
      <c r="H37" s="612" t="s">
        <v>77</v>
      </c>
      <c r="I37" s="613" t="s">
        <v>2021</v>
      </c>
      <c r="J37" s="634" t="s">
        <v>1975</v>
      </c>
      <c r="K37" s="615" t="s">
        <v>77</v>
      </c>
      <c r="L37" s="642" t="s">
        <v>2022</v>
      </c>
      <c r="M37" s="615" t="s">
        <v>77</v>
      </c>
      <c r="N37" s="610" t="s">
        <v>1997</v>
      </c>
    </row>
    <row r="38" spans="1:14" ht="36">
      <c r="A38" s="617">
        <v>35</v>
      </c>
      <c r="B38" s="611" t="s">
        <v>268</v>
      </c>
      <c r="C38" s="612" t="s">
        <v>1281</v>
      </c>
      <c r="D38" s="613" t="s">
        <v>13</v>
      </c>
      <c r="E38" s="626" t="s">
        <v>1970</v>
      </c>
      <c r="F38" s="627" t="s">
        <v>77</v>
      </c>
      <c r="G38" s="627" t="s">
        <v>77</v>
      </c>
      <c r="H38" s="612" t="s">
        <v>77</v>
      </c>
      <c r="I38" s="613" t="s">
        <v>2021</v>
      </c>
      <c r="J38" s="634" t="s">
        <v>1975</v>
      </c>
      <c r="K38" s="615" t="s">
        <v>77</v>
      </c>
      <c r="L38" s="642" t="s">
        <v>2022</v>
      </c>
      <c r="M38" s="615" t="s">
        <v>77</v>
      </c>
      <c r="N38" s="610" t="s">
        <v>1997</v>
      </c>
    </row>
    <row r="39" spans="1:14" ht="36">
      <c r="A39" s="617">
        <v>36</v>
      </c>
      <c r="B39" s="611" t="s">
        <v>279</v>
      </c>
      <c r="C39" s="612" t="s">
        <v>1282</v>
      </c>
      <c r="D39" s="613" t="s">
        <v>13</v>
      </c>
      <c r="E39" s="626" t="s">
        <v>1970</v>
      </c>
      <c r="F39" s="627" t="s">
        <v>77</v>
      </c>
      <c r="G39" s="627" t="s">
        <v>77</v>
      </c>
      <c r="H39" s="612" t="s">
        <v>77</v>
      </c>
      <c r="I39" s="613" t="s">
        <v>2021</v>
      </c>
      <c r="J39" s="634" t="s">
        <v>1975</v>
      </c>
      <c r="K39" s="615" t="s">
        <v>77</v>
      </c>
      <c r="L39" s="642" t="s">
        <v>2022</v>
      </c>
      <c r="M39" s="615" t="s">
        <v>77</v>
      </c>
      <c r="N39" s="610" t="s">
        <v>1997</v>
      </c>
    </row>
    <row r="40" spans="1:14" ht="24">
      <c r="A40" s="619">
        <v>37</v>
      </c>
      <c r="B40" s="611" t="s">
        <v>286</v>
      </c>
      <c r="C40" s="612" t="s">
        <v>1283</v>
      </c>
      <c r="D40" s="613" t="s">
        <v>288</v>
      </c>
      <c r="E40" s="626" t="s">
        <v>1970</v>
      </c>
      <c r="F40" s="627" t="s">
        <v>77</v>
      </c>
      <c r="G40" s="627" t="s">
        <v>77</v>
      </c>
      <c r="H40" s="612" t="s">
        <v>77</v>
      </c>
      <c r="I40" s="613" t="s">
        <v>2023</v>
      </c>
      <c r="J40" s="634" t="s">
        <v>2024</v>
      </c>
      <c r="K40" s="615" t="s">
        <v>77</v>
      </c>
      <c r="L40" s="642" t="s">
        <v>2025</v>
      </c>
      <c r="M40" s="615" t="s">
        <v>77</v>
      </c>
      <c r="N40" s="610" t="s">
        <v>1997</v>
      </c>
    </row>
    <row r="41" spans="1:14" ht="36">
      <c r="A41" s="617">
        <v>38</v>
      </c>
      <c r="B41" s="611" t="s">
        <v>299</v>
      </c>
      <c r="C41" s="612" t="s">
        <v>2026</v>
      </c>
      <c r="D41" s="613" t="s">
        <v>301</v>
      </c>
      <c r="E41" s="626" t="s">
        <v>1958</v>
      </c>
      <c r="F41" s="627" t="s">
        <v>77</v>
      </c>
      <c r="G41" s="627" t="s">
        <v>77</v>
      </c>
      <c r="H41" s="612" t="s">
        <v>77</v>
      </c>
      <c r="I41" s="613" t="s">
        <v>2027</v>
      </c>
      <c r="J41" s="634" t="s">
        <v>2024</v>
      </c>
      <c r="K41" s="610" t="s">
        <v>2028</v>
      </c>
      <c r="L41" s="642" t="s">
        <v>2020</v>
      </c>
      <c r="M41" s="610" t="s">
        <v>2011</v>
      </c>
      <c r="N41" s="610" t="s">
        <v>2029</v>
      </c>
    </row>
    <row r="42" spans="1:14" ht="36">
      <c r="A42" s="617">
        <v>39</v>
      </c>
      <c r="B42" s="611" t="s">
        <v>328</v>
      </c>
      <c r="C42" s="612" t="s">
        <v>1287</v>
      </c>
      <c r="D42" s="613" t="s">
        <v>13</v>
      </c>
      <c r="E42" s="626" t="s">
        <v>1970</v>
      </c>
      <c r="F42" s="627" t="s">
        <v>77</v>
      </c>
      <c r="G42" s="627" t="s">
        <v>77</v>
      </c>
      <c r="H42" s="612" t="s">
        <v>77</v>
      </c>
      <c r="I42" s="613" t="s">
        <v>2021</v>
      </c>
      <c r="J42" s="634" t="s">
        <v>1975</v>
      </c>
      <c r="K42" s="615" t="s">
        <v>77</v>
      </c>
      <c r="L42" s="642" t="s">
        <v>2030</v>
      </c>
      <c r="M42" s="615" t="s">
        <v>77</v>
      </c>
      <c r="N42" s="610" t="s">
        <v>1997</v>
      </c>
    </row>
    <row r="43" spans="1:14" ht="36">
      <c r="A43" s="619">
        <v>40</v>
      </c>
      <c r="B43" s="611" t="s">
        <v>982</v>
      </c>
      <c r="C43" s="612" t="s">
        <v>1288</v>
      </c>
      <c r="D43" s="613" t="s">
        <v>13</v>
      </c>
      <c r="E43" s="626" t="s">
        <v>1958</v>
      </c>
      <c r="F43" s="626" t="s">
        <v>101</v>
      </c>
      <c r="G43" s="627" t="s">
        <v>77</v>
      </c>
      <c r="H43" s="613" t="s">
        <v>102</v>
      </c>
      <c r="I43" s="613" t="s">
        <v>2031</v>
      </c>
      <c r="J43" s="634" t="s">
        <v>1975</v>
      </c>
      <c r="K43" s="242" t="s">
        <v>2032</v>
      </c>
      <c r="L43" s="641" t="s">
        <v>2033</v>
      </c>
      <c r="M43" s="616" t="s">
        <v>2034</v>
      </c>
      <c r="N43" s="610" t="s">
        <v>1997</v>
      </c>
    </row>
    <row r="44" spans="1:14" ht="36">
      <c r="A44" s="617">
        <v>41</v>
      </c>
      <c r="B44" s="611" t="s">
        <v>1002</v>
      </c>
      <c r="C44" s="612" t="s">
        <v>1290</v>
      </c>
      <c r="D44" s="613" t="s">
        <v>1291</v>
      </c>
      <c r="E44" s="626" t="s">
        <v>1970</v>
      </c>
      <c r="F44" s="626" t="s">
        <v>101</v>
      </c>
      <c r="G44" s="627" t="s">
        <v>77</v>
      </c>
      <c r="H44" s="613" t="s">
        <v>102</v>
      </c>
      <c r="I44" s="613" t="s">
        <v>2035</v>
      </c>
      <c r="J44" s="634" t="s">
        <v>2024</v>
      </c>
      <c r="K44" s="242" t="s">
        <v>2032</v>
      </c>
      <c r="L44" s="641" t="s">
        <v>2033</v>
      </c>
      <c r="M44" s="616" t="s">
        <v>2034</v>
      </c>
      <c r="N44" s="610" t="s">
        <v>2029</v>
      </c>
    </row>
    <row r="45" spans="1:14" ht="24">
      <c r="A45" s="617">
        <v>42</v>
      </c>
      <c r="B45" s="611" t="s">
        <v>1016</v>
      </c>
      <c r="C45" s="612" t="s">
        <v>1294</v>
      </c>
      <c r="D45" s="613" t="s">
        <v>1295</v>
      </c>
      <c r="E45" s="626" t="s">
        <v>1958</v>
      </c>
      <c r="F45" s="626" t="s">
        <v>101</v>
      </c>
      <c r="G45" s="627" t="s">
        <v>77</v>
      </c>
      <c r="H45" s="613" t="s">
        <v>102</v>
      </c>
      <c r="I45" s="613" t="s">
        <v>2036</v>
      </c>
      <c r="J45" s="634" t="s">
        <v>2024</v>
      </c>
      <c r="K45" s="242" t="s">
        <v>2032</v>
      </c>
      <c r="L45" s="641" t="s">
        <v>2033</v>
      </c>
      <c r="M45" s="616" t="s">
        <v>2034</v>
      </c>
      <c r="N45" s="610" t="s">
        <v>2029</v>
      </c>
    </row>
    <row r="46" spans="1:14" ht="36">
      <c r="A46" s="619">
        <v>43</v>
      </c>
      <c r="B46" s="611" t="s">
        <v>1023</v>
      </c>
      <c r="C46" s="612" t="s">
        <v>1298</v>
      </c>
      <c r="D46" s="613" t="s">
        <v>13</v>
      </c>
      <c r="E46" s="626" t="s">
        <v>1958</v>
      </c>
      <c r="F46" s="626" t="s">
        <v>101</v>
      </c>
      <c r="G46" s="627" t="s">
        <v>77</v>
      </c>
      <c r="H46" s="613" t="s">
        <v>102</v>
      </c>
      <c r="I46" s="613" t="s">
        <v>2031</v>
      </c>
      <c r="J46" s="634" t="s">
        <v>1975</v>
      </c>
      <c r="K46" s="242" t="s">
        <v>2032</v>
      </c>
      <c r="L46" s="641" t="s">
        <v>2033</v>
      </c>
      <c r="M46" s="616" t="s">
        <v>2034</v>
      </c>
      <c r="N46" s="610" t="s">
        <v>1997</v>
      </c>
    </row>
    <row r="47" spans="1:14" ht="24">
      <c r="A47" s="617">
        <v>44</v>
      </c>
      <c r="B47" s="611" t="s">
        <v>1036</v>
      </c>
      <c r="C47" s="612" t="s">
        <v>1299</v>
      </c>
      <c r="D47" s="613" t="s">
        <v>1301</v>
      </c>
      <c r="E47" s="626" t="s">
        <v>1970</v>
      </c>
      <c r="F47" s="626" t="s">
        <v>1300</v>
      </c>
      <c r="G47" s="627" t="s">
        <v>77</v>
      </c>
      <c r="H47" s="613" t="s">
        <v>2037</v>
      </c>
      <c r="I47" s="613" t="s">
        <v>2038</v>
      </c>
      <c r="J47" s="634" t="s">
        <v>2039</v>
      </c>
      <c r="K47" s="242" t="s">
        <v>2032</v>
      </c>
      <c r="L47" s="641" t="s">
        <v>2033</v>
      </c>
      <c r="M47" s="616" t="s">
        <v>2034</v>
      </c>
      <c r="N47" s="610" t="s">
        <v>2040</v>
      </c>
    </row>
    <row r="48" spans="1:14" ht="24">
      <c r="A48" s="617">
        <v>45</v>
      </c>
      <c r="B48" s="611" t="s">
        <v>1043</v>
      </c>
      <c r="C48" s="612" t="s">
        <v>1305</v>
      </c>
      <c r="D48" s="613" t="s">
        <v>1295</v>
      </c>
      <c r="E48" s="626" t="s">
        <v>1970</v>
      </c>
      <c r="F48" s="626" t="s">
        <v>101</v>
      </c>
      <c r="G48" s="627" t="s">
        <v>77</v>
      </c>
      <c r="H48" s="613" t="s">
        <v>102</v>
      </c>
      <c r="I48" s="613" t="s">
        <v>2036</v>
      </c>
      <c r="J48" s="634" t="s">
        <v>2024</v>
      </c>
      <c r="K48" s="242" t="s">
        <v>2032</v>
      </c>
      <c r="L48" s="641" t="s">
        <v>2033</v>
      </c>
      <c r="M48" s="616" t="s">
        <v>2034</v>
      </c>
      <c r="N48" s="610" t="s">
        <v>2029</v>
      </c>
    </row>
    <row r="49" spans="1:14" ht="36">
      <c r="A49" s="619">
        <v>46</v>
      </c>
      <c r="B49" s="611" t="s">
        <v>1050</v>
      </c>
      <c r="C49" s="612" t="s">
        <v>1306</v>
      </c>
      <c r="D49" s="613" t="s">
        <v>13</v>
      </c>
      <c r="E49" s="626" t="s">
        <v>1970</v>
      </c>
      <c r="F49" s="626" t="s">
        <v>101</v>
      </c>
      <c r="G49" s="627" t="s">
        <v>77</v>
      </c>
      <c r="H49" s="613" t="s">
        <v>102</v>
      </c>
      <c r="I49" s="613" t="s">
        <v>2031</v>
      </c>
      <c r="J49" s="634" t="s">
        <v>1975</v>
      </c>
      <c r="K49" s="242" t="s">
        <v>2032</v>
      </c>
      <c r="L49" s="641" t="s">
        <v>2033</v>
      </c>
      <c r="M49" s="616" t="s">
        <v>2034</v>
      </c>
      <c r="N49" s="610" t="s">
        <v>1997</v>
      </c>
    </row>
    <row r="50" spans="1:14" ht="36">
      <c r="A50" s="617">
        <v>47</v>
      </c>
      <c r="B50" s="611" t="s">
        <v>1059</v>
      </c>
      <c r="C50" s="612" t="s">
        <v>1307</v>
      </c>
      <c r="D50" s="613" t="s">
        <v>13</v>
      </c>
      <c r="E50" s="626" t="s">
        <v>1970</v>
      </c>
      <c r="F50" s="626" t="s">
        <v>101</v>
      </c>
      <c r="G50" s="627" t="s">
        <v>77</v>
      </c>
      <c r="H50" s="613" t="s">
        <v>102</v>
      </c>
      <c r="I50" s="613" t="s">
        <v>2031</v>
      </c>
      <c r="J50" s="634" t="s">
        <v>1975</v>
      </c>
      <c r="K50" s="242" t="s">
        <v>2032</v>
      </c>
      <c r="L50" s="641" t="s">
        <v>2033</v>
      </c>
      <c r="M50" s="616" t="s">
        <v>2034</v>
      </c>
      <c r="N50" s="610" t="s">
        <v>1997</v>
      </c>
    </row>
    <row r="51" spans="1:14" ht="36">
      <c r="A51" s="617">
        <v>48</v>
      </c>
      <c r="B51" s="611" t="s">
        <v>1085</v>
      </c>
      <c r="C51" s="612" t="s">
        <v>1308</v>
      </c>
      <c r="D51" s="613" t="s">
        <v>13</v>
      </c>
      <c r="E51" s="626" t="s">
        <v>1958</v>
      </c>
      <c r="F51" s="626" t="s">
        <v>101</v>
      </c>
      <c r="G51" s="627" t="s">
        <v>77</v>
      </c>
      <c r="H51" s="613" t="s">
        <v>102</v>
      </c>
      <c r="I51" s="613" t="s">
        <v>2031</v>
      </c>
      <c r="J51" s="634" t="s">
        <v>1975</v>
      </c>
      <c r="K51" s="242" t="s">
        <v>2032</v>
      </c>
      <c r="L51" s="641" t="s">
        <v>2033</v>
      </c>
      <c r="M51" s="616" t="s">
        <v>2034</v>
      </c>
      <c r="N51" s="610" t="s">
        <v>1997</v>
      </c>
    </row>
    <row r="52" spans="1:14" ht="36">
      <c r="A52" s="619">
        <v>49</v>
      </c>
      <c r="B52" s="611" t="s">
        <v>1094</v>
      </c>
      <c r="C52" s="612" t="s">
        <v>1309</v>
      </c>
      <c r="D52" s="613" t="s">
        <v>13</v>
      </c>
      <c r="E52" s="626" t="s">
        <v>1958</v>
      </c>
      <c r="F52" s="626" t="s">
        <v>101</v>
      </c>
      <c r="G52" s="627" t="s">
        <v>77</v>
      </c>
      <c r="H52" s="613" t="s">
        <v>102</v>
      </c>
      <c r="I52" s="613" t="s">
        <v>2031</v>
      </c>
      <c r="J52" s="634" t="s">
        <v>1975</v>
      </c>
      <c r="K52" s="242" t="s">
        <v>2032</v>
      </c>
      <c r="L52" s="641" t="s">
        <v>2033</v>
      </c>
      <c r="M52" s="616" t="s">
        <v>2034</v>
      </c>
      <c r="N52" s="610" t="s">
        <v>1997</v>
      </c>
    </row>
    <row r="53" spans="1:14" ht="36">
      <c r="A53" s="617">
        <v>50</v>
      </c>
      <c r="B53" s="611" t="s">
        <v>1105</v>
      </c>
      <c r="C53" s="612" t="s">
        <v>1310</v>
      </c>
      <c r="D53" s="613" t="s">
        <v>13</v>
      </c>
      <c r="E53" s="626" t="s">
        <v>1970</v>
      </c>
      <c r="F53" s="626" t="s">
        <v>101</v>
      </c>
      <c r="G53" s="627" t="s">
        <v>77</v>
      </c>
      <c r="H53" s="613" t="s">
        <v>102</v>
      </c>
      <c r="I53" s="613" t="s">
        <v>2031</v>
      </c>
      <c r="J53" s="634" t="s">
        <v>1975</v>
      </c>
      <c r="K53" s="242" t="s">
        <v>2032</v>
      </c>
      <c r="L53" s="641" t="s">
        <v>2033</v>
      </c>
      <c r="M53" s="616" t="s">
        <v>2034</v>
      </c>
      <c r="N53" s="610" t="s">
        <v>1997</v>
      </c>
    </row>
    <row r="54" spans="1:14" ht="24">
      <c r="A54" s="617">
        <v>51</v>
      </c>
      <c r="B54" s="611" t="s">
        <v>1745</v>
      </c>
      <c r="C54" s="612" t="s">
        <v>1311</v>
      </c>
      <c r="D54" s="613" t="s">
        <v>1301</v>
      </c>
      <c r="E54" s="626" t="s">
        <v>1970</v>
      </c>
      <c r="F54" s="626" t="s">
        <v>1300</v>
      </c>
      <c r="G54" s="627" t="s">
        <v>77</v>
      </c>
      <c r="H54" s="613" t="s">
        <v>2037</v>
      </c>
      <c r="I54" s="613" t="s">
        <v>2041</v>
      </c>
      <c r="J54" s="634" t="s">
        <v>2039</v>
      </c>
      <c r="K54" s="242" t="s">
        <v>2032</v>
      </c>
      <c r="L54" s="641" t="s">
        <v>2033</v>
      </c>
      <c r="M54" s="616" t="s">
        <v>2034</v>
      </c>
      <c r="N54" s="610" t="s">
        <v>2040</v>
      </c>
    </row>
    <row r="55" spans="1:14" ht="36">
      <c r="A55" s="619">
        <v>52</v>
      </c>
      <c r="B55" s="611" t="s">
        <v>1119</v>
      </c>
      <c r="C55" s="612" t="s">
        <v>1312</v>
      </c>
      <c r="D55" s="613" t="s">
        <v>1313</v>
      </c>
      <c r="E55" s="626" t="s">
        <v>1958</v>
      </c>
      <c r="F55" s="626" t="s">
        <v>101</v>
      </c>
      <c r="G55" s="627" t="s">
        <v>77</v>
      </c>
      <c r="H55" s="613" t="s">
        <v>102</v>
      </c>
      <c r="I55" s="613" t="s">
        <v>2042</v>
      </c>
      <c r="J55" s="634" t="s">
        <v>1975</v>
      </c>
      <c r="K55" s="242" t="s">
        <v>2032</v>
      </c>
      <c r="L55" s="641" t="s">
        <v>2033</v>
      </c>
      <c r="M55" s="616" t="s">
        <v>2034</v>
      </c>
      <c r="N55" s="635" t="s">
        <v>1988</v>
      </c>
    </row>
    <row r="56" spans="1:14" ht="36">
      <c r="A56" s="617">
        <v>53</v>
      </c>
      <c r="B56" s="611" t="s">
        <v>1124</v>
      </c>
      <c r="C56" s="612" t="s">
        <v>1316</v>
      </c>
      <c r="D56" s="613" t="s">
        <v>13</v>
      </c>
      <c r="E56" s="626" t="s">
        <v>1958</v>
      </c>
      <c r="F56" s="626" t="s">
        <v>101</v>
      </c>
      <c r="G56" s="627" t="s">
        <v>77</v>
      </c>
      <c r="H56" s="613" t="s">
        <v>102</v>
      </c>
      <c r="I56" s="613" t="s">
        <v>2031</v>
      </c>
      <c r="J56" s="634" t="s">
        <v>1975</v>
      </c>
      <c r="K56" s="242" t="s">
        <v>2032</v>
      </c>
      <c r="L56" s="641" t="s">
        <v>2033</v>
      </c>
      <c r="M56" s="616" t="s">
        <v>2034</v>
      </c>
      <c r="N56" s="610" t="s">
        <v>1997</v>
      </c>
    </row>
    <row r="57" spans="1:14" ht="36">
      <c r="A57" s="617">
        <v>54</v>
      </c>
      <c r="B57" s="611" t="s">
        <v>1132</v>
      </c>
      <c r="C57" s="612" t="s">
        <v>1317</v>
      </c>
      <c r="D57" s="613" t="s">
        <v>1291</v>
      </c>
      <c r="E57" s="626" t="s">
        <v>1970</v>
      </c>
      <c r="F57" s="626" t="s">
        <v>101</v>
      </c>
      <c r="G57" s="627" t="s">
        <v>77</v>
      </c>
      <c r="H57" s="613" t="s">
        <v>102</v>
      </c>
      <c r="I57" s="613" t="s">
        <v>2035</v>
      </c>
      <c r="J57" s="634" t="s">
        <v>2024</v>
      </c>
      <c r="K57" s="242" t="s">
        <v>2032</v>
      </c>
      <c r="L57" s="641" t="s">
        <v>2033</v>
      </c>
      <c r="M57" s="616" t="s">
        <v>2034</v>
      </c>
      <c r="N57" s="610" t="s">
        <v>2029</v>
      </c>
    </row>
    <row r="58" spans="1:14" ht="60">
      <c r="A58" s="619">
        <v>55</v>
      </c>
      <c r="B58" s="611" t="s">
        <v>337</v>
      </c>
      <c r="C58" s="612" t="s">
        <v>1318</v>
      </c>
      <c r="D58" s="613" t="s">
        <v>1319</v>
      </c>
      <c r="E58" s="626" t="s">
        <v>1970</v>
      </c>
      <c r="F58" s="627" t="s">
        <v>77</v>
      </c>
      <c r="G58" s="627" t="s">
        <v>77</v>
      </c>
      <c r="H58" s="612" t="s">
        <v>77</v>
      </c>
      <c r="I58" s="613" t="s">
        <v>2043</v>
      </c>
      <c r="J58" s="634" t="s">
        <v>1975</v>
      </c>
      <c r="K58" s="610" t="s">
        <v>2044</v>
      </c>
      <c r="L58" s="641" t="s">
        <v>2020</v>
      </c>
      <c r="M58" s="610" t="s">
        <v>2045</v>
      </c>
      <c r="N58" s="610" t="s">
        <v>2046</v>
      </c>
    </row>
    <row r="59" spans="1:14" ht="36">
      <c r="A59" s="617">
        <v>56</v>
      </c>
      <c r="B59" s="611" t="s">
        <v>339</v>
      </c>
      <c r="C59" s="612" t="s">
        <v>1320</v>
      </c>
      <c r="D59" s="613" t="s">
        <v>1321</v>
      </c>
      <c r="E59" s="626" t="s">
        <v>1958</v>
      </c>
      <c r="F59" s="627" t="s">
        <v>77</v>
      </c>
      <c r="G59" s="627" t="s">
        <v>77</v>
      </c>
      <c r="H59" s="612" t="s">
        <v>77</v>
      </c>
      <c r="I59" s="613" t="s">
        <v>341</v>
      </c>
      <c r="J59" s="634" t="s">
        <v>1975</v>
      </c>
      <c r="K59" s="610" t="s">
        <v>2044</v>
      </c>
      <c r="L59" s="641" t="s">
        <v>2020</v>
      </c>
      <c r="M59" s="610" t="s">
        <v>2047</v>
      </c>
      <c r="N59" s="610" t="s">
        <v>2040</v>
      </c>
    </row>
    <row r="60" spans="1:14" ht="36">
      <c r="A60" s="617">
        <v>57</v>
      </c>
      <c r="B60" s="611" t="s">
        <v>342</v>
      </c>
      <c r="C60" s="612" t="s">
        <v>1325</v>
      </c>
      <c r="D60" s="613" t="s">
        <v>1321</v>
      </c>
      <c r="E60" s="626" t="s">
        <v>1958</v>
      </c>
      <c r="F60" s="627" t="s">
        <v>77</v>
      </c>
      <c r="G60" s="627" t="s">
        <v>77</v>
      </c>
      <c r="H60" s="612" t="s">
        <v>77</v>
      </c>
      <c r="I60" s="613" t="s">
        <v>341</v>
      </c>
      <c r="J60" s="634" t="s">
        <v>1975</v>
      </c>
      <c r="K60" s="610" t="s">
        <v>2044</v>
      </c>
      <c r="L60" s="641" t="s">
        <v>2020</v>
      </c>
      <c r="M60" s="610" t="s">
        <v>2048</v>
      </c>
      <c r="N60" s="610" t="s">
        <v>2040</v>
      </c>
    </row>
    <row r="61" spans="1:14" ht="24">
      <c r="A61" s="619">
        <v>58</v>
      </c>
      <c r="B61" s="611" t="s">
        <v>344</v>
      </c>
      <c r="C61" s="612" t="s">
        <v>1327</v>
      </c>
      <c r="D61" s="613" t="s">
        <v>1321</v>
      </c>
      <c r="E61" s="626" t="s">
        <v>1958</v>
      </c>
      <c r="F61" s="627" t="s">
        <v>77</v>
      </c>
      <c r="G61" s="627" t="s">
        <v>77</v>
      </c>
      <c r="H61" s="612" t="s">
        <v>77</v>
      </c>
      <c r="I61" s="613" t="s">
        <v>346</v>
      </c>
      <c r="J61" s="634" t="s">
        <v>1975</v>
      </c>
      <c r="K61" s="610" t="s">
        <v>2044</v>
      </c>
      <c r="L61" s="641" t="s">
        <v>2020</v>
      </c>
      <c r="M61" s="610" t="s">
        <v>2045</v>
      </c>
      <c r="N61" s="610" t="s">
        <v>2040</v>
      </c>
    </row>
    <row r="62" spans="1:14" ht="24">
      <c r="A62" s="617">
        <v>59</v>
      </c>
      <c r="B62" s="611" t="s">
        <v>2049</v>
      </c>
      <c r="C62" s="612" t="s">
        <v>1328</v>
      </c>
      <c r="D62" s="613" t="s">
        <v>1319</v>
      </c>
      <c r="E62" s="626" t="s">
        <v>1958</v>
      </c>
      <c r="F62" s="627" t="s">
        <v>77</v>
      </c>
      <c r="G62" s="627" t="s">
        <v>77</v>
      </c>
      <c r="H62" s="612" t="s">
        <v>77</v>
      </c>
      <c r="I62" s="613" t="s">
        <v>349</v>
      </c>
      <c r="J62" s="634" t="s">
        <v>1975</v>
      </c>
      <c r="K62" s="610" t="s">
        <v>2044</v>
      </c>
      <c r="L62" s="641" t="s">
        <v>2020</v>
      </c>
      <c r="M62" s="610" t="s">
        <v>2050</v>
      </c>
      <c r="N62" s="610" t="s">
        <v>2040</v>
      </c>
    </row>
    <row r="63" spans="1:14" ht="48">
      <c r="A63" s="617">
        <v>60</v>
      </c>
      <c r="B63" s="611" t="s">
        <v>1203</v>
      </c>
      <c r="C63" s="612" t="s">
        <v>1332</v>
      </c>
      <c r="D63" s="613" t="s">
        <v>1319</v>
      </c>
      <c r="E63" s="626" t="s">
        <v>1958</v>
      </c>
      <c r="F63" s="627" t="s">
        <v>77</v>
      </c>
      <c r="G63" s="627" t="s">
        <v>77</v>
      </c>
      <c r="H63" s="612" t="s">
        <v>77</v>
      </c>
      <c r="I63" s="613" t="s">
        <v>2051</v>
      </c>
      <c r="J63" s="634" t="s">
        <v>2052</v>
      </c>
      <c r="K63" s="610" t="s">
        <v>2044</v>
      </c>
      <c r="L63" s="641" t="s">
        <v>2020</v>
      </c>
      <c r="M63" s="610" t="s">
        <v>2053</v>
      </c>
      <c r="N63" s="610" t="s">
        <v>2054</v>
      </c>
    </row>
    <row r="64" spans="1:14">
      <c r="A64" s="603"/>
      <c r="B64" s="357"/>
      <c r="C64" s="357"/>
      <c r="D64" s="357"/>
      <c r="E64" s="499"/>
      <c r="F64" s="357"/>
      <c r="G64" s="357"/>
      <c r="H64" s="357"/>
      <c r="I64" s="357"/>
      <c r="J64" s="357"/>
      <c r="K64" s="503"/>
      <c r="L64" s="499"/>
      <c r="M64" s="503"/>
    </row>
    <row r="65" spans="1:13">
      <c r="A65" s="603"/>
      <c r="B65" s="357"/>
      <c r="C65" s="357"/>
      <c r="D65" s="357"/>
      <c r="E65" s="499"/>
      <c r="F65" s="357"/>
      <c r="G65" s="357"/>
      <c r="H65" s="357"/>
      <c r="I65" s="357"/>
      <c r="J65" s="357"/>
      <c r="K65" s="503"/>
      <c r="L65" s="499"/>
      <c r="M65" s="503"/>
    </row>
    <row r="66" spans="1:13">
      <c r="A66" s="603"/>
      <c r="B66" s="357"/>
      <c r="C66" s="357"/>
      <c r="D66" s="357"/>
      <c r="E66" s="499"/>
      <c r="F66" s="357"/>
      <c r="G66" s="357"/>
      <c r="H66" s="357"/>
      <c r="I66" s="357"/>
      <c r="J66" s="357"/>
      <c r="K66" s="503"/>
      <c r="L66" s="499"/>
      <c r="M66" s="503"/>
    </row>
    <row r="67" spans="1:13">
      <c r="A67" s="603"/>
      <c r="B67" s="357"/>
      <c r="C67" s="357"/>
      <c r="D67" s="357"/>
      <c r="E67" s="499"/>
      <c r="F67" s="357"/>
      <c r="G67" s="357"/>
      <c r="H67" s="357"/>
      <c r="I67" s="357"/>
      <c r="J67" s="357"/>
      <c r="K67" s="503"/>
      <c r="L67" s="499"/>
      <c r="M67" s="503"/>
    </row>
    <row r="68" spans="1:13">
      <c r="A68" s="603"/>
      <c r="B68" s="357"/>
      <c r="C68" s="357"/>
      <c r="D68" s="357"/>
      <c r="E68" s="499"/>
      <c r="F68" s="357"/>
      <c r="G68" s="357"/>
      <c r="H68" s="357"/>
      <c r="I68" s="357"/>
      <c r="J68" s="357"/>
      <c r="K68" s="503"/>
      <c r="L68" s="499"/>
      <c r="M68" s="503"/>
    </row>
    <row r="69" spans="1:13">
      <c r="A69" s="603"/>
      <c r="B69" s="357"/>
      <c r="C69" s="357"/>
      <c r="D69" s="357"/>
      <c r="E69" s="499"/>
      <c r="F69" s="357"/>
      <c r="G69" s="357"/>
      <c r="H69" s="357"/>
      <c r="I69" s="357"/>
      <c r="J69" s="357"/>
      <c r="K69" s="503"/>
      <c r="L69" s="499"/>
      <c r="M69" s="503"/>
    </row>
    <row r="70" spans="1:13">
      <c r="A70" s="603"/>
      <c r="B70" s="357"/>
      <c r="C70" s="357"/>
      <c r="D70" s="357"/>
      <c r="E70" s="499"/>
      <c r="F70" s="357"/>
      <c r="G70" s="357"/>
      <c r="H70" s="357"/>
      <c r="I70" s="357"/>
      <c r="J70" s="357"/>
      <c r="K70" s="503"/>
      <c r="L70" s="499"/>
      <c r="M70" s="503"/>
    </row>
    <row r="71" spans="1:13">
      <c r="A71" s="603"/>
      <c r="B71" s="357"/>
      <c r="C71" s="357"/>
      <c r="D71" s="357"/>
      <c r="E71" s="499"/>
      <c r="F71" s="357"/>
      <c r="G71" s="357"/>
      <c r="H71" s="357"/>
      <c r="I71" s="357"/>
      <c r="J71" s="357"/>
      <c r="K71" s="503"/>
      <c r="L71" s="499"/>
      <c r="M71" s="503"/>
    </row>
    <row r="72" spans="1:13">
      <c r="A72" s="603"/>
      <c r="B72" s="357"/>
      <c r="C72" s="357"/>
      <c r="D72" s="357"/>
      <c r="E72" s="499"/>
      <c r="F72" s="357"/>
      <c r="G72" s="357"/>
      <c r="H72" s="357"/>
      <c r="I72" s="357"/>
      <c r="J72" s="357"/>
      <c r="K72" s="503"/>
      <c r="L72" s="499"/>
      <c r="M72" s="503"/>
    </row>
    <row r="73" spans="1:13">
      <c r="A73" s="603"/>
      <c r="B73" s="357"/>
      <c r="C73" s="357"/>
      <c r="D73" s="357"/>
      <c r="E73" s="499"/>
      <c r="F73" s="357"/>
      <c r="G73" s="357"/>
      <c r="H73" s="357"/>
      <c r="I73" s="357"/>
      <c r="J73" s="357"/>
      <c r="K73" s="503"/>
      <c r="L73" s="499"/>
      <c r="M73" s="503"/>
    </row>
    <row r="74" spans="1:13">
      <c r="A74" s="603"/>
      <c r="B74" s="357"/>
      <c r="C74" s="357"/>
      <c r="D74" s="357"/>
      <c r="E74" s="499"/>
      <c r="F74" s="357"/>
      <c r="G74" s="357"/>
      <c r="H74" s="357"/>
      <c r="I74" s="357"/>
      <c r="J74" s="357"/>
      <c r="K74" s="503"/>
      <c r="L74" s="499"/>
      <c r="M74" s="503"/>
    </row>
    <row r="75" spans="1:13">
      <c r="A75" s="603"/>
      <c r="B75" s="357"/>
      <c r="C75" s="357"/>
      <c r="D75" s="357"/>
      <c r="E75" s="499"/>
      <c r="F75" s="357"/>
      <c r="G75" s="357"/>
      <c r="H75" s="357"/>
      <c r="I75" s="357"/>
      <c r="J75" s="357"/>
      <c r="K75" s="503"/>
      <c r="L75" s="499"/>
      <c r="M75" s="503"/>
    </row>
  </sheetData>
  <mergeCells count="1">
    <mergeCell ref="A1:M1"/>
  </mergeCells>
  <hyperlinks>
    <hyperlink ref="B13" r:id="rId1" xr:uid="{02C9C548-3934-4C3F-B19C-D976FF9DE548}"/>
    <hyperlink ref="B58" r:id="rId2" xr:uid="{D202CBCD-3D1A-403E-9D82-B4127E85A065}"/>
  </hyperlinks>
  <pageMargins left="0.7" right="0.7" top="0.75" bottom="0.75" header="0.3" footer="0.3"/>
  <pageSetup paperSize="9" fitToHeight="0"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CAF1F-4FC3-4CF3-8D99-4CCBA0992A34}">
  <dimension ref="A2:K53"/>
  <sheetViews>
    <sheetView workbookViewId="0">
      <selection activeCell="K5" sqref="K5"/>
    </sheetView>
  </sheetViews>
  <sheetFormatPr defaultRowHeight="15"/>
  <cols>
    <col min="1" max="1" width="4.5703125" customWidth="1"/>
    <col min="2" max="2" width="19.28515625" style="593" customWidth="1"/>
    <col min="3" max="3" width="9.42578125" customWidth="1"/>
    <col min="4" max="4" width="9.28515625" customWidth="1"/>
    <col min="5" max="5" width="11" customWidth="1"/>
    <col min="6" max="6" width="8.42578125" customWidth="1"/>
    <col min="7" max="7" width="34.28515625" style="593" customWidth="1"/>
    <col min="8" max="8" width="21.5703125" style="593" customWidth="1"/>
    <col min="9" max="9" width="47.85546875" style="593" customWidth="1"/>
    <col min="10" max="10" width="14.42578125" customWidth="1"/>
    <col min="11" max="11" width="22.140625" style="593" customWidth="1"/>
  </cols>
  <sheetData>
    <row r="2" spans="1:11" s="674" customFormat="1" ht="18.75" customHeight="1">
      <c r="A2" s="1611" t="s">
        <v>0</v>
      </c>
      <c r="B2" s="1613" t="s">
        <v>1206</v>
      </c>
      <c r="C2" s="1615" t="s">
        <v>2055</v>
      </c>
      <c r="D2" s="1615" t="s">
        <v>2056</v>
      </c>
      <c r="E2" s="1615" t="s">
        <v>2057</v>
      </c>
      <c r="F2" s="1617" t="s">
        <v>2058</v>
      </c>
      <c r="G2" s="1612" t="s">
        <v>2059</v>
      </c>
      <c r="H2" s="1611" t="s">
        <v>9</v>
      </c>
      <c r="I2" s="1611" t="s">
        <v>2060</v>
      </c>
      <c r="J2" s="1611" t="s">
        <v>2061</v>
      </c>
      <c r="K2" s="1611" t="s">
        <v>2062</v>
      </c>
    </row>
    <row r="3" spans="1:11" s="674" customFormat="1" ht="18.75" customHeight="1">
      <c r="A3" s="1611"/>
      <c r="B3" s="1614"/>
      <c r="C3" s="1616"/>
      <c r="D3" s="1616"/>
      <c r="E3" s="1616"/>
      <c r="F3" s="1618"/>
      <c r="G3" s="1612"/>
      <c r="H3" s="1611"/>
      <c r="I3" s="1631"/>
      <c r="J3" s="1631"/>
      <c r="K3" s="1631"/>
    </row>
    <row r="4" spans="1:11" s="16" customFormat="1" ht="152.25">
      <c r="A4" s="24">
        <v>1</v>
      </c>
      <c r="B4" s="681" t="s">
        <v>2063</v>
      </c>
      <c r="C4" s="646">
        <v>13</v>
      </c>
      <c r="D4" s="646">
        <v>1</v>
      </c>
      <c r="E4" s="646">
        <v>1</v>
      </c>
      <c r="F4" s="647">
        <v>0</v>
      </c>
      <c r="G4" s="676" t="s">
        <v>2064</v>
      </c>
      <c r="H4" s="657" t="s">
        <v>1975</v>
      </c>
      <c r="I4" s="355" t="s">
        <v>2065</v>
      </c>
      <c r="J4" s="675" t="s">
        <v>2066</v>
      </c>
      <c r="K4" s="28" t="s">
        <v>2067</v>
      </c>
    </row>
    <row r="5" spans="1:11" s="16" customFormat="1" ht="152.25">
      <c r="A5" s="24">
        <v>2</v>
      </c>
      <c r="B5" s="681" t="s">
        <v>2068</v>
      </c>
      <c r="C5" s="646">
        <v>10</v>
      </c>
      <c r="D5" s="646">
        <v>1</v>
      </c>
      <c r="E5" s="646">
        <v>1</v>
      </c>
      <c r="F5" s="647">
        <v>0</v>
      </c>
      <c r="G5" s="676" t="s">
        <v>2069</v>
      </c>
      <c r="H5" s="657" t="s">
        <v>1975</v>
      </c>
      <c r="I5" s="355" t="s">
        <v>2065</v>
      </c>
      <c r="J5" s="675" t="s">
        <v>2070</v>
      </c>
      <c r="K5" s="688" t="s">
        <v>2067</v>
      </c>
    </row>
    <row r="6" spans="1:11" s="16" customFormat="1" ht="45.75">
      <c r="A6" s="24">
        <v>3</v>
      </c>
      <c r="B6" s="681" t="s">
        <v>1957</v>
      </c>
      <c r="C6" s="646">
        <v>12</v>
      </c>
      <c r="D6" s="646">
        <v>0</v>
      </c>
      <c r="E6" s="646">
        <v>4</v>
      </c>
      <c r="F6" s="647">
        <v>-4</v>
      </c>
      <c r="G6" s="657" t="s">
        <v>77</v>
      </c>
      <c r="H6" s="657" t="s">
        <v>2071</v>
      </c>
      <c r="I6" s="657" t="s">
        <v>77</v>
      </c>
      <c r="J6" s="657" t="s">
        <v>77</v>
      </c>
      <c r="K6" s="645" t="s">
        <v>77</v>
      </c>
    </row>
    <row r="7" spans="1:11" s="16" customFormat="1" ht="24.75" customHeight="1">
      <c r="A7" s="1622">
        <v>4</v>
      </c>
      <c r="B7" s="1625" t="s">
        <v>22</v>
      </c>
      <c r="C7" s="1628">
        <v>10</v>
      </c>
      <c r="D7" s="1628">
        <v>3</v>
      </c>
      <c r="E7" s="1628">
        <v>16</v>
      </c>
      <c r="F7" s="1628">
        <v>-13</v>
      </c>
      <c r="G7" s="676" t="s">
        <v>2072</v>
      </c>
      <c r="H7" s="1640" t="s">
        <v>1975</v>
      </c>
      <c r="I7" s="1608" t="s">
        <v>2073</v>
      </c>
      <c r="J7" s="675" t="s">
        <v>2070</v>
      </c>
      <c r="K7" s="1605" t="s">
        <v>2067</v>
      </c>
    </row>
    <row r="8" spans="1:11" s="16" customFormat="1" ht="24.75" customHeight="1">
      <c r="A8" s="1623"/>
      <c r="B8" s="1626"/>
      <c r="C8" s="1629"/>
      <c r="D8" s="1629"/>
      <c r="E8" s="1629"/>
      <c r="F8" s="1629"/>
      <c r="G8" s="677" t="s">
        <v>2074</v>
      </c>
      <c r="H8" s="1641"/>
      <c r="I8" s="1609"/>
      <c r="J8" s="675" t="s">
        <v>2070</v>
      </c>
      <c r="K8" s="1606"/>
    </row>
    <row r="9" spans="1:11" s="16" customFormat="1" ht="24.75" customHeight="1">
      <c r="A9" s="1624"/>
      <c r="B9" s="1627"/>
      <c r="C9" s="1630"/>
      <c r="D9" s="1630"/>
      <c r="E9" s="1630"/>
      <c r="F9" s="1630"/>
      <c r="G9" s="676" t="s">
        <v>2075</v>
      </c>
      <c r="H9" s="1642"/>
      <c r="I9" s="1610"/>
      <c r="J9" s="675" t="s">
        <v>2070</v>
      </c>
      <c r="K9" s="1607"/>
    </row>
    <row r="10" spans="1:11" s="16" customFormat="1">
      <c r="A10" s="1622">
        <v>5</v>
      </c>
      <c r="B10" s="1625" t="s">
        <v>13</v>
      </c>
      <c r="C10" s="1628">
        <v>8</v>
      </c>
      <c r="D10" s="1628">
        <v>21</v>
      </c>
      <c r="E10" s="1628">
        <v>26</v>
      </c>
      <c r="F10" s="1628">
        <v>-5</v>
      </c>
      <c r="G10" s="676" t="s">
        <v>2076</v>
      </c>
      <c r="H10" s="1640" t="s">
        <v>1975</v>
      </c>
      <c r="I10" s="1608" t="s">
        <v>2073</v>
      </c>
      <c r="J10" s="675" t="s">
        <v>2070</v>
      </c>
      <c r="K10" s="1608" t="s">
        <v>2067</v>
      </c>
    </row>
    <row r="11" spans="1:11" s="16" customFormat="1">
      <c r="A11" s="1623"/>
      <c r="B11" s="1626"/>
      <c r="C11" s="1629"/>
      <c r="D11" s="1629"/>
      <c r="E11" s="1629"/>
      <c r="F11" s="1629"/>
      <c r="G11" s="677" t="s">
        <v>2077</v>
      </c>
      <c r="H11" s="1641"/>
      <c r="I11" s="1609"/>
      <c r="J11" s="675" t="s">
        <v>2066</v>
      </c>
      <c r="K11" s="1609"/>
    </row>
    <row r="12" spans="1:11" s="16" customFormat="1">
      <c r="A12" s="1623"/>
      <c r="B12" s="1626"/>
      <c r="C12" s="1629"/>
      <c r="D12" s="1629"/>
      <c r="E12" s="1629"/>
      <c r="F12" s="1629"/>
      <c r="G12" s="676" t="s">
        <v>2078</v>
      </c>
      <c r="H12" s="1641"/>
      <c r="I12" s="1609"/>
      <c r="J12" s="675" t="s">
        <v>2070</v>
      </c>
      <c r="K12" s="1609"/>
    </row>
    <row r="13" spans="1:11" s="16" customFormat="1">
      <c r="A13" s="1623"/>
      <c r="B13" s="1626"/>
      <c r="C13" s="1629"/>
      <c r="D13" s="1629"/>
      <c r="E13" s="1629"/>
      <c r="F13" s="1629"/>
      <c r="G13" s="676" t="s">
        <v>2079</v>
      </c>
      <c r="H13" s="1641"/>
      <c r="I13" s="1609"/>
      <c r="J13" s="675" t="s">
        <v>2070</v>
      </c>
      <c r="K13" s="1609"/>
    </row>
    <row r="14" spans="1:11" s="16" customFormat="1">
      <c r="A14" s="1623"/>
      <c r="B14" s="1626"/>
      <c r="C14" s="1629"/>
      <c r="D14" s="1629"/>
      <c r="E14" s="1629"/>
      <c r="F14" s="1629"/>
      <c r="G14" s="676" t="s">
        <v>2080</v>
      </c>
      <c r="H14" s="1641"/>
      <c r="I14" s="1609"/>
      <c r="J14" s="675" t="s">
        <v>2070</v>
      </c>
      <c r="K14" s="1609"/>
    </row>
    <row r="15" spans="1:11" s="16" customFormat="1">
      <c r="A15" s="1623"/>
      <c r="B15" s="1626"/>
      <c r="C15" s="1629"/>
      <c r="D15" s="1629"/>
      <c r="E15" s="1629"/>
      <c r="F15" s="1629"/>
      <c r="G15" s="676" t="s">
        <v>2081</v>
      </c>
      <c r="H15" s="1641"/>
      <c r="I15" s="1609"/>
      <c r="J15" s="675" t="s">
        <v>2070</v>
      </c>
      <c r="K15" s="1609"/>
    </row>
    <row r="16" spans="1:11" s="16" customFormat="1">
      <c r="A16" s="1623"/>
      <c r="B16" s="1626"/>
      <c r="C16" s="1629"/>
      <c r="D16" s="1629"/>
      <c r="E16" s="1629"/>
      <c r="F16" s="1629"/>
      <c r="G16" s="676" t="s">
        <v>2082</v>
      </c>
      <c r="H16" s="1641"/>
      <c r="I16" s="1609"/>
      <c r="J16" s="675" t="s">
        <v>2070</v>
      </c>
      <c r="K16" s="1609"/>
    </row>
    <row r="17" spans="1:11" s="16" customFormat="1">
      <c r="A17" s="1623"/>
      <c r="B17" s="1626"/>
      <c r="C17" s="1629"/>
      <c r="D17" s="1629"/>
      <c r="E17" s="1629"/>
      <c r="F17" s="1629"/>
      <c r="G17" s="676" t="s">
        <v>2083</v>
      </c>
      <c r="H17" s="1641"/>
      <c r="I17" s="1609"/>
      <c r="J17" s="675" t="s">
        <v>2070</v>
      </c>
      <c r="K17" s="1609"/>
    </row>
    <row r="18" spans="1:11" s="16" customFormat="1">
      <c r="A18" s="1623"/>
      <c r="B18" s="1626"/>
      <c r="C18" s="1629"/>
      <c r="D18" s="1629"/>
      <c r="E18" s="1629"/>
      <c r="F18" s="1629"/>
      <c r="G18" s="676" t="s">
        <v>2084</v>
      </c>
      <c r="H18" s="1641"/>
      <c r="I18" s="1609"/>
      <c r="J18" s="675" t="s">
        <v>2070</v>
      </c>
      <c r="K18" s="1609"/>
    </row>
    <row r="19" spans="1:11" s="16" customFormat="1">
      <c r="A19" s="1623"/>
      <c r="B19" s="1626"/>
      <c r="C19" s="1629"/>
      <c r="D19" s="1629"/>
      <c r="E19" s="1629"/>
      <c r="F19" s="1629"/>
      <c r="G19" s="677" t="s">
        <v>2085</v>
      </c>
      <c r="H19" s="1641"/>
      <c r="I19" s="1609"/>
      <c r="J19" s="675" t="s">
        <v>2066</v>
      </c>
      <c r="K19" s="1609"/>
    </row>
    <row r="20" spans="1:11" s="16" customFormat="1">
      <c r="A20" s="1623"/>
      <c r="B20" s="1626"/>
      <c r="C20" s="1629"/>
      <c r="D20" s="1629"/>
      <c r="E20" s="1629"/>
      <c r="F20" s="1629"/>
      <c r="G20" s="676" t="s">
        <v>2086</v>
      </c>
      <c r="H20" s="1641"/>
      <c r="I20" s="1609"/>
      <c r="J20" s="675" t="s">
        <v>2066</v>
      </c>
      <c r="K20" s="1609"/>
    </row>
    <row r="21" spans="1:11" s="16" customFormat="1">
      <c r="A21" s="1623"/>
      <c r="B21" s="1626"/>
      <c r="C21" s="1629"/>
      <c r="D21" s="1629"/>
      <c r="E21" s="1629"/>
      <c r="F21" s="1629"/>
      <c r="G21" s="676" t="s">
        <v>2087</v>
      </c>
      <c r="H21" s="1641"/>
      <c r="I21" s="1609"/>
      <c r="J21" s="675" t="s">
        <v>2066</v>
      </c>
      <c r="K21" s="1609"/>
    </row>
    <row r="22" spans="1:11" s="16" customFormat="1">
      <c r="A22" s="1623"/>
      <c r="B22" s="1626"/>
      <c r="C22" s="1629"/>
      <c r="D22" s="1629"/>
      <c r="E22" s="1629"/>
      <c r="F22" s="1629"/>
      <c r="G22" s="676" t="s">
        <v>2088</v>
      </c>
      <c r="H22" s="1641"/>
      <c r="I22" s="1609"/>
      <c r="J22" s="675" t="s">
        <v>2070</v>
      </c>
      <c r="K22" s="1609"/>
    </row>
    <row r="23" spans="1:11" s="16" customFormat="1">
      <c r="A23" s="1623"/>
      <c r="B23" s="1626"/>
      <c r="C23" s="1629"/>
      <c r="D23" s="1629"/>
      <c r="E23" s="1629"/>
      <c r="F23" s="1629"/>
      <c r="G23" s="677" t="s">
        <v>2089</v>
      </c>
      <c r="H23" s="1641"/>
      <c r="I23" s="1609"/>
      <c r="J23" s="675" t="s">
        <v>2070</v>
      </c>
      <c r="K23" s="1609"/>
    </row>
    <row r="24" spans="1:11" s="16" customFormat="1">
      <c r="A24" s="1623"/>
      <c r="B24" s="1626"/>
      <c r="C24" s="1629"/>
      <c r="D24" s="1629"/>
      <c r="E24" s="1629"/>
      <c r="F24" s="1629"/>
      <c r="G24" s="676" t="s">
        <v>2090</v>
      </c>
      <c r="H24" s="1641"/>
      <c r="I24" s="1609"/>
      <c r="J24" s="675" t="s">
        <v>2066</v>
      </c>
      <c r="K24" s="1609"/>
    </row>
    <row r="25" spans="1:11" s="16" customFormat="1">
      <c r="A25" s="1623"/>
      <c r="B25" s="1626"/>
      <c r="C25" s="1629"/>
      <c r="D25" s="1629"/>
      <c r="E25" s="1629"/>
      <c r="F25" s="1629"/>
      <c r="G25" s="676" t="s">
        <v>2091</v>
      </c>
      <c r="H25" s="1641"/>
      <c r="I25" s="1609"/>
      <c r="J25" s="675" t="s">
        <v>2066</v>
      </c>
      <c r="K25" s="1609"/>
    </row>
    <row r="26" spans="1:11" s="16" customFormat="1">
      <c r="A26" s="1623"/>
      <c r="B26" s="1626"/>
      <c r="C26" s="1629"/>
      <c r="D26" s="1629"/>
      <c r="E26" s="1629"/>
      <c r="F26" s="1629"/>
      <c r="G26" s="676" t="s">
        <v>2092</v>
      </c>
      <c r="H26" s="1641"/>
      <c r="I26" s="1609"/>
      <c r="J26" s="675" t="s">
        <v>2066</v>
      </c>
      <c r="K26" s="1609"/>
    </row>
    <row r="27" spans="1:11" s="16" customFormat="1">
      <c r="A27" s="1623"/>
      <c r="B27" s="1626"/>
      <c r="C27" s="1629"/>
      <c r="D27" s="1629"/>
      <c r="E27" s="1629"/>
      <c r="F27" s="1629"/>
      <c r="G27" s="676" t="s">
        <v>2093</v>
      </c>
      <c r="H27" s="1641"/>
      <c r="I27" s="1609"/>
      <c r="J27" s="675" t="s">
        <v>2066</v>
      </c>
      <c r="K27" s="1609"/>
    </row>
    <row r="28" spans="1:11" s="16" customFormat="1">
      <c r="A28" s="1623"/>
      <c r="B28" s="1626"/>
      <c r="C28" s="1629"/>
      <c r="D28" s="1629"/>
      <c r="E28" s="1629"/>
      <c r="F28" s="1629"/>
      <c r="G28" s="676" t="s">
        <v>2094</v>
      </c>
      <c r="H28" s="1641"/>
      <c r="I28" s="1609"/>
      <c r="J28" s="675" t="s">
        <v>2066</v>
      </c>
      <c r="K28" s="1609"/>
    </row>
    <row r="29" spans="1:11" s="16" customFormat="1">
      <c r="A29" s="1623"/>
      <c r="B29" s="1626"/>
      <c r="C29" s="1629"/>
      <c r="D29" s="1629"/>
      <c r="E29" s="1629"/>
      <c r="F29" s="1629"/>
      <c r="G29" s="676" t="s">
        <v>2095</v>
      </c>
      <c r="H29" s="1641"/>
      <c r="I29" s="1609"/>
      <c r="J29" s="675" t="s">
        <v>2070</v>
      </c>
      <c r="K29" s="1609"/>
    </row>
    <row r="30" spans="1:11" s="16" customFormat="1">
      <c r="A30" s="1623"/>
      <c r="B30" s="1626"/>
      <c r="C30" s="1629"/>
      <c r="D30" s="1629"/>
      <c r="E30" s="1629"/>
      <c r="F30" s="1629"/>
      <c r="G30" s="676" t="s">
        <v>2096</v>
      </c>
      <c r="H30" s="1641"/>
      <c r="I30" s="1609"/>
      <c r="J30" s="675" t="s">
        <v>2070</v>
      </c>
      <c r="K30" s="1609"/>
    </row>
    <row r="31" spans="1:11" s="16" customFormat="1">
      <c r="A31" s="1624"/>
      <c r="B31" s="1627"/>
      <c r="C31" s="1630"/>
      <c r="D31" s="1630"/>
      <c r="E31" s="1630"/>
      <c r="F31" s="1630"/>
      <c r="G31" s="676" t="s">
        <v>2097</v>
      </c>
      <c r="H31" s="1642"/>
      <c r="I31" s="1610"/>
      <c r="J31" s="675" t="s">
        <v>2070</v>
      </c>
      <c r="K31" s="1610"/>
    </row>
    <row r="32" spans="1:11" s="16" customFormat="1" ht="30.75">
      <c r="A32" s="24">
        <v>6</v>
      </c>
      <c r="B32" s="681" t="s">
        <v>162</v>
      </c>
      <c r="C32" s="646">
        <v>10</v>
      </c>
      <c r="D32" s="646">
        <v>1</v>
      </c>
      <c r="E32" s="646">
        <v>2</v>
      </c>
      <c r="F32" s="647">
        <v>-1</v>
      </c>
      <c r="G32" s="676" t="s">
        <v>2098</v>
      </c>
      <c r="H32" s="657" t="s">
        <v>1975</v>
      </c>
      <c r="I32" s="355" t="s">
        <v>2099</v>
      </c>
      <c r="J32" s="675" t="s">
        <v>2070</v>
      </c>
      <c r="K32" s="683"/>
    </row>
    <row r="33" spans="1:11" s="16" customFormat="1" ht="45.75">
      <c r="A33" s="24">
        <v>7</v>
      </c>
      <c r="B33" s="681" t="s">
        <v>1801</v>
      </c>
      <c r="C33" s="646">
        <v>8</v>
      </c>
      <c r="D33" s="646">
        <v>0</v>
      </c>
      <c r="E33" s="646">
        <v>2</v>
      </c>
      <c r="F33" s="647">
        <v>-2</v>
      </c>
      <c r="G33" s="657" t="s">
        <v>77</v>
      </c>
      <c r="H33" s="657" t="s">
        <v>2100</v>
      </c>
      <c r="I33" s="657" t="s">
        <v>77</v>
      </c>
      <c r="J33" s="657" t="s">
        <v>77</v>
      </c>
      <c r="K33" s="645" t="s">
        <v>77</v>
      </c>
    </row>
    <row r="34" spans="1:11" s="16" customFormat="1">
      <c r="A34" s="1622">
        <v>8</v>
      </c>
      <c r="B34" s="1632" t="s">
        <v>2101</v>
      </c>
      <c r="C34" s="1619">
        <v>7</v>
      </c>
      <c r="D34" s="1619">
        <v>3</v>
      </c>
      <c r="E34" s="1619">
        <v>4</v>
      </c>
      <c r="F34" s="1619">
        <v>-1</v>
      </c>
      <c r="G34" s="677" t="s">
        <v>2102</v>
      </c>
      <c r="H34" s="1637" t="s">
        <v>1975</v>
      </c>
      <c r="I34" s="1605" t="s">
        <v>2099</v>
      </c>
      <c r="J34" s="648" t="s">
        <v>2066</v>
      </c>
      <c r="K34" s="355"/>
    </row>
    <row r="35" spans="1:11" s="16" customFormat="1">
      <c r="A35" s="1623"/>
      <c r="B35" s="1633"/>
      <c r="C35" s="1620"/>
      <c r="D35" s="1620"/>
      <c r="E35" s="1620"/>
      <c r="F35" s="1620"/>
      <c r="G35" s="676" t="s">
        <v>2103</v>
      </c>
      <c r="H35" s="1638"/>
      <c r="I35" s="1606"/>
      <c r="J35" s="648" t="s">
        <v>2066</v>
      </c>
      <c r="K35" s="355"/>
    </row>
    <row r="36" spans="1:11" s="16" customFormat="1">
      <c r="A36" s="1624"/>
      <c r="B36" s="1634"/>
      <c r="C36" s="1621"/>
      <c r="D36" s="1621"/>
      <c r="E36" s="1621"/>
      <c r="F36" s="1621"/>
      <c r="G36" s="676" t="s">
        <v>2104</v>
      </c>
      <c r="H36" s="1639"/>
      <c r="I36" s="1607"/>
      <c r="J36" s="648" t="s">
        <v>2066</v>
      </c>
      <c r="K36" s="355"/>
    </row>
    <row r="37" spans="1:11" s="16" customFormat="1" ht="45.75">
      <c r="A37" s="24">
        <v>9</v>
      </c>
      <c r="B37" s="682" t="s">
        <v>2105</v>
      </c>
      <c r="C37" s="666">
        <v>10</v>
      </c>
      <c r="D37" s="666">
        <v>0</v>
      </c>
      <c r="E37" s="666">
        <v>2</v>
      </c>
      <c r="F37" s="667">
        <v>-2</v>
      </c>
      <c r="G37" s="657" t="s">
        <v>77</v>
      </c>
      <c r="H37" s="657" t="s">
        <v>2100</v>
      </c>
      <c r="I37" s="657" t="s">
        <v>77</v>
      </c>
      <c r="J37" s="657" t="s">
        <v>77</v>
      </c>
      <c r="K37" s="645" t="s">
        <v>77</v>
      </c>
    </row>
    <row r="38" spans="1:11" s="16" customFormat="1" ht="45.75">
      <c r="A38" s="24">
        <v>10</v>
      </c>
      <c r="B38" s="682" t="s">
        <v>2106</v>
      </c>
      <c r="C38" s="666">
        <v>8</v>
      </c>
      <c r="D38" s="666">
        <v>0</v>
      </c>
      <c r="E38" s="666">
        <v>2</v>
      </c>
      <c r="F38" s="667">
        <v>-2</v>
      </c>
      <c r="G38" s="657" t="s">
        <v>77</v>
      </c>
      <c r="H38" s="657" t="s">
        <v>2100</v>
      </c>
      <c r="I38" s="657" t="s">
        <v>77</v>
      </c>
      <c r="J38" s="657" t="s">
        <v>77</v>
      </c>
      <c r="K38" s="645" t="s">
        <v>77</v>
      </c>
    </row>
    <row r="39" spans="1:11" s="16" customFormat="1" ht="45.75">
      <c r="A39" s="24">
        <v>11</v>
      </c>
      <c r="B39" s="682" t="s">
        <v>2107</v>
      </c>
      <c r="C39" s="666">
        <v>9</v>
      </c>
      <c r="D39" s="666">
        <v>1</v>
      </c>
      <c r="E39" s="666">
        <v>1</v>
      </c>
      <c r="F39" s="667">
        <v>0</v>
      </c>
      <c r="G39" s="676" t="s">
        <v>2108</v>
      </c>
      <c r="H39" s="657" t="s">
        <v>1975</v>
      </c>
      <c r="I39" s="355" t="s">
        <v>2109</v>
      </c>
      <c r="J39" s="656" t="s">
        <v>2066</v>
      </c>
      <c r="K39" s="684" t="s">
        <v>2110</v>
      </c>
    </row>
    <row r="40" spans="1:11" s="16" customFormat="1" ht="30.75">
      <c r="A40" s="24">
        <v>12</v>
      </c>
      <c r="B40" s="682" t="s">
        <v>2111</v>
      </c>
      <c r="C40" s="666">
        <v>8</v>
      </c>
      <c r="D40" s="666">
        <v>0</v>
      </c>
      <c r="E40" s="666">
        <v>2</v>
      </c>
      <c r="F40" s="667">
        <v>-2</v>
      </c>
      <c r="G40" s="657" t="s">
        <v>77</v>
      </c>
      <c r="H40" s="657" t="s">
        <v>2112</v>
      </c>
      <c r="I40" s="657" t="s">
        <v>77</v>
      </c>
      <c r="J40" s="645" t="s">
        <v>77</v>
      </c>
      <c r="K40" s="685" t="s">
        <v>77</v>
      </c>
    </row>
    <row r="41" spans="1:11" s="16" customFormat="1" ht="30.75">
      <c r="A41" s="24">
        <v>13</v>
      </c>
      <c r="B41" s="682" t="s">
        <v>2113</v>
      </c>
      <c r="C41" s="666">
        <v>7</v>
      </c>
      <c r="D41" s="666">
        <v>0</v>
      </c>
      <c r="E41" s="666">
        <v>2</v>
      </c>
      <c r="F41" s="667">
        <v>-2</v>
      </c>
      <c r="G41" s="657" t="s">
        <v>77</v>
      </c>
      <c r="H41" s="657" t="s">
        <v>2112</v>
      </c>
      <c r="I41" s="657" t="s">
        <v>77</v>
      </c>
      <c r="J41" s="645" t="s">
        <v>77</v>
      </c>
      <c r="K41" s="685" t="s">
        <v>77</v>
      </c>
    </row>
    <row r="42" spans="1:11" s="16" customFormat="1" ht="30.75">
      <c r="A42" s="24">
        <v>14</v>
      </c>
      <c r="B42" s="682" t="s">
        <v>2114</v>
      </c>
      <c r="C42" s="666">
        <v>10</v>
      </c>
      <c r="D42" s="666">
        <v>0</v>
      </c>
      <c r="E42" s="666">
        <v>1</v>
      </c>
      <c r="F42" s="667">
        <v>-1</v>
      </c>
      <c r="G42" s="657" t="s">
        <v>77</v>
      </c>
      <c r="H42" s="657" t="s">
        <v>2115</v>
      </c>
      <c r="I42" s="657" t="s">
        <v>77</v>
      </c>
      <c r="J42" s="645" t="s">
        <v>77</v>
      </c>
      <c r="K42" s="685" t="s">
        <v>77</v>
      </c>
    </row>
    <row r="43" spans="1:11" s="16" customFormat="1" ht="30.75">
      <c r="A43" s="24">
        <v>15</v>
      </c>
      <c r="B43" s="682" t="s">
        <v>2116</v>
      </c>
      <c r="C43" s="666">
        <v>8</v>
      </c>
      <c r="D43" s="666">
        <v>0</v>
      </c>
      <c r="E43" s="666">
        <v>1</v>
      </c>
      <c r="F43" s="667">
        <v>-1</v>
      </c>
      <c r="G43" s="657" t="s">
        <v>77</v>
      </c>
      <c r="H43" s="657" t="s">
        <v>2115</v>
      </c>
      <c r="I43" s="657" t="s">
        <v>77</v>
      </c>
      <c r="J43" s="645" t="s">
        <v>77</v>
      </c>
      <c r="K43" s="685" t="s">
        <v>77</v>
      </c>
    </row>
    <row r="44" spans="1:11" s="16" customFormat="1" ht="30.75">
      <c r="A44" s="24">
        <v>16</v>
      </c>
      <c r="B44" s="682" t="s">
        <v>2117</v>
      </c>
      <c r="C44" s="666">
        <v>8</v>
      </c>
      <c r="D44" s="666">
        <v>1</v>
      </c>
      <c r="E44" s="666">
        <v>1</v>
      </c>
      <c r="F44" s="667">
        <v>0</v>
      </c>
      <c r="G44" s="676" t="s">
        <v>2118</v>
      </c>
      <c r="H44" s="657" t="s">
        <v>1975</v>
      </c>
      <c r="I44" s="355" t="s">
        <v>2119</v>
      </c>
      <c r="J44" s="686" t="s">
        <v>2066</v>
      </c>
      <c r="K44" s="684" t="s">
        <v>2120</v>
      </c>
    </row>
    <row r="45" spans="1:11" s="16" customFormat="1" ht="30.75">
      <c r="A45" s="24">
        <v>17</v>
      </c>
      <c r="B45" s="682" t="s">
        <v>1295</v>
      </c>
      <c r="C45" s="666">
        <v>8</v>
      </c>
      <c r="D45" s="666">
        <v>1</v>
      </c>
      <c r="E45" s="666">
        <v>2</v>
      </c>
      <c r="F45" s="667">
        <v>-1</v>
      </c>
      <c r="G45" s="676" t="s">
        <v>2121</v>
      </c>
      <c r="H45" s="657" t="s">
        <v>1975</v>
      </c>
      <c r="I45" s="355" t="s">
        <v>2122</v>
      </c>
      <c r="J45" s="675" t="s">
        <v>2066</v>
      </c>
      <c r="K45" s="684" t="s">
        <v>2120</v>
      </c>
    </row>
    <row r="46" spans="1:11" s="16" customFormat="1" ht="45.75">
      <c r="A46" s="24">
        <v>18</v>
      </c>
      <c r="B46" s="682" t="s">
        <v>1246</v>
      </c>
      <c r="C46" s="666">
        <v>7</v>
      </c>
      <c r="D46" s="666">
        <v>1</v>
      </c>
      <c r="E46" s="666">
        <v>1</v>
      </c>
      <c r="F46" s="667">
        <v>0</v>
      </c>
      <c r="G46" s="676" t="s">
        <v>2123</v>
      </c>
      <c r="H46" s="657" t="s">
        <v>1975</v>
      </c>
      <c r="I46" s="355" t="s">
        <v>2109</v>
      </c>
      <c r="J46" s="675" t="s">
        <v>2066</v>
      </c>
      <c r="K46" s="684" t="s">
        <v>2110</v>
      </c>
    </row>
    <row r="47" spans="1:11" s="16" customFormat="1" ht="30.75">
      <c r="A47" s="24">
        <v>19</v>
      </c>
      <c r="B47" s="682" t="s">
        <v>2124</v>
      </c>
      <c r="C47" s="666">
        <v>9</v>
      </c>
      <c r="D47" s="666">
        <v>0</v>
      </c>
      <c r="E47" s="666">
        <v>2</v>
      </c>
      <c r="F47" s="667">
        <v>-2</v>
      </c>
      <c r="G47" s="657" t="s">
        <v>77</v>
      </c>
      <c r="H47" s="657" t="s">
        <v>2100</v>
      </c>
      <c r="I47" s="657" t="s">
        <v>77</v>
      </c>
      <c r="J47" s="657" t="s">
        <v>77</v>
      </c>
      <c r="K47" s="645" t="s">
        <v>77</v>
      </c>
    </row>
    <row r="48" spans="1:11" s="16" customFormat="1" ht="30.75">
      <c r="A48" s="24">
        <v>20</v>
      </c>
      <c r="B48" s="682" t="s">
        <v>2125</v>
      </c>
      <c r="C48" s="666">
        <v>8</v>
      </c>
      <c r="D48" s="666">
        <v>0</v>
      </c>
      <c r="E48" s="666">
        <v>2</v>
      </c>
      <c r="F48" s="667">
        <v>-2</v>
      </c>
      <c r="G48" s="657" t="s">
        <v>77</v>
      </c>
      <c r="H48" s="657" t="s">
        <v>2100</v>
      </c>
      <c r="I48" s="657" t="s">
        <v>77</v>
      </c>
      <c r="J48" s="657" t="s">
        <v>77</v>
      </c>
      <c r="K48" s="645" t="s">
        <v>77</v>
      </c>
    </row>
    <row r="49" spans="1:11" s="16" customFormat="1" ht="30.75">
      <c r="A49" s="24">
        <v>21</v>
      </c>
      <c r="B49" s="682" t="s">
        <v>1301</v>
      </c>
      <c r="C49" s="666">
        <v>7</v>
      </c>
      <c r="D49" s="666">
        <v>0</v>
      </c>
      <c r="E49" s="666">
        <v>2</v>
      </c>
      <c r="F49" s="667">
        <v>-2</v>
      </c>
      <c r="G49" s="657" t="s">
        <v>77</v>
      </c>
      <c r="H49" s="657" t="s">
        <v>2100</v>
      </c>
      <c r="I49" s="657" t="s">
        <v>77</v>
      </c>
      <c r="J49" s="657" t="s">
        <v>77</v>
      </c>
      <c r="K49" s="645" t="s">
        <v>77</v>
      </c>
    </row>
    <row r="50" spans="1:11" s="16" customFormat="1" ht="30.75">
      <c r="A50" s="24">
        <v>22</v>
      </c>
      <c r="B50" s="682" t="s">
        <v>1793</v>
      </c>
      <c r="C50" s="666">
        <v>7</v>
      </c>
      <c r="D50" s="666">
        <v>1</v>
      </c>
      <c r="E50" s="666">
        <v>1</v>
      </c>
      <c r="F50" s="667">
        <v>0</v>
      </c>
      <c r="G50" s="676" t="s">
        <v>2126</v>
      </c>
      <c r="H50" s="657" t="s">
        <v>1975</v>
      </c>
      <c r="I50" s="355" t="s">
        <v>2109</v>
      </c>
      <c r="J50" s="675" t="s">
        <v>2066</v>
      </c>
      <c r="K50" s="684" t="s">
        <v>2110</v>
      </c>
    </row>
    <row r="51" spans="1:11" s="16" customFormat="1">
      <c r="A51" s="1622">
        <v>23</v>
      </c>
      <c r="B51" s="1632" t="s">
        <v>2127</v>
      </c>
      <c r="C51" s="1619">
        <v>6</v>
      </c>
      <c r="D51" s="1619">
        <v>3</v>
      </c>
      <c r="E51" s="1619">
        <v>3</v>
      </c>
      <c r="F51" s="1619">
        <v>0</v>
      </c>
      <c r="G51" s="678" t="s">
        <v>2128</v>
      </c>
      <c r="H51" s="1637" t="s">
        <v>1975</v>
      </c>
      <c r="I51" s="1605" t="s">
        <v>2109</v>
      </c>
      <c r="J51" s="675" t="s">
        <v>2066</v>
      </c>
      <c r="K51" s="1605" t="s">
        <v>2110</v>
      </c>
    </row>
    <row r="52" spans="1:11" s="16" customFormat="1">
      <c r="A52" s="1623"/>
      <c r="B52" s="1633"/>
      <c r="C52" s="1620"/>
      <c r="D52" s="1620"/>
      <c r="E52" s="1620"/>
      <c r="F52" s="1635"/>
      <c r="G52" s="679" t="s">
        <v>2129</v>
      </c>
      <c r="H52" s="1638"/>
      <c r="I52" s="1606"/>
      <c r="J52" s="675" t="s">
        <v>2066</v>
      </c>
      <c r="K52" s="1606"/>
    </row>
    <row r="53" spans="1:11" s="16" customFormat="1">
      <c r="A53" s="1624"/>
      <c r="B53" s="1634"/>
      <c r="C53" s="1621"/>
      <c r="D53" s="1621"/>
      <c r="E53" s="1621"/>
      <c r="F53" s="1636"/>
      <c r="G53" s="680" t="s">
        <v>2130</v>
      </c>
      <c r="H53" s="1639"/>
      <c r="I53" s="1607"/>
      <c r="J53" s="675" t="s">
        <v>77</v>
      </c>
      <c r="K53" s="1607"/>
    </row>
  </sheetData>
  <mergeCells count="46">
    <mergeCell ref="H7:H9"/>
    <mergeCell ref="H10:H31"/>
    <mergeCell ref="F10:F31"/>
    <mergeCell ref="A7:A9"/>
    <mergeCell ref="B7:B9"/>
    <mergeCell ref="C7:C9"/>
    <mergeCell ref="D7:D9"/>
    <mergeCell ref="E7:E9"/>
    <mergeCell ref="F7:F9"/>
    <mergeCell ref="I2:I3"/>
    <mergeCell ref="K2:K3"/>
    <mergeCell ref="J2:J3"/>
    <mergeCell ref="A51:A53"/>
    <mergeCell ref="B51:B53"/>
    <mergeCell ref="C51:C53"/>
    <mergeCell ref="D51:D53"/>
    <mergeCell ref="E51:E53"/>
    <mergeCell ref="F51:F53"/>
    <mergeCell ref="H51:H53"/>
    <mergeCell ref="H34:H36"/>
    <mergeCell ref="A34:A36"/>
    <mergeCell ref="B34:B36"/>
    <mergeCell ref="C34:C36"/>
    <mergeCell ref="D34:D36"/>
    <mergeCell ref="E34:E36"/>
    <mergeCell ref="F34:F36"/>
    <mergeCell ref="A10:A31"/>
    <mergeCell ref="B10:B31"/>
    <mergeCell ref="C10:C31"/>
    <mergeCell ref="D10:D31"/>
    <mergeCell ref="E10:E31"/>
    <mergeCell ref="A2:A3"/>
    <mergeCell ref="G2:G3"/>
    <mergeCell ref="H2:H3"/>
    <mergeCell ref="B2:B3"/>
    <mergeCell ref="C2:C3"/>
    <mergeCell ref="D2:D3"/>
    <mergeCell ref="E2:E3"/>
    <mergeCell ref="F2:F3"/>
    <mergeCell ref="K51:K53"/>
    <mergeCell ref="I51:I53"/>
    <mergeCell ref="I34:I36"/>
    <mergeCell ref="I10:I31"/>
    <mergeCell ref="I7:I9"/>
    <mergeCell ref="K7:K9"/>
    <mergeCell ref="K10:K3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43A89-E445-43F4-A122-809DC635E046}">
  <dimension ref="A2:K63"/>
  <sheetViews>
    <sheetView workbookViewId="0">
      <selection activeCell="G32" sqref="G32"/>
    </sheetView>
  </sheetViews>
  <sheetFormatPr defaultRowHeight="15"/>
  <cols>
    <col min="1" max="1" width="6" customWidth="1"/>
    <col min="2" max="2" width="21.5703125" style="699" customWidth="1"/>
    <col min="3" max="3" width="8.5703125" style="693" customWidth="1"/>
    <col min="4" max="4" width="8.85546875" style="693" customWidth="1"/>
    <col min="5" max="5" width="11.140625" style="693" customWidth="1"/>
    <col min="6" max="6" width="7.7109375" style="693" customWidth="1"/>
    <col min="7" max="7" width="35.42578125" style="699" customWidth="1"/>
    <col min="8" max="8" width="18.85546875" style="699" customWidth="1"/>
    <col min="9" max="9" width="48" style="593" customWidth="1"/>
    <col min="10" max="10" width="11.85546875" style="699" customWidth="1"/>
    <col min="11" max="11" width="23.85546875" style="593" customWidth="1"/>
  </cols>
  <sheetData>
    <row r="2" spans="1:11" ht="25.5" customHeight="1">
      <c r="A2" s="1611" t="s">
        <v>0</v>
      </c>
      <c r="B2" s="1613" t="s">
        <v>1206</v>
      </c>
      <c r="C2" s="1615" t="s">
        <v>2055</v>
      </c>
      <c r="D2" s="1615" t="s">
        <v>2056</v>
      </c>
      <c r="E2" s="1615" t="s">
        <v>2057</v>
      </c>
      <c r="F2" s="1617" t="s">
        <v>2058</v>
      </c>
      <c r="G2" s="1612" t="s">
        <v>2059</v>
      </c>
      <c r="H2" s="1611" t="s">
        <v>9</v>
      </c>
      <c r="I2" s="1611" t="s">
        <v>2060</v>
      </c>
      <c r="J2" s="1611" t="s">
        <v>2061</v>
      </c>
      <c r="K2" s="1611" t="s">
        <v>2062</v>
      </c>
    </row>
    <row r="3" spans="1:11" ht="23.25" customHeight="1">
      <c r="A3" s="1611"/>
      <c r="B3" s="1614"/>
      <c r="C3" s="1616"/>
      <c r="D3" s="1616"/>
      <c r="E3" s="1616"/>
      <c r="F3" s="1618"/>
      <c r="G3" s="1612"/>
      <c r="H3" s="1611"/>
      <c r="I3" s="1631"/>
      <c r="J3" s="1631"/>
      <c r="K3" s="1631"/>
    </row>
    <row r="4" spans="1:11" ht="152.25">
      <c r="A4" s="708">
        <v>1</v>
      </c>
      <c r="B4" s="694" t="s">
        <v>2063</v>
      </c>
      <c r="C4" s="692">
        <v>13</v>
      </c>
      <c r="D4" s="692">
        <v>1</v>
      </c>
      <c r="E4" s="692">
        <v>1</v>
      </c>
      <c r="F4" s="692">
        <v>0</v>
      </c>
      <c r="G4" s="704" t="s">
        <v>2064</v>
      </c>
      <c r="H4" s="711" t="s">
        <v>1975</v>
      </c>
      <c r="I4" s="28" t="s">
        <v>2131</v>
      </c>
      <c r="J4" s="28" t="s">
        <v>2066</v>
      </c>
      <c r="K4" s="28" t="s">
        <v>2132</v>
      </c>
    </row>
    <row r="5" spans="1:11" ht="152.25">
      <c r="A5" s="709">
        <v>2</v>
      </c>
      <c r="B5" s="694" t="s">
        <v>2068</v>
      </c>
      <c r="C5" s="692">
        <v>10</v>
      </c>
      <c r="D5" s="692">
        <v>1</v>
      </c>
      <c r="E5" s="692">
        <v>1</v>
      </c>
      <c r="F5" s="692">
        <v>0</v>
      </c>
      <c r="G5" s="704" t="s">
        <v>2069</v>
      </c>
      <c r="H5" s="711" t="s">
        <v>1975</v>
      </c>
      <c r="I5" s="28" t="s">
        <v>2131</v>
      </c>
      <c r="J5" s="28" t="s">
        <v>2070</v>
      </c>
      <c r="K5" s="28" t="s">
        <v>2132</v>
      </c>
    </row>
    <row r="6" spans="1:11" ht="60.75">
      <c r="A6" s="709">
        <v>3</v>
      </c>
      <c r="B6" s="694" t="s">
        <v>1957</v>
      </c>
      <c r="C6" s="692">
        <v>12</v>
      </c>
      <c r="D6" s="692">
        <v>0</v>
      </c>
      <c r="E6" s="692">
        <v>4</v>
      </c>
      <c r="F6" s="692">
        <v>-4</v>
      </c>
      <c r="G6" s="689" t="s">
        <v>77</v>
      </c>
      <c r="H6" s="712" t="s">
        <v>2133</v>
      </c>
      <c r="I6" s="689" t="s">
        <v>77</v>
      </c>
      <c r="J6" s="689" t="s">
        <v>77</v>
      </c>
      <c r="K6" s="716" t="s">
        <v>77</v>
      </c>
    </row>
    <row r="7" spans="1:11" ht="15" customHeight="1">
      <c r="A7" s="1643">
        <v>4</v>
      </c>
      <c r="B7" s="1652" t="s">
        <v>22</v>
      </c>
      <c r="C7" s="1649">
        <v>10</v>
      </c>
      <c r="D7" s="1649">
        <v>3</v>
      </c>
      <c r="E7" s="1649">
        <v>16</v>
      </c>
      <c r="F7" s="1649">
        <v>-13</v>
      </c>
      <c r="G7" s="704" t="s">
        <v>2072</v>
      </c>
      <c r="H7" s="1661" t="s">
        <v>1975</v>
      </c>
      <c r="I7" s="1608" t="s">
        <v>2131</v>
      </c>
      <c r="J7" s="28" t="s">
        <v>2070</v>
      </c>
      <c r="K7" s="1608" t="s">
        <v>2132</v>
      </c>
    </row>
    <row r="8" spans="1:11">
      <c r="A8" s="1644"/>
      <c r="B8" s="1653"/>
      <c r="C8" s="1650"/>
      <c r="D8" s="1650"/>
      <c r="E8" s="1650"/>
      <c r="F8" s="1650"/>
      <c r="G8" s="706" t="s">
        <v>2074</v>
      </c>
      <c r="H8" s="1662"/>
      <c r="I8" s="1609"/>
      <c r="J8" s="28" t="s">
        <v>2070</v>
      </c>
      <c r="K8" s="1609"/>
    </row>
    <row r="9" spans="1:11">
      <c r="A9" s="1645"/>
      <c r="B9" s="1654"/>
      <c r="C9" s="1651"/>
      <c r="D9" s="1651"/>
      <c r="E9" s="1651"/>
      <c r="F9" s="1651"/>
      <c r="G9" s="704" t="s">
        <v>2075</v>
      </c>
      <c r="H9" s="1663"/>
      <c r="I9" s="1609"/>
      <c r="J9" s="28" t="s">
        <v>2070</v>
      </c>
      <c r="K9" s="1609"/>
    </row>
    <row r="10" spans="1:11">
      <c r="A10" s="1643">
        <v>5</v>
      </c>
      <c r="B10" s="1646" t="s">
        <v>13</v>
      </c>
      <c r="C10" s="1649">
        <v>8</v>
      </c>
      <c r="D10" s="1649">
        <v>20</v>
      </c>
      <c r="E10" s="1649">
        <v>26</v>
      </c>
      <c r="F10" s="1649">
        <v>-6</v>
      </c>
      <c r="G10" s="704" t="s">
        <v>2076</v>
      </c>
      <c r="H10" s="1664" t="s">
        <v>1975</v>
      </c>
      <c r="I10" s="1609"/>
      <c r="J10" s="28" t="s">
        <v>2070</v>
      </c>
      <c r="K10" s="1609"/>
    </row>
    <row r="11" spans="1:11">
      <c r="A11" s="1644"/>
      <c r="B11" s="1647"/>
      <c r="C11" s="1650"/>
      <c r="D11" s="1650"/>
      <c r="E11" s="1650"/>
      <c r="F11" s="1650"/>
      <c r="G11" s="706" t="s">
        <v>2077</v>
      </c>
      <c r="H11" s="1665"/>
      <c r="I11" s="1609"/>
      <c r="J11" s="28" t="s">
        <v>2066</v>
      </c>
      <c r="K11" s="1609"/>
    </row>
    <row r="12" spans="1:11">
      <c r="A12" s="1644"/>
      <c r="B12" s="1647"/>
      <c r="C12" s="1650"/>
      <c r="D12" s="1650"/>
      <c r="E12" s="1650"/>
      <c r="F12" s="1650"/>
      <c r="G12" s="704" t="s">
        <v>2078</v>
      </c>
      <c r="H12" s="1665"/>
      <c r="I12" s="1609"/>
      <c r="J12" s="28" t="s">
        <v>2070</v>
      </c>
      <c r="K12" s="1609"/>
    </row>
    <row r="13" spans="1:11">
      <c r="A13" s="1644"/>
      <c r="B13" s="1647"/>
      <c r="C13" s="1650"/>
      <c r="D13" s="1650"/>
      <c r="E13" s="1650"/>
      <c r="F13" s="1650"/>
      <c r="G13" s="704" t="s">
        <v>2079</v>
      </c>
      <c r="H13" s="1665"/>
      <c r="I13" s="1609"/>
      <c r="J13" s="28" t="s">
        <v>2070</v>
      </c>
      <c r="K13" s="1609"/>
    </row>
    <row r="14" spans="1:11">
      <c r="A14" s="1644"/>
      <c r="B14" s="1647"/>
      <c r="C14" s="1650"/>
      <c r="D14" s="1650"/>
      <c r="E14" s="1650"/>
      <c r="F14" s="1650"/>
      <c r="G14" s="704" t="s">
        <v>2080</v>
      </c>
      <c r="H14" s="1665"/>
      <c r="I14" s="1609"/>
      <c r="J14" s="28" t="s">
        <v>2070</v>
      </c>
      <c r="K14" s="1609"/>
    </row>
    <row r="15" spans="1:11">
      <c r="A15" s="1644"/>
      <c r="B15" s="1647"/>
      <c r="C15" s="1650"/>
      <c r="D15" s="1650"/>
      <c r="E15" s="1650"/>
      <c r="F15" s="1650"/>
      <c r="G15" s="704" t="s">
        <v>2081</v>
      </c>
      <c r="H15" s="1665"/>
      <c r="I15" s="1609"/>
      <c r="J15" s="28" t="s">
        <v>2070</v>
      </c>
      <c r="K15" s="1609"/>
    </row>
    <row r="16" spans="1:11">
      <c r="A16" s="1644"/>
      <c r="B16" s="1647"/>
      <c r="C16" s="1650"/>
      <c r="D16" s="1650"/>
      <c r="E16" s="1650"/>
      <c r="F16" s="1650"/>
      <c r="G16" s="704" t="s">
        <v>2082</v>
      </c>
      <c r="H16" s="1665"/>
      <c r="I16" s="1609"/>
      <c r="J16" s="28" t="s">
        <v>2070</v>
      </c>
      <c r="K16" s="1609"/>
    </row>
    <row r="17" spans="1:11">
      <c r="A17" s="1644"/>
      <c r="B17" s="1647"/>
      <c r="C17" s="1650"/>
      <c r="D17" s="1650"/>
      <c r="E17" s="1650"/>
      <c r="F17" s="1650"/>
      <c r="G17" s="704" t="s">
        <v>2083</v>
      </c>
      <c r="H17" s="1665"/>
      <c r="I17" s="1609"/>
      <c r="J17" s="28" t="s">
        <v>2070</v>
      </c>
      <c r="K17" s="1609"/>
    </row>
    <row r="18" spans="1:11">
      <c r="A18" s="1644"/>
      <c r="B18" s="1647"/>
      <c r="C18" s="1650"/>
      <c r="D18" s="1650"/>
      <c r="E18" s="1650"/>
      <c r="F18" s="1650"/>
      <c r="G18" s="704" t="s">
        <v>2084</v>
      </c>
      <c r="H18" s="1665"/>
      <c r="I18" s="1609"/>
      <c r="J18" s="28" t="s">
        <v>2070</v>
      </c>
      <c r="K18" s="1609"/>
    </row>
    <row r="19" spans="1:11">
      <c r="A19" s="1644"/>
      <c r="B19" s="1647"/>
      <c r="C19" s="1650"/>
      <c r="D19" s="1650"/>
      <c r="E19" s="1650"/>
      <c r="F19" s="1650"/>
      <c r="G19" s="706" t="s">
        <v>2085</v>
      </c>
      <c r="H19" s="1665"/>
      <c r="I19" s="1609"/>
      <c r="J19" s="28" t="s">
        <v>2066</v>
      </c>
      <c r="K19" s="1609"/>
    </row>
    <row r="20" spans="1:11">
      <c r="A20" s="1644"/>
      <c r="B20" s="1647"/>
      <c r="C20" s="1650"/>
      <c r="D20" s="1650"/>
      <c r="E20" s="1650"/>
      <c r="F20" s="1650"/>
      <c r="G20" s="704" t="s">
        <v>2086</v>
      </c>
      <c r="H20" s="1665"/>
      <c r="I20" s="1609"/>
      <c r="J20" s="28" t="s">
        <v>2066</v>
      </c>
      <c r="K20" s="1609"/>
    </row>
    <row r="21" spans="1:11">
      <c r="A21" s="1644"/>
      <c r="B21" s="1647"/>
      <c r="C21" s="1650"/>
      <c r="D21" s="1650"/>
      <c r="E21" s="1650"/>
      <c r="F21" s="1650"/>
      <c r="G21" s="704" t="s">
        <v>2087</v>
      </c>
      <c r="H21" s="1665"/>
      <c r="I21" s="1609"/>
      <c r="J21" s="28" t="s">
        <v>2066</v>
      </c>
      <c r="K21" s="1609"/>
    </row>
    <row r="22" spans="1:11">
      <c r="A22" s="1644"/>
      <c r="B22" s="1647"/>
      <c r="C22" s="1650"/>
      <c r="D22" s="1650"/>
      <c r="E22" s="1650"/>
      <c r="F22" s="1650"/>
      <c r="G22" s="704" t="s">
        <v>2088</v>
      </c>
      <c r="H22" s="1665"/>
      <c r="I22" s="1609"/>
      <c r="J22" s="28" t="s">
        <v>2070</v>
      </c>
      <c r="K22" s="1609"/>
    </row>
    <row r="23" spans="1:11">
      <c r="A23" s="1644"/>
      <c r="B23" s="1647"/>
      <c r="C23" s="1650"/>
      <c r="D23" s="1650"/>
      <c r="E23" s="1650"/>
      <c r="F23" s="1650"/>
      <c r="G23" s="706" t="s">
        <v>2089</v>
      </c>
      <c r="H23" s="1665"/>
      <c r="I23" s="1609"/>
      <c r="J23" s="28" t="s">
        <v>2070</v>
      </c>
      <c r="K23" s="1609"/>
    </row>
    <row r="24" spans="1:11">
      <c r="A24" s="1644"/>
      <c r="B24" s="1647"/>
      <c r="C24" s="1650"/>
      <c r="D24" s="1650"/>
      <c r="E24" s="1650"/>
      <c r="F24" s="1650"/>
      <c r="G24" s="704" t="s">
        <v>2090</v>
      </c>
      <c r="H24" s="1665"/>
      <c r="I24" s="1609"/>
      <c r="J24" s="28" t="s">
        <v>2066</v>
      </c>
      <c r="K24" s="1609"/>
    </row>
    <row r="25" spans="1:11">
      <c r="A25" s="1644"/>
      <c r="B25" s="1647"/>
      <c r="C25" s="1650"/>
      <c r="D25" s="1650"/>
      <c r="E25" s="1650"/>
      <c r="F25" s="1650"/>
      <c r="G25" s="704" t="s">
        <v>2091</v>
      </c>
      <c r="H25" s="1665"/>
      <c r="I25" s="1609"/>
      <c r="J25" s="28" t="s">
        <v>2066</v>
      </c>
      <c r="K25" s="1609"/>
    </row>
    <row r="26" spans="1:11">
      <c r="A26" s="1644"/>
      <c r="B26" s="1647"/>
      <c r="C26" s="1650"/>
      <c r="D26" s="1650"/>
      <c r="E26" s="1650"/>
      <c r="F26" s="1650"/>
      <c r="G26" s="704" t="s">
        <v>2092</v>
      </c>
      <c r="H26" s="1665"/>
      <c r="I26" s="1609"/>
      <c r="J26" s="28" t="s">
        <v>2066</v>
      </c>
      <c r="K26" s="1609"/>
    </row>
    <row r="27" spans="1:11">
      <c r="A27" s="1644"/>
      <c r="B27" s="1647"/>
      <c r="C27" s="1650"/>
      <c r="D27" s="1650"/>
      <c r="E27" s="1650"/>
      <c r="F27" s="1650"/>
      <c r="G27" s="704" t="s">
        <v>2093</v>
      </c>
      <c r="H27" s="1665"/>
      <c r="I27" s="1609"/>
      <c r="J27" s="28" t="s">
        <v>2066</v>
      </c>
      <c r="K27" s="1609"/>
    </row>
    <row r="28" spans="1:11">
      <c r="A28" s="1644"/>
      <c r="B28" s="1647"/>
      <c r="C28" s="1650"/>
      <c r="D28" s="1650"/>
      <c r="E28" s="1650"/>
      <c r="F28" s="1650"/>
      <c r="G28" s="706" t="s">
        <v>2134</v>
      </c>
      <c r="H28" s="1665"/>
      <c r="I28" s="1609"/>
      <c r="J28" s="28" t="s">
        <v>2070</v>
      </c>
      <c r="K28" s="1609"/>
    </row>
    <row r="29" spans="1:11">
      <c r="A29" s="1645"/>
      <c r="B29" s="1648"/>
      <c r="C29" s="1651"/>
      <c r="D29" s="1651"/>
      <c r="E29" s="1651"/>
      <c r="F29" s="1651"/>
      <c r="G29" s="706" t="s">
        <v>2135</v>
      </c>
      <c r="H29" s="1666"/>
      <c r="I29" s="1609"/>
      <c r="J29" s="28" t="s">
        <v>2070</v>
      </c>
      <c r="K29" s="1610"/>
    </row>
    <row r="30" spans="1:11" ht="91.5">
      <c r="A30" s="709">
        <v>6</v>
      </c>
      <c r="B30" s="694" t="s">
        <v>162</v>
      </c>
      <c r="C30" s="692">
        <v>10</v>
      </c>
      <c r="D30" s="692">
        <v>1</v>
      </c>
      <c r="E30" s="692">
        <v>2</v>
      </c>
      <c r="F30" s="692">
        <v>-1</v>
      </c>
      <c r="G30" s="704" t="s">
        <v>2098</v>
      </c>
      <c r="H30" s="711" t="s">
        <v>1975</v>
      </c>
      <c r="I30" s="28" t="s">
        <v>2136</v>
      </c>
      <c r="J30" s="721" t="s">
        <v>2070</v>
      </c>
      <c r="K30" s="717" t="s">
        <v>2132</v>
      </c>
    </row>
    <row r="31" spans="1:11" ht="30.75">
      <c r="A31" s="709">
        <v>7</v>
      </c>
      <c r="B31" s="694" t="s">
        <v>1801</v>
      </c>
      <c r="C31" s="692">
        <v>8</v>
      </c>
      <c r="D31" s="692">
        <v>0</v>
      </c>
      <c r="E31" s="692">
        <v>2</v>
      </c>
      <c r="F31" s="692">
        <v>-2</v>
      </c>
      <c r="G31" s="716" t="s">
        <v>77</v>
      </c>
      <c r="H31" s="711" t="s">
        <v>2100</v>
      </c>
      <c r="I31" s="690" t="s">
        <v>77</v>
      </c>
      <c r="J31" s="689" t="s">
        <v>77</v>
      </c>
      <c r="K31" s="716" t="s">
        <v>77</v>
      </c>
    </row>
    <row r="32" spans="1:11" ht="46.5" customHeight="1">
      <c r="A32" s="1643">
        <v>8</v>
      </c>
      <c r="B32" s="1655" t="s">
        <v>2101</v>
      </c>
      <c r="C32" s="1657">
        <v>7</v>
      </c>
      <c r="D32" s="1657">
        <v>2</v>
      </c>
      <c r="E32" s="1657">
        <v>4</v>
      </c>
      <c r="F32" s="1657">
        <v>-2</v>
      </c>
      <c r="G32" s="706" t="s">
        <v>2102</v>
      </c>
      <c r="H32" s="1664" t="s">
        <v>1975</v>
      </c>
      <c r="I32" s="1667" t="s">
        <v>2136</v>
      </c>
      <c r="J32" s="28" t="s">
        <v>2066</v>
      </c>
      <c r="K32" s="1608" t="s">
        <v>2132</v>
      </c>
    </row>
    <row r="33" spans="1:11" ht="46.5" customHeight="1">
      <c r="A33" s="1645"/>
      <c r="B33" s="1656"/>
      <c r="C33" s="1658"/>
      <c r="D33" s="1658"/>
      <c r="E33" s="1658"/>
      <c r="F33" s="1658"/>
      <c r="G33" s="704" t="s">
        <v>2103</v>
      </c>
      <c r="H33" s="1665"/>
      <c r="I33" s="1668"/>
      <c r="J33" s="688" t="s">
        <v>2066</v>
      </c>
      <c r="K33" s="1610"/>
    </row>
    <row r="34" spans="1:11" ht="30.75">
      <c r="A34" s="709">
        <v>9</v>
      </c>
      <c r="B34" s="697" t="s">
        <v>2105</v>
      </c>
      <c r="C34" s="701">
        <v>10</v>
      </c>
      <c r="D34" s="701">
        <v>0</v>
      </c>
      <c r="E34" s="701">
        <v>2</v>
      </c>
      <c r="F34" s="701">
        <v>-2</v>
      </c>
      <c r="G34" s="716" t="s">
        <v>77</v>
      </c>
      <c r="H34" s="714" t="s">
        <v>2115</v>
      </c>
      <c r="I34" s="716" t="s">
        <v>77</v>
      </c>
      <c r="J34" s="716" t="s">
        <v>77</v>
      </c>
      <c r="K34" s="716" t="s">
        <v>77</v>
      </c>
    </row>
    <row r="35" spans="1:11" ht="30.75">
      <c r="A35" s="709">
        <v>10</v>
      </c>
      <c r="B35" s="697" t="s">
        <v>2106</v>
      </c>
      <c r="C35" s="701">
        <v>8</v>
      </c>
      <c r="D35" s="701">
        <v>0</v>
      </c>
      <c r="E35" s="701">
        <v>2</v>
      </c>
      <c r="F35" s="701">
        <v>-2</v>
      </c>
      <c r="G35" s="716" t="s">
        <v>77</v>
      </c>
      <c r="H35" s="714" t="s">
        <v>2115</v>
      </c>
      <c r="I35" s="716" t="s">
        <v>77</v>
      </c>
      <c r="J35" s="716" t="s">
        <v>77</v>
      </c>
      <c r="K35" s="716" t="s">
        <v>77</v>
      </c>
    </row>
    <row r="36" spans="1:11" ht="30.75">
      <c r="A36" s="709">
        <v>11</v>
      </c>
      <c r="B36" s="697" t="s">
        <v>2107</v>
      </c>
      <c r="C36" s="701">
        <v>9</v>
      </c>
      <c r="D36" s="701">
        <v>1</v>
      </c>
      <c r="E36" s="701">
        <v>1</v>
      </c>
      <c r="F36" s="701">
        <v>0</v>
      </c>
      <c r="G36" s="704" t="s">
        <v>2108</v>
      </c>
      <c r="H36" s="713" t="s">
        <v>1975</v>
      </c>
      <c r="I36" s="355" t="s">
        <v>2109</v>
      </c>
      <c r="J36" s="28" t="s">
        <v>2066</v>
      </c>
      <c r="K36" s="684" t="s">
        <v>2110</v>
      </c>
    </row>
    <row r="37" spans="1:11" ht="30.75">
      <c r="A37" s="709">
        <v>12</v>
      </c>
      <c r="B37" s="697" t="s">
        <v>2111</v>
      </c>
      <c r="C37" s="701">
        <v>8</v>
      </c>
      <c r="D37" s="701">
        <v>0</v>
      </c>
      <c r="E37" s="701">
        <v>2</v>
      </c>
      <c r="F37" s="701">
        <v>-2</v>
      </c>
      <c r="G37" s="716" t="s">
        <v>77</v>
      </c>
      <c r="H37" s="711" t="s">
        <v>2112</v>
      </c>
      <c r="I37" s="657" t="s">
        <v>77</v>
      </c>
      <c r="J37" s="716" t="s">
        <v>77</v>
      </c>
      <c r="K37" s="685" t="s">
        <v>77</v>
      </c>
    </row>
    <row r="38" spans="1:11" ht="30.75">
      <c r="A38" s="709">
        <v>13</v>
      </c>
      <c r="B38" s="697" t="s">
        <v>2113</v>
      </c>
      <c r="C38" s="701">
        <v>7</v>
      </c>
      <c r="D38" s="701">
        <v>0</v>
      </c>
      <c r="E38" s="701">
        <v>2</v>
      </c>
      <c r="F38" s="701">
        <v>-2</v>
      </c>
      <c r="G38" s="716" t="s">
        <v>77</v>
      </c>
      <c r="H38" s="711" t="s">
        <v>2112</v>
      </c>
      <c r="I38" s="657" t="s">
        <v>77</v>
      </c>
      <c r="J38" s="716" t="s">
        <v>77</v>
      </c>
      <c r="K38" s="685" t="s">
        <v>77</v>
      </c>
    </row>
    <row r="39" spans="1:11" ht="30.75">
      <c r="A39" s="709">
        <v>14</v>
      </c>
      <c r="B39" s="697" t="s">
        <v>2114</v>
      </c>
      <c r="C39" s="701">
        <v>10</v>
      </c>
      <c r="D39" s="701">
        <v>0</v>
      </c>
      <c r="E39" s="701">
        <v>1</v>
      </c>
      <c r="F39" s="701">
        <v>-1</v>
      </c>
      <c r="G39" s="716" t="s">
        <v>77</v>
      </c>
      <c r="H39" s="711" t="s">
        <v>2115</v>
      </c>
      <c r="I39" s="657" t="s">
        <v>77</v>
      </c>
      <c r="J39" s="716" t="s">
        <v>77</v>
      </c>
      <c r="K39" s="685" t="s">
        <v>77</v>
      </c>
    </row>
    <row r="40" spans="1:11" ht="30.75">
      <c r="A40" s="709">
        <v>15</v>
      </c>
      <c r="B40" s="697" t="s">
        <v>2116</v>
      </c>
      <c r="C40" s="701">
        <v>8</v>
      </c>
      <c r="D40" s="701">
        <v>0</v>
      </c>
      <c r="E40" s="701">
        <v>1</v>
      </c>
      <c r="F40" s="701">
        <v>-1</v>
      </c>
      <c r="G40" s="716" t="s">
        <v>77</v>
      </c>
      <c r="H40" s="711" t="s">
        <v>2115</v>
      </c>
      <c r="I40" s="657" t="s">
        <v>77</v>
      </c>
      <c r="J40" s="716" t="s">
        <v>77</v>
      </c>
      <c r="K40" s="685" t="s">
        <v>77</v>
      </c>
    </row>
    <row r="41" spans="1:11" ht="30.75">
      <c r="A41" s="709">
        <v>16</v>
      </c>
      <c r="B41" s="697" t="s">
        <v>2117</v>
      </c>
      <c r="C41" s="701">
        <v>8</v>
      </c>
      <c r="D41" s="701">
        <v>1</v>
      </c>
      <c r="E41" s="701">
        <v>1</v>
      </c>
      <c r="F41" s="701">
        <v>0</v>
      </c>
      <c r="G41" s="704" t="s">
        <v>2118</v>
      </c>
      <c r="H41" s="711" t="s">
        <v>1975</v>
      </c>
      <c r="I41" s="355" t="s">
        <v>2119</v>
      </c>
      <c r="J41" s="28" t="s">
        <v>2066</v>
      </c>
      <c r="K41" s="684" t="s">
        <v>2120</v>
      </c>
    </row>
    <row r="42" spans="1:11" ht="30.75">
      <c r="A42" s="709">
        <v>17</v>
      </c>
      <c r="B42" s="697" t="s">
        <v>1295</v>
      </c>
      <c r="C42" s="701">
        <v>8</v>
      </c>
      <c r="D42" s="701">
        <v>1</v>
      </c>
      <c r="E42" s="701">
        <v>2</v>
      </c>
      <c r="F42" s="701">
        <v>-1</v>
      </c>
      <c r="G42" s="704" t="s">
        <v>2121</v>
      </c>
      <c r="H42" s="711" t="s">
        <v>1975</v>
      </c>
      <c r="I42" s="355" t="s">
        <v>2122</v>
      </c>
      <c r="J42" s="28" t="s">
        <v>2066</v>
      </c>
      <c r="K42" s="684" t="s">
        <v>2120</v>
      </c>
    </row>
    <row r="43" spans="1:11" ht="30.75">
      <c r="A43" s="709">
        <v>18</v>
      </c>
      <c r="B43" s="697" t="s">
        <v>1246</v>
      </c>
      <c r="C43" s="701">
        <v>7</v>
      </c>
      <c r="D43" s="701">
        <v>1</v>
      </c>
      <c r="E43" s="701">
        <v>1</v>
      </c>
      <c r="F43" s="701">
        <v>0</v>
      </c>
      <c r="G43" s="704" t="s">
        <v>2123</v>
      </c>
      <c r="H43" s="711" t="s">
        <v>1975</v>
      </c>
      <c r="I43" s="355" t="s">
        <v>2109</v>
      </c>
      <c r="J43" s="28" t="s">
        <v>2066</v>
      </c>
      <c r="K43" s="684" t="s">
        <v>2110</v>
      </c>
    </row>
    <row r="44" spans="1:11" ht="30.75">
      <c r="A44" s="709">
        <v>19</v>
      </c>
      <c r="B44" s="697" t="s">
        <v>2124</v>
      </c>
      <c r="C44" s="701">
        <v>9</v>
      </c>
      <c r="D44" s="701">
        <v>0</v>
      </c>
      <c r="E44" s="701">
        <v>2</v>
      </c>
      <c r="F44" s="701">
        <v>-2</v>
      </c>
      <c r="G44" s="716" t="s">
        <v>77</v>
      </c>
      <c r="H44" s="711" t="s">
        <v>2100</v>
      </c>
      <c r="I44" s="657" t="s">
        <v>77</v>
      </c>
      <c r="J44" s="716" t="s">
        <v>77</v>
      </c>
      <c r="K44" s="645" t="s">
        <v>77</v>
      </c>
    </row>
    <row r="45" spans="1:11" ht="30.75">
      <c r="A45" s="709">
        <v>20</v>
      </c>
      <c r="B45" s="697" t="s">
        <v>2125</v>
      </c>
      <c r="C45" s="701">
        <v>8</v>
      </c>
      <c r="D45" s="701">
        <v>0</v>
      </c>
      <c r="E45" s="701">
        <v>2</v>
      </c>
      <c r="F45" s="701">
        <v>-2</v>
      </c>
      <c r="G45" s="716" t="s">
        <v>77</v>
      </c>
      <c r="H45" s="711" t="s">
        <v>2100</v>
      </c>
      <c r="I45" s="657" t="s">
        <v>77</v>
      </c>
      <c r="J45" s="716" t="s">
        <v>77</v>
      </c>
      <c r="K45" s="645" t="s">
        <v>77</v>
      </c>
    </row>
    <row r="46" spans="1:11" ht="30.75">
      <c r="A46" s="709">
        <v>21</v>
      </c>
      <c r="B46" s="697" t="s">
        <v>1301</v>
      </c>
      <c r="C46" s="701">
        <v>7</v>
      </c>
      <c r="D46" s="701">
        <v>0</v>
      </c>
      <c r="E46" s="701">
        <v>2</v>
      </c>
      <c r="F46" s="701">
        <v>-2</v>
      </c>
      <c r="G46" s="716" t="s">
        <v>77</v>
      </c>
      <c r="H46" s="711" t="s">
        <v>2100</v>
      </c>
      <c r="I46" s="657" t="s">
        <v>77</v>
      </c>
      <c r="J46" s="716" t="s">
        <v>77</v>
      </c>
      <c r="K46" s="645" t="s">
        <v>77</v>
      </c>
    </row>
    <row r="47" spans="1:11" ht="30.75">
      <c r="A47" s="710">
        <v>22</v>
      </c>
      <c r="B47" s="698" t="s">
        <v>1793</v>
      </c>
      <c r="C47" s="703">
        <v>7</v>
      </c>
      <c r="D47" s="703">
        <v>1</v>
      </c>
      <c r="E47" s="703">
        <v>1</v>
      </c>
      <c r="F47" s="703">
        <v>0</v>
      </c>
      <c r="G47" s="705" t="s">
        <v>2126</v>
      </c>
      <c r="H47" s="711" t="s">
        <v>1975</v>
      </c>
      <c r="I47" s="355" t="s">
        <v>2109</v>
      </c>
      <c r="J47" s="28" t="s">
        <v>2066</v>
      </c>
      <c r="K47" s="684" t="s">
        <v>2110</v>
      </c>
    </row>
    <row r="48" spans="1:11" ht="18" customHeight="1">
      <c r="A48" s="1643">
        <v>23</v>
      </c>
      <c r="B48" s="1655" t="s">
        <v>2127</v>
      </c>
      <c r="C48" s="1657">
        <v>6</v>
      </c>
      <c r="D48" s="1657">
        <v>3</v>
      </c>
      <c r="E48" s="1657">
        <v>3</v>
      </c>
      <c r="F48" s="1657">
        <v>0</v>
      </c>
      <c r="G48" s="704" t="s">
        <v>2128</v>
      </c>
      <c r="H48" s="1664" t="s">
        <v>1975</v>
      </c>
      <c r="I48" s="1605" t="s">
        <v>2109</v>
      </c>
      <c r="J48" s="28" t="s">
        <v>2066</v>
      </c>
      <c r="K48" s="1605" t="s">
        <v>2110</v>
      </c>
    </row>
    <row r="49" spans="1:11">
      <c r="A49" s="1644"/>
      <c r="B49" s="1659"/>
      <c r="C49" s="1660"/>
      <c r="D49" s="1660"/>
      <c r="E49" s="1660"/>
      <c r="F49" s="1660"/>
      <c r="G49" s="707" t="s">
        <v>2129</v>
      </c>
      <c r="H49" s="1665"/>
      <c r="I49" s="1606"/>
      <c r="J49" s="28" t="s">
        <v>2066</v>
      </c>
      <c r="K49" s="1606"/>
    </row>
    <row r="50" spans="1:11">
      <c r="A50" s="1645"/>
      <c r="B50" s="1656"/>
      <c r="C50" s="1658"/>
      <c r="D50" s="1658"/>
      <c r="E50" s="1658"/>
      <c r="F50" s="1658"/>
      <c r="G50" s="704" t="s">
        <v>2130</v>
      </c>
      <c r="H50" s="1666"/>
      <c r="I50" s="1607"/>
      <c r="J50" s="716" t="s">
        <v>77</v>
      </c>
      <c r="K50" s="1607"/>
    </row>
    <row r="51" spans="1:11">
      <c r="A51" s="693"/>
      <c r="H51" s="715"/>
    </row>
    <row r="52" spans="1:11">
      <c r="A52" s="693"/>
      <c r="H52" s="715"/>
    </row>
    <row r="53" spans="1:11">
      <c r="A53" s="693"/>
      <c r="H53" s="715"/>
    </row>
    <row r="54" spans="1:11">
      <c r="A54" s="693"/>
      <c r="H54" s="715"/>
    </row>
    <row r="55" spans="1:11">
      <c r="A55" s="693"/>
      <c r="H55" s="715"/>
    </row>
    <row r="56" spans="1:11">
      <c r="A56" s="693"/>
      <c r="H56" s="715"/>
    </row>
    <row r="57" spans="1:11">
      <c r="A57" s="693"/>
      <c r="H57" s="715"/>
    </row>
    <row r="58" spans="1:11">
      <c r="A58" s="693"/>
      <c r="H58" s="715"/>
    </row>
    <row r="59" spans="1:11">
      <c r="A59" s="693"/>
      <c r="H59" s="715"/>
    </row>
    <row r="60" spans="1:11">
      <c r="A60" s="693"/>
      <c r="H60" s="715"/>
    </row>
    <row r="61" spans="1:11">
      <c r="A61" s="693"/>
      <c r="H61" s="715"/>
    </row>
    <row r="62" spans="1:11">
      <c r="A62" s="693"/>
      <c r="H62" s="715"/>
    </row>
    <row r="63" spans="1:11">
      <c r="A63" s="693"/>
    </row>
  </sheetData>
  <mergeCells count="45">
    <mergeCell ref="I32:I33"/>
    <mergeCell ref="I48:I50"/>
    <mergeCell ref="K48:K50"/>
    <mergeCell ref="K32:K33"/>
    <mergeCell ref="K2:K3"/>
    <mergeCell ref="I2:I3"/>
    <mergeCell ref="J2:J3"/>
    <mergeCell ref="I7:I29"/>
    <mergeCell ref="K7:K29"/>
    <mergeCell ref="F48:F50"/>
    <mergeCell ref="F32:F33"/>
    <mergeCell ref="G2:G3"/>
    <mergeCell ref="H2:H3"/>
    <mergeCell ref="F7:F9"/>
    <mergeCell ref="H7:H9"/>
    <mergeCell ref="F2:F3"/>
    <mergeCell ref="H32:H33"/>
    <mergeCell ref="H48:H50"/>
    <mergeCell ref="F10:F29"/>
    <mergeCell ref="H10:H29"/>
    <mergeCell ref="A48:A50"/>
    <mergeCell ref="B48:B50"/>
    <mergeCell ref="C48:C50"/>
    <mergeCell ref="D48:D50"/>
    <mergeCell ref="E48:E50"/>
    <mergeCell ref="A32:A33"/>
    <mergeCell ref="B32:B33"/>
    <mergeCell ref="C32:C33"/>
    <mergeCell ref="D32:D33"/>
    <mergeCell ref="E32:E33"/>
    <mergeCell ref="A10:A29"/>
    <mergeCell ref="B10:B29"/>
    <mergeCell ref="C10:C29"/>
    <mergeCell ref="D10:D29"/>
    <mergeCell ref="E2:E3"/>
    <mergeCell ref="A2:A3"/>
    <mergeCell ref="B2:B3"/>
    <mergeCell ref="C2:C3"/>
    <mergeCell ref="D2:D3"/>
    <mergeCell ref="A7:A9"/>
    <mergeCell ref="B7:B9"/>
    <mergeCell ref="C7:C9"/>
    <mergeCell ref="D7:D9"/>
    <mergeCell ref="E7:E9"/>
    <mergeCell ref="E10:E29"/>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F28C2-4B7F-4C11-8C0A-438DAF3BFE95}">
  <dimension ref="A2:K85"/>
  <sheetViews>
    <sheetView topLeftCell="A61" workbookViewId="0">
      <selection activeCell="I70" sqref="I70"/>
    </sheetView>
  </sheetViews>
  <sheetFormatPr defaultRowHeight="15"/>
  <cols>
    <col min="1" max="1" width="5.42578125" customWidth="1"/>
    <col min="2" max="2" width="25" customWidth="1"/>
    <col min="3" max="3" width="8.140625" customWidth="1"/>
    <col min="4" max="4" width="9.140625" customWidth="1"/>
    <col min="5" max="5" width="10.85546875" customWidth="1"/>
    <col min="6" max="6" width="7.7109375" customWidth="1"/>
    <col min="7" max="7" width="35.140625" bestFit="1" customWidth="1"/>
    <col min="8" max="8" width="21.140625" customWidth="1"/>
    <col min="9" max="9" width="44.85546875" customWidth="1"/>
    <col min="10" max="10" width="14.85546875" customWidth="1"/>
    <col min="11" max="11" width="27.28515625" customWidth="1"/>
  </cols>
  <sheetData>
    <row r="2" spans="1:11" ht="15" customHeight="1">
      <c r="A2" s="1611" t="s">
        <v>0</v>
      </c>
      <c r="B2" s="1613" t="s">
        <v>1206</v>
      </c>
      <c r="C2" s="1615" t="s">
        <v>2055</v>
      </c>
      <c r="D2" s="1615" t="s">
        <v>2056</v>
      </c>
      <c r="E2" s="1615" t="s">
        <v>2057</v>
      </c>
      <c r="F2" s="1617" t="s">
        <v>2058</v>
      </c>
      <c r="G2" s="1612" t="s">
        <v>2059</v>
      </c>
      <c r="H2" s="1611" t="s">
        <v>9</v>
      </c>
      <c r="I2" s="1611" t="s">
        <v>2060</v>
      </c>
      <c r="J2" s="1611" t="s">
        <v>2137</v>
      </c>
      <c r="K2" s="1611" t="s">
        <v>2062</v>
      </c>
    </row>
    <row r="3" spans="1:11" ht="24" customHeight="1">
      <c r="A3" s="1611"/>
      <c r="B3" s="1614"/>
      <c r="C3" s="1616"/>
      <c r="D3" s="1616"/>
      <c r="E3" s="1616"/>
      <c r="F3" s="1618"/>
      <c r="G3" s="1612"/>
      <c r="H3" s="1611"/>
      <c r="I3" s="1631"/>
      <c r="J3" s="1631"/>
      <c r="K3" s="1631"/>
    </row>
    <row r="4" spans="1:11" ht="60.75">
      <c r="A4" s="716">
        <v>1</v>
      </c>
      <c r="B4" s="694" t="s">
        <v>2063</v>
      </c>
      <c r="C4" s="696">
        <v>13</v>
      </c>
      <c r="D4" s="696">
        <v>1</v>
      </c>
      <c r="E4" s="696">
        <v>1</v>
      </c>
      <c r="F4" s="722">
        <v>0</v>
      </c>
      <c r="G4" s="28" t="s">
        <v>2138</v>
      </c>
      <c r="H4" s="700" t="s">
        <v>1975</v>
      </c>
      <c r="I4" s="28" t="s">
        <v>2139</v>
      </c>
      <c r="J4" s="28" t="s">
        <v>2066</v>
      </c>
      <c r="K4" s="28"/>
    </row>
    <row r="5" spans="1:11" ht="60.75">
      <c r="A5" s="716">
        <v>2</v>
      </c>
      <c r="B5" s="694" t="s">
        <v>2068</v>
      </c>
      <c r="C5" s="696">
        <v>10</v>
      </c>
      <c r="D5" s="696">
        <v>1</v>
      </c>
      <c r="E5" s="696">
        <v>1</v>
      </c>
      <c r="F5" s="722">
        <v>0</v>
      </c>
      <c r="G5" s="28" t="s">
        <v>2069</v>
      </c>
      <c r="H5" s="700" t="s">
        <v>1975</v>
      </c>
      <c r="I5" s="28" t="s">
        <v>2139</v>
      </c>
      <c r="J5" s="28" t="s">
        <v>2070</v>
      </c>
      <c r="K5" s="28"/>
    </row>
    <row r="6" spans="1:11" ht="45.75">
      <c r="A6" s="716">
        <v>3</v>
      </c>
      <c r="B6" s="694" t="s">
        <v>1957</v>
      </c>
      <c r="C6" s="696">
        <v>12</v>
      </c>
      <c r="D6" s="696">
        <v>0</v>
      </c>
      <c r="E6" s="696">
        <v>4</v>
      </c>
      <c r="F6" s="722">
        <v>-4</v>
      </c>
      <c r="G6" s="716" t="s">
        <v>77</v>
      </c>
      <c r="H6" s="711" t="s">
        <v>2071</v>
      </c>
      <c r="I6" s="716" t="s">
        <v>77</v>
      </c>
      <c r="J6" s="716" t="s">
        <v>77</v>
      </c>
      <c r="K6" s="716" t="s">
        <v>77</v>
      </c>
    </row>
    <row r="7" spans="1:11">
      <c r="A7" s="1669">
        <v>4</v>
      </c>
      <c r="B7" s="1652" t="s">
        <v>22</v>
      </c>
      <c r="C7" s="1646">
        <v>10</v>
      </c>
      <c r="D7" s="1646">
        <v>5</v>
      </c>
      <c r="E7" s="1646">
        <v>16</v>
      </c>
      <c r="F7" s="1646">
        <v>-11</v>
      </c>
      <c r="G7" s="704" t="s">
        <v>2072</v>
      </c>
      <c r="H7" s="1640" t="s">
        <v>2140</v>
      </c>
      <c r="I7" s="1608" t="s">
        <v>2139</v>
      </c>
      <c r="J7" s="28" t="s">
        <v>2070</v>
      </c>
      <c r="K7" s="28"/>
    </row>
    <row r="8" spans="1:11">
      <c r="A8" s="1670"/>
      <c r="B8" s="1653"/>
      <c r="C8" s="1647"/>
      <c r="D8" s="1647"/>
      <c r="E8" s="1647"/>
      <c r="F8" s="1647"/>
      <c r="G8" s="706" t="s">
        <v>2074</v>
      </c>
      <c r="H8" s="1641"/>
      <c r="I8" s="1609"/>
      <c r="J8" s="28" t="s">
        <v>2070</v>
      </c>
      <c r="K8" s="28"/>
    </row>
    <row r="9" spans="1:11">
      <c r="A9" s="1670"/>
      <c r="B9" s="1653"/>
      <c r="C9" s="1647"/>
      <c r="D9" s="1647"/>
      <c r="E9" s="1647"/>
      <c r="F9" s="1647"/>
      <c r="G9" s="704" t="s">
        <v>2075</v>
      </c>
      <c r="H9" s="1641"/>
      <c r="I9" s="1609"/>
      <c r="J9" s="28" t="s">
        <v>2070</v>
      </c>
      <c r="K9" s="28"/>
    </row>
    <row r="10" spans="1:11">
      <c r="A10" s="1670"/>
      <c r="B10" s="1653"/>
      <c r="C10" s="1647"/>
      <c r="D10" s="1647"/>
      <c r="E10" s="1647"/>
      <c r="F10" s="1647"/>
      <c r="G10" s="28" t="s">
        <v>2141</v>
      </c>
      <c r="H10" s="1641"/>
      <c r="I10" s="1609"/>
      <c r="J10" s="28" t="s">
        <v>2070</v>
      </c>
      <c r="K10" s="28"/>
    </row>
    <row r="11" spans="1:11">
      <c r="A11" s="1671"/>
      <c r="B11" s="1654"/>
      <c r="C11" s="1648"/>
      <c r="D11" s="1648"/>
      <c r="E11" s="1648"/>
      <c r="F11" s="1648"/>
      <c r="G11" s="28" t="s">
        <v>2142</v>
      </c>
      <c r="H11" s="1642"/>
      <c r="I11" s="1609"/>
      <c r="J11" s="28" t="s">
        <v>2066</v>
      </c>
      <c r="K11" s="28"/>
    </row>
    <row r="12" spans="1:11">
      <c r="A12" s="1669">
        <v>5</v>
      </c>
      <c r="B12" s="1652" t="s">
        <v>13</v>
      </c>
      <c r="C12" s="1669">
        <v>8</v>
      </c>
      <c r="D12" s="1669">
        <v>29</v>
      </c>
      <c r="E12" s="1669">
        <v>26</v>
      </c>
      <c r="F12" s="1669">
        <v>3</v>
      </c>
      <c r="G12" s="704" t="s">
        <v>2076</v>
      </c>
      <c r="H12" s="1640" t="s">
        <v>1975</v>
      </c>
      <c r="I12" s="1609"/>
      <c r="J12" s="28" t="s">
        <v>2070</v>
      </c>
      <c r="K12" s="28"/>
    </row>
    <row r="13" spans="1:11">
      <c r="A13" s="1670"/>
      <c r="B13" s="1653"/>
      <c r="C13" s="1670"/>
      <c r="D13" s="1670"/>
      <c r="E13" s="1670"/>
      <c r="F13" s="1670"/>
      <c r="G13" s="706" t="s">
        <v>2077</v>
      </c>
      <c r="H13" s="1641"/>
      <c r="I13" s="1609"/>
      <c r="J13" s="28" t="s">
        <v>2066</v>
      </c>
      <c r="K13" s="28"/>
    </row>
    <row r="14" spans="1:11">
      <c r="A14" s="1670"/>
      <c r="B14" s="1653"/>
      <c r="C14" s="1670"/>
      <c r="D14" s="1670"/>
      <c r="E14" s="1670"/>
      <c r="F14" s="1670"/>
      <c r="G14" s="704" t="s">
        <v>2078</v>
      </c>
      <c r="H14" s="1641"/>
      <c r="I14" s="1609"/>
      <c r="J14" s="28" t="s">
        <v>2070</v>
      </c>
      <c r="K14" s="28"/>
    </row>
    <row r="15" spans="1:11">
      <c r="A15" s="1670"/>
      <c r="B15" s="1653"/>
      <c r="C15" s="1670"/>
      <c r="D15" s="1670"/>
      <c r="E15" s="1670"/>
      <c r="F15" s="1670"/>
      <c r="G15" s="704" t="s">
        <v>2079</v>
      </c>
      <c r="H15" s="1641"/>
      <c r="I15" s="1609"/>
      <c r="J15" s="28" t="s">
        <v>2070</v>
      </c>
      <c r="K15" s="28"/>
    </row>
    <row r="16" spans="1:11">
      <c r="A16" s="1670"/>
      <c r="B16" s="1653"/>
      <c r="C16" s="1670"/>
      <c r="D16" s="1670"/>
      <c r="E16" s="1670"/>
      <c r="F16" s="1670"/>
      <c r="G16" s="704" t="s">
        <v>2080</v>
      </c>
      <c r="H16" s="1641"/>
      <c r="I16" s="1609"/>
      <c r="J16" s="28" t="s">
        <v>2070</v>
      </c>
      <c r="K16" s="28"/>
    </row>
    <row r="17" spans="1:11">
      <c r="A17" s="1670"/>
      <c r="B17" s="1653"/>
      <c r="C17" s="1670"/>
      <c r="D17" s="1670"/>
      <c r="E17" s="1670"/>
      <c r="F17" s="1670"/>
      <c r="G17" s="704" t="s">
        <v>2081</v>
      </c>
      <c r="H17" s="1641"/>
      <c r="I17" s="1609"/>
      <c r="J17" s="28" t="s">
        <v>2070</v>
      </c>
      <c r="K17" s="28"/>
    </row>
    <row r="18" spans="1:11">
      <c r="A18" s="1670"/>
      <c r="B18" s="1653"/>
      <c r="C18" s="1670"/>
      <c r="D18" s="1670"/>
      <c r="E18" s="1670"/>
      <c r="F18" s="1670"/>
      <c r="G18" s="704" t="s">
        <v>2082</v>
      </c>
      <c r="H18" s="1641"/>
      <c r="I18" s="1609"/>
      <c r="J18" s="28" t="s">
        <v>2070</v>
      </c>
      <c r="K18" s="28"/>
    </row>
    <row r="19" spans="1:11">
      <c r="A19" s="1670"/>
      <c r="B19" s="1653"/>
      <c r="C19" s="1670"/>
      <c r="D19" s="1670"/>
      <c r="E19" s="1670"/>
      <c r="F19" s="1670"/>
      <c r="G19" s="704" t="s">
        <v>2083</v>
      </c>
      <c r="H19" s="1641"/>
      <c r="I19" s="1609"/>
      <c r="J19" s="28" t="s">
        <v>2070</v>
      </c>
      <c r="K19" s="28"/>
    </row>
    <row r="20" spans="1:11">
      <c r="A20" s="1670"/>
      <c r="B20" s="1653"/>
      <c r="C20" s="1670"/>
      <c r="D20" s="1670"/>
      <c r="E20" s="1670"/>
      <c r="F20" s="1670"/>
      <c r="G20" s="704" t="s">
        <v>2084</v>
      </c>
      <c r="H20" s="1641"/>
      <c r="I20" s="1609"/>
      <c r="J20" s="28" t="s">
        <v>2070</v>
      </c>
      <c r="K20" s="28"/>
    </row>
    <row r="21" spans="1:11">
      <c r="A21" s="1670"/>
      <c r="B21" s="1653"/>
      <c r="C21" s="1670"/>
      <c r="D21" s="1670"/>
      <c r="E21" s="1670"/>
      <c r="F21" s="1670"/>
      <c r="G21" s="706" t="s">
        <v>2085</v>
      </c>
      <c r="H21" s="1641"/>
      <c r="I21" s="1609"/>
      <c r="J21" s="28" t="s">
        <v>2066</v>
      </c>
      <c r="K21" s="28"/>
    </row>
    <row r="22" spans="1:11">
      <c r="A22" s="1670"/>
      <c r="B22" s="1653"/>
      <c r="C22" s="1670"/>
      <c r="D22" s="1670"/>
      <c r="E22" s="1670"/>
      <c r="F22" s="1670"/>
      <c r="G22" s="704" t="s">
        <v>2086</v>
      </c>
      <c r="H22" s="1641"/>
      <c r="I22" s="1609"/>
      <c r="J22" s="28" t="s">
        <v>2066</v>
      </c>
      <c r="K22" s="28"/>
    </row>
    <row r="23" spans="1:11">
      <c r="A23" s="1670"/>
      <c r="B23" s="1653"/>
      <c r="C23" s="1670"/>
      <c r="D23" s="1670"/>
      <c r="E23" s="1670"/>
      <c r="F23" s="1670"/>
      <c r="G23" s="704" t="s">
        <v>2087</v>
      </c>
      <c r="H23" s="1641"/>
      <c r="I23" s="1609"/>
      <c r="J23" s="28" t="s">
        <v>2066</v>
      </c>
      <c r="K23" s="28"/>
    </row>
    <row r="24" spans="1:11">
      <c r="A24" s="1670"/>
      <c r="B24" s="1653"/>
      <c r="C24" s="1670"/>
      <c r="D24" s="1670"/>
      <c r="E24" s="1670"/>
      <c r="F24" s="1670"/>
      <c r="G24" s="704" t="s">
        <v>2088</v>
      </c>
      <c r="H24" s="1641"/>
      <c r="I24" s="1609"/>
      <c r="J24" s="28" t="s">
        <v>2070</v>
      </c>
      <c r="K24" s="28"/>
    </row>
    <row r="25" spans="1:11">
      <c r="A25" s="1670"/>
      <c r="B25" s="1653"/>
      <c r="C25" s="1670"/>
      <c r="D25" s="1670"/>
      <c r="E25" s="1670"/>
      <c r="F25" s="1670"/>
      <c r="G25" s="706" t="s">
        <v>2089</v>
      </c>
      <c r="H25" s="1641"/>
      <c r="I25" s="1609"/>
      <c r="J25" s="28" t="s">
        <v>2070</v>
      </c>
      <c r="K25" s="28"/>
    </row>
    <row r="26" spans="1:11">
      <c r="A26" s="1670"/>
      <c r="B26" s="1653"/>
      <c r="C26" s="1670"/>
      <c r="D26" s="1670"/>
      <c r="E26" s="1670"/>
      <c r="F26" s="1670"/>
      <c r="G26" s="704" t="s">
        <v>2090</v>
      </c>
      <c r="H26" s="1641"/>
      <c r="I26" s="1609"/>
      <c r="J26" s="28" t="s">
        <v>2066</v>
      </c>
      <c r="K26" s="28"/>
    </row>
    <row r="27" spans="1:11">
      <c r="A27" s="1670"/>
      <c r="B27" s="1653"/>
      <c r="C27" s="1670"/>
      <c r="D27" s="1670"/>
      <c r="E27" s="1670"/>
      <c r="F27" s="1670"/>
      <c r="G27" s="704" t="s">
        <v>2091</v>
      </c>
      <c r="H27" s="1641"/>
      <c r="I27" s="1609"/>
      <c r="J27" s="28" t="s">
        <v>2066</v>
      </c>
      <c r="K27" s="28"/>
    </row>
    <row r="28" spans="1:11">
      <c r="A28" s="1670"/>
      <c r="B28" s="1653"/>
      <c r="C28" s="1670"/>
      <c r="D28" s="1670"/>
      <c r="E28" s="1670"/>
      <c r="F28" s="1670"/>
      <c r="G28" s="704" t="s">
        <v>2092</v>
      </c>
      <c r="H28" s="1641"/>
      <c r="I28" s="1609"/>
      <c r="J28" s="28" t="s">
        <v>2066</v>
      </c>
      <c r="K28" s="28"/>
    </row>
    <row r="29" spans="1:11">
      <c r="A29" s="1670"/>
      <c r="B29" s="1653"/>
      <c r="C29" s="1670"/>
      <c r="D29" s="1670"/>
      <c r="E29" s="1670"/>
      <c r="F29" s="1670"/>
      <c r="G29" s="704" t="s">
        <v>2093</v>
      </c>
      <c r="H29" s="1641"/>
      <c r="I29" s="1609"/>
      <c r="J29" s="28" t="s">
        <v>2066</v>
      </c>
      <c r="K29" s="28"/>
    </row>
    <row r="30" spans="1:11">
      <c r="A30" s="1670"/>
      <c r="B30" s="1653"/>
      <c r="C30" s="1670"/>
      <c r="D30" s="1670"/>
      <c r="E30" s="1670"/>
      <c r="F30" s="1670"/>
      <c r="G30" s="706" t="s">
        <v>2134</v>
      </c>
      <c r="H30" s="1641"/>
      <c r="I30" s="1609"/>
      <c r="J30" s="28" t="s">
        <v>2070</v>
      </c>
      <c r="K30" s="28"/>
    </row>
    <row r="31" spans="1:11">
      <c r="A31" s="1670"/>
      <c r="B31" s="1653"/>
      <c r="C31" s="1670"/>
      <c r="D31" s="1670"/>
      <c r="E31" s="1670"/>
      <c r="F31" s="1670"/>
      <c r="G31" s="706" t="s">
        <v>2143</v>
      </c>
      <c r="H31" s="1641"/>
      <c r="I31" s="1609"/>
      <c r="J31" s="28" t="s">
        <v>2066</v>
      </c>
      <c r="K31" s="28"/>
    </row>
    <row r="32" spans="1:11">
      <c r="A32" s="1670"/>
      <c r="B32" s="1653"/>
      <c r="C32" s="1670"/>
      <c r="D32" s="1670"/>
      <c r="E32" s="1670"/>
      <c r="F32" s="1670"/>
      <c r="G32" s="706" t="s">
        <v>2144</v>
      </c>
      <c r="H32" s="1641"/>
      <c r="I32" s="1609"/>
      <c r="J32" s="28" t="s">
        <v>77</v>
      </c>
      <c r="K32" s="28"/>
    </row>
    <row r="33" spans="1:11">
      <c r="A33" s="1670"/>
      <c r="B33" s="1653"/>
      <c r="C33" s="1670"/>
      <c r="D33" s="1670"/>
      <c r="E33" s="1670"/>
      <c r="F33" s="1670"/>
      <c r="G33" s="706" t="s">
        <v>2145</v>
      </c>
      <c r="H33" s="1641"/>
      <c r="I33" s="1609"/>
      <c r="J33" s="28" t="s">
        <v>2066</v>
      </c>
      <c r="K33" s="28"/>
    </row>
    <row r="34" spans="1:11">
      <c r="A34" s="1670"/>
      <c r="B34" s="1653"/>
      <c r="C34" s="1670"/>
      <c r="D34" s="1670"/>
      <c r="E34" s="1670"/>
      <c r="F34" s="1670"/>
      <c r="G34" s="706" t="s">
        <v>2146</v>
      </c>
      <c r="H34" s="1641"/>
      <c r="I34" s="1609"/>
      <c r="J34" s="28" t="s">
        <v>2066</v>
      </c>
      <c r="K34" s="28"/>
    </row>
    <row r="35" spans="1:11">
      <c r="A35" s="1670"/>
      <c r="B35" s="1653"/>
      <c r="C35" s="1670"/>
      <c r="D35" s="1670"/>
      <c r="E35" s="1670"/>
      <c r="F35" s="1670"/>
      <c r="G35" s="706" t="s">
        <v>2147</v>
      </c>
      <c r="H35" s="1641"/>
      <c r="I35" s="1609"/>
      <c r="J35" s="28" t="s">
        <v>2066</v>
      </c>
      <c r="K35" s="28"/>
    </row>
    <row r="36" spans="1:11">
      <c r="A36" s="1670"/>
      <c r="B36" s="1653"/>
      <c r="C36" s="1670"/>
      <c r="D36" s="1670"/>
      <c r="E36" s="1670"/>
      <c r="F36" s="1670"/>
      <c r="G36" s="706" t="s">
        <v>2148</v>
      </c>
      <c r="H36" s="1641"/>
      <c r="I36" s="1609"/>
      <c r="J36" s="28" t="s">
        <v>2066</v>
      </c>
      <c r="K36" s="28"/>
    </row>
    <row r="37" spans="1:11">
      <c r="A37" s="1670"/>
      <c r="B37" s="1653"/>
      <c r="C37" s="1670"/>
      <c r="D37" s="1670"/>
      <c r="E37" s="1670"/>
      <c r="F37" s="1670"/>
      <c r="G37" s="706" t="s">
        <v>2149</v>
      </c>
      <c r="H37" s="1641"/>
      <c r="I37" s="1609"/>
      <c r="J37" s="28" t="s">
        <v>2066</v>
      </c>
      <c r="K37" s="28"/>
    </row>
    <row r="38" spans="1:11">
      <c r="A38" s="1670"/>
      <c r="B38" s="1653"/>
      <c r="C38" s="1670"/>
      <c r="D38" s="1670"/>
      <c r="E38" s="1670"/>
      <c r="F38" s="1670"/>
      <c r="G38" s="706" t="s">
        <v>2150</v>
      </c>
      <c r="H38" s="1641"/>
      <c r="I38" s="1609"/>
      <c r="J38" s="28" t="s">
        <v>2066</v>
      </c>
      <c r="K38" s="28"/>
    </row>
    <row r="39" spans="1:11">
      <c r="A39" s="1670"/>
      <c r="B39" s="1653"/>
      <c r="C39" s="1670"/>
      <c r="D39" s="1670"/>
      <c r="E39" s="1670"/>
      <c r="F39" s="1670"/>
      <c r="G39" s="706" t="s">
        <v>2151</v>
      </c>
      <c r="H39" s="1641"/>
      <c r="I39" s="1609"/>
      <c r="J39" s="28" t="s">
        <v>2066</v>
      </c>
      <c r="K39" s="28"/>
    </row>
    <row r="40" spans="1:11">
      <c r="A40" s="1671"/>
      <c r="B40" s="1654"/>
      <c r="C40" s="1671"/>
      <c r="D40" s="1671"/>
      <c r="E40" s="1671"/>
      <c r="F40" s="1671"/>
      <c r="G40" s="706" t="s">
        <v>2152</v>
      </c>
      <c r="H40" s="1642"/>
      <c r="I40" s="1609"/>
      <c r="J40" s="28" t="s">
        <v>2066</v>
      </c>
      <c r="K40" s="28"/>
    </row>
    <row r="41" spans="1:11" ht="30.75">
      <c r="A41" s="716">
        <v>6</v>
      </c>
      <c r="B41" s="694" t="s">
        <v>162</v>
      </c>
      <c r="C41" s="696">
        <v>10</v>
      </c>
      <c r="D41" s="696">
        <v>1</v>
      </c>
      <c r="E41" s="696">
        <v>2</v>
      </c>
      <c r="F41" s="722">
        <v>-1</v>
      </c>
      <c r="G41" s="704" t="s">
        <v>2098</v>
      </c>
      <c r="H41" s="700" t="s">
        <v>1975</v>
      </c>
      <c r="I41" s="1610"/>
      <c r="J41" s="28" t="s">
        <v>2070</v>
      </c>
      <c r="K41" s="28"/>
    </row>
    <row r="42" spans="1:11" ht="30.75">
      <c r="A42" s="716">
        <v>7</v>
      </c>
      <c r="B42" s="694" t="s">
        <v>1801</v>
      </c>
      <c r="C42" s="696">
        <v>8</v>
      </c>
      <c r="D42" s="696">
        <v>0</v>
      </c>
      <c r="E42" s="696">
        <v>2</v>
      </c>
      <c r="F42" s="722">
        <v>-2</v>
      </c>
      <c r="G42" s="716" t="s">
        <v>77</v>
      </c>
      <c r="H42" s="700" t="s">
        <v>2100</v>
      </c>
      <c r="I42" s="716" t="s">
        <v>77</v>
      </c>
      <c r="J42" s="716" t="s">
        <v>77</v>
      </c>
      <c r="K42" s="716" t="s">
        <v>77</v>
      </c>
    </row>
    <row r="43" spans="1:11">
      <c r="A43" s="1669">
        <v>8</v>
      </c>
      <c r="B43" s="1655" t="s">
        <v>2101</v>
      </c>
      <c r="C43" s="1672">
        <v>7</v>
      </c>
      <c r="D43" s="1672">
        <v>2</v>
      </c>
      <c r="E43" s="1672">
        <v>4</v>
      </c>
      <c r="F43" s="1672">
        <v>-2</v>
      </c>
      <c r="G43" s="706" t="s">
        <v>2102</v>
      </c>
      <c r="H43" s="1640" t="s">
        <v>1975</v>
      </c>
      <c r="I43" s="28"/>
      <c r="J43" s="28" t="s">
        <v>2066</v>
      </c>
      <c r="K43" s="28"/>
    </row>
    <row r="44" spans="1:11">
      <c r="A44" s="1671"/>
      <c r="B44" s="1656"/>
      <c r="C44" s="1673"/>
      <c r="D44" s="1673"/>
      <c r="E44" s="1673"/>
      <c r="F44" s="1673"/>
      <c r="G44" s="704" t="s">
        <v>2103</v>
      </c>
      <c r="H44" s="1642"/>
      <c r="I44" s="28"/>
      <c r="J44" s="28" t="s">
        <v>2066</v>
      </c>
      <c r="K44" s="28"/>
    </row>
    <row r="45" spans="1:11" ht="60.75">
      <c r="A45" s="716">
        <v>9</v>
      </c>
      <c r="B45" s="697" t="s">
        <v>2105</v>
      </c>
      <c r="C45" s="723">
        <v>10</v>
      </c>
      <c r="D45" s="723">
        <v>0</v>
      </c>
      <c r="E45" s="723">
        <v>2</v>
      </c>
      <c r="F45" s="724">
        <v>-2</v>
      </c>
      <c r="G45" s="716" t="s">
        <v>77</v>
      </c>
      <c r="H45" s="700" t="s">
        <v>2153</v>
      </c>
      <c r="I45" s="716" t="s">
        <v>77</v>
      </c>
      <c r="J45" s="716" t="s">
        <v>77</v>
      </c>
      <c r="K45" s="716" t="s">
        <v>77</v>
      </c>
    </row>
    <row r="46" spans="1:11" ht="30.75">
      <c r="A46" s="716">
        <v>10</v>
      </c>
      <c r="B46" s="697" t="s">
        <v>2106</v>
      </c>
      <c r="C46" s="723">
        <v>8</v>
      </c>
      <c r="D46" s="723">
        <v>1</v>
      </c>
      <c r="E46" s="723">
        <v>2</v>
      </c>
      <c r="F46" s="724">
        <v>-1</v>
      </c>
      <c r="G46" s="28" t="s">
        <v>2154</v>
      </c>
      <c r="H46" s="700" t="s">
        <v>1975</v>
      </c>
      <c r="I46" s="28"/>
      <c r="J46" s="28" t="s">
        <v>2066</v>
      </c>
      <c r="K46" s="28"/>
    </row>
    <row r="47" spans="1:11" ht="30.75">
      <c r="A47" s="716">
        <v>11</v>
      </c>
      <c r="B47" s="697" t="s">
        <v>2107</v>
      </c>
      <c r="C47" s="723">
        <v>9</v>
      </c>
      <c r="D47" s="723">
        <v>1</v>
      </c>
      <c r="E47" s="723">
        <v>1</v>
      </c>
      <c r="F47" s="724">
        <v>0</v>
      </c>
      <c r="G47" s="704" t="s">
        <v>2108</v>
      </c>
      <c r="H47" s="691" t="s">
        <v>1975</v>
      </c>
      <c r="I47" s="28"/>
      <c r="J47" s="28" t="s">
        <v>2066</v>
      </c>
      <c r="K47" s="28"/>
    </row>
    <row r="48" spans="1:11" ht="30.75">
      <c r="A48" s="716">
        <v>12</v>
      </c>
      <c r="B48" s="697" t="s">
        <v>2111</v>
      </c>
      <c r="C48" s="723">
        <v>8</v>
      </c>
      <c r="D48" s="723">
        <v>0</v>
      </c>
      <c r="E48" s="723">
        <v>2</v>
      </c>
      <c r="F48" s="724">
        <v>-2</v>
      </c>
      <c r="G48" s="716" t="s">
        <v>77</v>
      </c>
      <c r="H48" s="700" t="s">
        <v>2112</v>
      </c>
      <c r="I48" s="716" t="s">
        <v>77</v>
      </c>
      <c r="J48" s="716" t="s">
        <v>77</v>
      </c>
      <c r="K48" s="716" t="s">
        <v>77</v>
      </c>
    </row>
    <row r="49" spans="1:11" ht="30.75">
      <c r="A49" s="716">
        <v>13</v>
      </c>
      <c r="B49" s="697" t="s">
        <v>2113</v>
      </c>
      <c r="C49" s="723">
        <v>7</v>
      </c>
      <c r="D49" s="723">
        <v>0</v>
      </c>
      <c r="E49" s="723">
        <v>2</v>
      </c>
      <c r="F49" s="724">
        <v>-2</v>
      </c>
      <c r="G49" s="716" t="s">
        <v>77</v>
      </c>
      <c r="H49" s="700" t="s">
        <v>2112</v>
      </c>
      <c r="I49" s="716" t="s">
        <v>77</v>
      </c>
      <c r="J49" s="716" t="s">
        <v>77</v>
      </c>
      <c r="K49" s="716" t="s">
        <v>77</v>
      </c>
    </row>
    <row r="50" spans="1:11" ht="26.25" customHeight="1">
      <c r="A50" s="716">
        <v>14</v>
      </c>
      <c r="B50" s="697" t="s">
        <v>2114</v>
      </c>
      <c r="C50" s="723">
        <v>10</v>
      </c>
      <c r="D50" s="723">
        <v>0</v>
      </c>
      <c r="E50" s="723">
        <v>1</v>
      </c>
      <c r="F50" s="724">
        <v>-1</v>
      </c>
      <c r="G50" s="716" t="s">
        <v>77</v>
      </c>
      <c r="H50" s="700" t="s">
        <v>2115</v>
      </c>
      <c r="I50" s="716" t="s">
        <v>77</v>
      </c>
      <c r="J50" s="716" t="s">
        <v>77</v>
      </c>
      <c r="K50" s="1608" t="s">
        <v>2155</v>
      </c>
    </row>
    <row r="51" spans="1:11" ht="26.25" customHeight="1">
      <c r="A51" s="716">
        <v>15</v>
      </c>
      <c r="B51" s="697" t="s">
        <v>2116</v>
      </c>
      <c r="C51" s="723">
        <v>8</v>
      </c>
      <c r="D51" s="723">
        <v>0</v>
      </c>
      <c r="E51" s="723">
        <v>1</v>
      </c>
      <c r="F51" s="724">
        <v>-1</v>
      </c>
      <c r="G51" s="716" t="s">
        <v>77</v>
      </c>
      <c r="H51" s="689" t="s">
        <v>2115</v>
      </c>
      <c r="I51" s="716" t="s">
        <v>77</v>
      </c>
      <c r="J51" s="716" t="s">
        <v>77</v>
      </c>
      <c r="K51" s="1610"/>
    </row>
    <row r="52" spans="1:11">
      <c r="A52" s="1669">
        <v>16</v>
      </c>
      <c r="B52" s="1655" t="s">
        <v>2117</v>
      </c>
      <c r="C52" s="1672">
        <v>8</v>
      </c>
      <c r="D52" s="1672">
        <v>3</v>
      </c>
      <c r="E52" s="1672">
        <v>1</v>
      </c>
      <c r="F52" s="1672">
        <v>2</v>
      </c>
      <c r="G52" s="704" t="s">
        <v>2156</v>
      </c>
      <c r="H52" s="1677" t="s">
        <v>1975</v>
      </c>
      <c r="I52" s="28"/>
      <c r="J52" s="28" t="s">
        <v>2066</v>
      </c>
      <c r="K52" s="28"/>
    </row>
    <row r="53" spans="1:11">
      <c r="A53" s="1670"/>
      <c r="B53" s="1659"/>
      <c r="C53" s="1674"/>
      <c r="D53" s="1674"/>
      <c r="E53" s="1674"/>
      <c r="F53" s="1674"/>
      <c r="G53" s="704" t="s">
        <v>2157</v>
      </c>
      <c r="H53" s="1677"/>
      <c r="I53" s="28"/>
      <c r="J53" s="28" t="s">
        <v>2066</v>
      </c>
      <c r="K53" s="28"/>
    </row>
    <row r="54" spans="1:11">
      <c r="A54" s="1671"/>
      <c r="B54" s="1656"/>
      <c r="C54" s="1673"/>
      <c r="D54" s="1673"/>
      <c r="E54" s="1673"/>
      <c r="F54" s="1673"/>
      <c r="G54" s="704" t="s">
        <v>2158</v>
      </c>
      <c r="H54" s="1677"/>
      <c r="I54" s="28"/>
      <c r="J54" s="28" t="s">
        <v>2066</v>
      </c>
      <c r="K54" s="28"/>
    </row>
    <row r="55" spans="1:11">
      <c r="A55" s="1669">
        <v>17</v>
      </c>
      <c r="B55" s="1655" t="s">
        <v>1295</v>
      </c>
      <c r="C55" s="1672">
        <v>8</v>
      </c>
      <c r="D55" s="1672">
        <v>2</v>
      </c>
      <c r="E55" s="1672">
        <v>2</v>
      </c>
      <c r="F55" s="1672">
        <v>0</v>
      </c>
      <c r="G55" s="704" t="s">
        <v>2159</v>
      </c>
      <c r="H55" s="1677" t="s">
        <v>1975</v>
      </c>
      <c r="I55" s="28"/>
      <c r="J55" s="28" t="s">
        <v>2066</v>
      </c>
      <c r="K55" s="28"/>
    </row>
    <row r="56" spans="1:11">
      <c r="A56" s="1671"/>
      <c r="B56" s="1656"/>
      <c r="C56" s="1673"/>
      <c r="D56" s="1673"/>
      <c r="E56" s="1673"/>
      <c r="F56" s="1673"/>
      <c r="G56" s="704" t="s">
        <v>2160</v>
      </c>
      <c r="H56" s="1675"/>
      <c r="I56" s="28"/>
      <c r="J56" s="28" t="s">
        <v>2066</v>
      </c>
      <c r="K56" s="28"/>
    </row>
    <row r="57" spans="1:11" ht="45.75">
      <c r="A57" s="716">
        <v>18</v>
      </c>
      <c r="B57" s="697" t="s">
        <v>2161</v>
      </c>
      <c r="C57" s="723">
        <v>9</v>
      </c>
      <c r="D57" s="723">
        <v>0</v>
      </c>
      <c r="E57" s="723">
        <v>1</v>
      </c>
      <c r="F57" s="724">
        <v>-1</v>
      </c>
      <c r="G57" s="716" t="s">
        <v>77</v>
      </c>
      <c r="H57" s="700" t="s">
        <v>2115</v>
      </c>
      <c r="I57" s="716" t="s">
        <v>77</v>
      </c>
      <c r="J57" s="716" t="s">
        <v>77</v>
      </c>
      <c r="K57" s="716" t="s">
        <v>2162</v>
      </c>
    </row>
    <row r="58" spans="1:11" ht="29.25">
      <c r="A58" s="716">
        <v>19</v>
      </c>
      <c r="B58" s="697" t="s">
        <v>2163</v>
      </c>
      <c r="C58" s="723">
        <v>8</v>
      </c>
      <c r="D58" s="723">
        <v>0</v>
      </c>
      <c r="E58" s="723">
        <v>1</v>
      </c>
      <c r="F58" s="724">
        <v>-1</v>
      </c>
      <c r="G58" s="716" t="s">
        <v>77</v>
      </c>
      <c r="H58" s="702" t="s">
        <v>2115</v>
      </c>
      <c r="I58" s="716" t="s">
        <v>77</v>
      </c>
      <c r="J58" s="716" t="s">
        <v>77</v>
      </c>
      <c r="K58" s="716" t="s">
        <v>77</v>
      </c>
    </row>
    <row r="59" spans="1:11" ht="29.25">
      <c r="A59" s="716">
        <v>20</v>
      </c>
      <c r="B59" s="697" t="s">
        <v>2164</v>
      </c>
      <c r="C59" s="723">
        <v>7</v>
      </c>
      <c r="D59" s="723">
        <v>0</v>
      </c>
      <c r="E59" s="723">
        <v>1</v>
      </c>
      <c r="F59" s="724">
        <v>-1</v>
      </c>
      <c r="G59" s="716" t="s">
        <v>77</v>
      </c>
      <c r="H59" s="702" t="s">
        <v>2115</v>
      </c>
      <c r="I59" s="716" t="s">
        <v>77</v>
      </c>
      <c r="J59" s="716" t="s">
        <v>77</v>
      </c>
      <c r="K59" s="716" t="s">
        <v>77</v>
      </c>
    </row>
    <row r="60" spans="1:11" ht="30.75">
      <c r="A60" s="716">
        <v>21</v>
      </c>
      <c r="B60" s="697" t="s">
        <v>2165</v>
      </c>
      <c r="C60" s="723">
        <v>9</v>
      </c>
      <c r="D60" s="723">
        <v>0</v>
      </c>
      <c r="E60" s="723">
        <v>1</v>
      </c>
      <c r="F60" s="724">
        <v>-1</v>
      </c>
      <c r="G60" s="716" t="s">
        <v>77</v>
      </c>
      <c r="H60" s="702" t="s">
        <v>2115</v>
      </c>
      <c r="I60" s="716" t="s">
        <v>77</v>
      </c>
      <c r="J60" s="716" t="s">
        <v>77</v>
      </c>
      <c r="K60" s="716" t="s">
        <v>77</v>
      </c>
    </row>
    <row r="61" spans="1:11" ht="30.75">
      <c r="A61" s="716">
        <v>22</v>
      </c>
      <c r="B61" s="697" t="s">
        <v>2166</v>
      </c>
      <c r="C61" s="723">
        <v>8</v>
      </c>
      <c r="D61" s="723">
        <v>0</v>
      </c>
      <c r="E61" s="723">
        <v>1</v>
      </c>
      <c r="F61" s="724">
        <v>-1</v>
      </c>
      <c r="G61" s="716" t="s">
        <v>77</v>
      </c>
      <c r="H61" s="702" t="s">
        <v>2115</v>
      </c>
      <c r="I61" s="716" t="s">
        <v>77</v>
      </c>
      <c r="J61" s="716" t="s">
        <v>77</v>
      </c>
      <c r="K61" s="716" t="s">
        <v>77</v>
      </c>
    </row>
    <row r="62" spans="1:11" ht="30.75">
      <c r="A62" s="716">
        <v>23</v>
      </c>
      <c r="B62" s="697" t="s">
        <v>2167</v>
      </c>
      <c r="C62" s="723">
        <v>7</v>
      </c>
      <c r="D62" s="723">
        <v>0</v>
      </c>
      <c r="E62" s="723">
        <v>1</v>
      </c>
      <c r="F62" s="724">
        <v>-1</v>
      </c>
      <c r="G62" s="716" t="s">
        <v>77</v>
      </c>
      <c r="H62" s="702" t="s">
        <v>2115</v>
      </c>
      <c r="I62" s="716" t="s">
        <v>77</v>
      </c>
      <c r="J62" s="716" t="s">
        <v>77</v>
      </c>
      <c r="K62" s="716" t="s">
        <v>77</v>
      </c>
    </row>
    <row r="63" spans="1:11" ht="45.75">
      <c r="A63" s="716">
        <v>24</v>
      </c>
      <c r="B63" s="697" t="s">
        <v>1246</v>
      </c>
      <c r="C63" s="723">
        <v>7</v>
      </c>
      <c r="D63" s="723">
        <v>1</v>
      </c>
      <c r="E63" s="723">
        <v>1</v>
      </c>
      <c r="F63" s="724">
        <v>0</v>
      </c>
      <c r="G63" s="28" t="s">
        <v>2123</v>
      </c>
      <c r="H63" s="726" t="s">
        <v>1975</v>
      </c>
      <c r="I63" s="28" t="s">
        <v>2168</v>
      </c>
      <c r="J63" s="28" t="s">
        <v>2066</v>
      </c>
      <c r="K63" s="28" t="s">
        <v>2169</v>
      </c>
    </row>
    <row r="64" spans="1:11" ht="29.25">
      <c r="A64" s="716">
        <v>25</v>
      </c>
      <c r="B64" s="697" t="s">
        <v>2170</v>
      </c>
      <c r="C64" s="723">
        <v>9</v>
      </c>
      <c r="D64" s="723">
        <v>0</v>
      </c>
      <c r="E64" s="723">
        <v>1</v>
      </c>
      <c r="F64" s="724">
        <v>-1</v>
      </c>
      <c r="G64" s="716" t="s">
        <v>77</v>
      </c>
      <c r="H64" s="702" t="s">
        <v>2115</v>
      </c>
      <c r="I64" s="716" t="s">
        <v>77</v>
      </c>
      <c r="J64" s="716" t="s">
        <v>77</v>
      </c>
      <c r="K64" s="716" t="s">
        <v>77</v>
      </c>
    </row>
    <row r="65" spans="1:11" ht="29.25">
      <c r="A65" s="716">
        <v>26</v>
      </c>
      <c r="B65" s="697" t="s">
        <v>2171</v>
      </c>
      <c r="C65" s="723">
        <v>8</v>
      </c>
      <c r="D65" s="723">
        <v>0</v>
      </c>
      <c r="E65" s="723">
        <v>1</v>
      </c>
      <c r="F65" s="724">
        <v>-1</v>
      </c>
      <c r="G65" s="716" t="s">
        <v>77</v>
      </c>
      <c r="H65" s="702" t="s">
        <v>2115</v>
      </c>
      <c r="I65" s="716" t="s">
        <v>77</v>
      </c>
      <c r="J65" s="716" t="s">
        <v>77</v>
      </c>
      <c r="K65" s="716" t="s">
        <v>77</v>
      </c>
    </row>
    <row r="66" spans="1:11" ht="43.5">
      <c r="A66" s="716">
        <v>27</v>
      </c>
      <c r="B66" s="697" t="s">
        <v>2124</v>
      </c>
      <c r="C66" s="723">
        <v>9</v>
      </c>
      <c r="D66" s="723">
        <v>0</v>
      </c>
      <c r="E66" s="723">
        <v>2</v>
      </c>
      <c r="F66" s="724">
        <v>-2</v>
      </c>
      <c r="G66" s="716" t="s">
        <v>77</v>
      </c>
      <c r="H66" s="702" t="s">
        <v>2172</v>
      </c>
      <c r="I66" s="716" t="s">
        <v>77</v>
      </c>
      <c r="J66" s="716" t="s">
        <v>77</v>
      </c>
      <c r="K66" s="716" t="s">
        <v>77</v>
      </c>
    </row>
    <row r="67" spans="1:11" ht="43.5">
      <c r="A67" s="716">
        <v>28</v>
      </c>
      <c r="B67" s="697" t="s">
        <v>2125</v>
      </c>
      <c r="C67" s="723">
        <v>8</v>
      </c>
      <c r="D67" s="723">
        <v>0</v>
      </c>
      <c r="E67" s="723">
        <v>2</v>
      </c>
      <c r="F67" s="724">
        <v>-2</v>
      </c>
      <c r="G67" s="716" t="s">
        <v>77</v>
      </c>
      <c r="H67" s="702" t="s">
        <v>2172</v>
      </c>
      <c r="I67" s="716" t="s">
        <v>77</v>
      </c>
      <c r="J67" s="716" t="s">
        <v>77</v>
      </c>
      <c r="K67" s="716" t="s">
        <v>77</v>
      </c>
    </row>
    <row r="68" spans="1:11" ht="45.75">
      <c r="A68" s="1669">
        <v>29</v>
      </c>
      <c r="B68" s="1655" t="s">
        <v>1301</v>
      </c>
      <c r="C68" s="1672">
        <v>7</v>
      </c>
      <c r="D68" s="1672">
        <v>2</v>
      </c>
      <c r="E68" s="1672">
        <v>2</v>
      </c>
      <c r="F68" s="1672">
        <v>0</v>
      </c>
      <c r="G68" s="704" t="s">
        <v>2173</v>
      </c>
      <c r="H68" s="1675" t="s">
        <v>1975</v>
      </c>
      <c r="I68" s="730" t="s">
        <v>2168</v>
      </c>
      <c r="J68" s="28" t="s">
        <v>2066</v>
      </c>
      <c r="K68" s="28" t="s">
        <v>2169</v>
      </c>
    </row>
    <row r="69" spans="1:11">
      <c r="A69" s="1671"/>
      <c r="B69" s="1656"/>
      <c r="C69" s="1673"/>
      <c r="D69" s="1673"/>
      <c r="E69" s="1673"/>
      <c r="F69" s="1673"/>
      <c r="G69" s="28" t="s">
        <v>2174</v>
      </c>
      <c r="H69" s="1676"/>
      <c r="I69" s="28"/>
      <c r="J69" s="28" t="s">
        <v>2066</v>
      </c>
      <c r="K69" s="28"/>
    </row>
    <row r="70" spans="1:11" ht="30.75">
      <c r="A70" s="719">
        <v>30</v>
      </c>
      <c r="B70" s="698" t="s">
        <v>1793</v>
      </c>
      <c r="C70" s="725">
        <v>7</v>
      </c>
      <c r="D70" s="725">
        <v>1</v>
      </c>
      <c r="E70" s="725">
        <v>1</v>
      </c>
      <c r="F70" s="727">
        <v>0</v>
      </c>
      <c r="G70" s="705" t="s">
        <v>2126</v>
      </c>
      <c r="H70" s="689" t="s">
        <v>1975</v>
      </c>
      <c r="I70" s="28"/>
      <c r="J70" s="28" t="s">
        <v>2066</v>
      </c>
      <c r="K70" s="28"/>
    </row>
    <row r="71" spans="1:11">
      <c r="A71" s="1669">
        <v>31</v>
      </c>
      <c r="B71" s="1655" t="s">
        <v>2127</v>
      </c>
      <c r="C71" s="1672">
        <v>6</v>
      </c>
      <c r="D71" s="1672">
        <v>3</v>
      </c>
      <c r="E71" s="1672">
        <v>3</v>
      </c>
      <c r="F71" s="1672">
        <v>0</v>
      </c>
      <c r="G71" s="28" t="s">
        <v>2128</v>
      </c>
      <c r="H71" s="1640" t="s">
        <v>1975</v>
      </c>
      <c r="I71" s="1608" t="s">
        <v>2168</v>
      </c>
      <c r="J71" s="28" t="s">
        <v>2066</v>
      </c>
      <c r="K71" s="1608" t="s">
        <v>2169</v>
      </c>
    </row>
    <row r="72" spans="1:11">
      <c r="A72" s="1670"/>
      <c r="B72" s="1659"/>
      <c r="C72" s="1674"/>
      <c r="D72" s="1674"/>
      <c r="E72" s="1674"/>
      <c r="F72" s="1674"/>
      <c r="G72" s="728" t="s">
        <v>2129</v>
      </c>
      <c r="H72" s="1641"/>
      <c r="I72" s="1609"/>
      <c r="J72" s="28" t="s">
        <v>2066</v>
      </c>
      <c r="K72" s="1609"/>
    </row>
    <row r="73" spans="1:11">
      <c r="A73" s="1671"/>
      <c r="B73" s="1656"/>
      <c r="C73" s="1673"/>
      <c r="D73" s="1673"/>
      <c r="E73" s="1673"/>
      <c r="F73" s="1673"/>
      <c r="G73" s="28" t="s">
        <v>2130</v>
      </c>
      <c r="H73" s="1642"/>
      <c r="I73" s="1610"/>
      <c r="J73" s="28" t="s">
        <v>77</v>
      </c>
      <c r="K73" s="1610"/>
    </row>
    <row r="74" spans="1:11">
      <c r="A74" s="699"/>
    </row>
    <row r="75" spans="1:11">
      <c r="A75" s="699"/>
    </row>
    <row r="76" spans="1:11">
      <c r="A76" s="699"/>
    </row>
    <row r="77" spans="1:11">
      <c r="A77" s="699"/>
    </row>
    <row r="78" spans="1:11">
      <c r="A78" s="699"/>
    </row>
    <row r="79" spans="1:11">
      <c r="A79" s="699"/>
    </row>
    <row r="80" spans="1:11">
      <c r="A80" s="699"/>
    </row>
    <row r="81" spans="1:1">
      <c r="A81" s="699"/>
    </row>
    <row r="82" spans="1:1">
      <c r="A82" s="699"/>
    </row>
    <row r="83" spans="1:1">
      <c r="A83" s="699"/>
    </row>
    <row r="84" spans="1:1">
      <c r="A84" s="699"/>
    </row>
    <row r="85" spans="1:1">
      <c r="A85" s="699"/>
    </row>
  </sheetData>
  <mergeCells count="64">
    <mergeCell ref="I71:I73"/>
    <mergeCell ref="K71:K73"/>
    <mergeCell ref="K50:K51"/>
    <mergeCell ref="H68:H69"/>
    <mergeCell ref="F71:F73"/>
    <mergeCell ref="F68:F69"/>
    <mergeCell ref="H71:H73"/>
    <mergeCell ref="F52:F54"/>
    <mergeCell ref="H52:H54"/>
    <mergeCell ref="F55:F56"/>
    <mergeCell ref="H55:H56"/>
    <mergeCell ref="A71:A73"/>
    <mergeCell ref="B71:B73"/>
    <mergeCell ref="C71:C73"/>
    <mergeCell ref="D71:D73"/>
    <mergeCell ref="E71:E73"/>
    <mergeCell ref="A68:A69"/>
    <mergeCell ref="B68:B69"/>
    <mergeCell ref="C68:C69"/>
    <mergeCell ref="D68:D69"/>
    <mergeCell ref="E68:E69"/>
    <mergeCell ref="A55:A56"/>
    <mergeCell ref="B55:B56"/>
    <mergeCell ref="C55:C56"/>
    <mergeCell ref="D55:D56"/>
    <mergeCell ref="E55:E56"/>
    <mergeCell ref="A52:A54"/>
    <mergeCell ref="B52:B54"/>
    <mergeCell ref="C52:C54"/>
    <mergeCell ref="D52:D54"/>
    <mergeCell ref="E52:E54"/>
    <mergeCell ref="F43:F44"/>
    <mergeCell ref="H43:H44"/>
    <mergeCell ref="A12:A40"/>
    <mergeCell ref="C12:C40"/>
    <mergeCell ref="D12:D40"/>
    <mergeCell ref="E12:E40"/>
    <mergeCell ref="F12:F40"/>
    <mergeCell ref="B12:B40"/>
    <mergeCell ref="A43:A44"/>
    <mergeCell ref="B43:B44"/>
    <mergeCell ref="C43:C44"/>
    <mergeCell ref="D43:D44"/>
    <mergeCell ref="E43:E44"/>
    <mergeCell ref="K2:K3"/>
    <mergeCell ref="A2:A3"/>
    <mergeCell ref="G2:G3"/>
    <mergeCell ref="H2:H3"/>
    <mergeCell ref="B2:B3"/>
    <mergeCell ref="C2:C3"/>
    <mergeCell ref="D2:D3"/>
    <mergeCell ref="E2:E3"/>
    <mergeCell ref="F2:F3"/>
    <mergeCell ref="A7:A11"/>
    <mergeCell ref="B7:B11"/>
    <mergeCell ref="C7:C11"/>
    <mergeCell ref="I2:I3"/>
    <mergeCell ref="J2:J3"/>
    <mergeCell ref="D7:D11"/>
    <mergeCell ref="E7:E11"/>
    <mergeCell ref="F7:F11"/>
    <mergeCell ref="I7:I41"/>
    <mergeCell ref="H7:H11"/>
    <mergeCell ref="H12:H40"/>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1F5A4-5319-4166-ABDB-C729A696D0F0}">
  <dimension ref="A2:K89"/>
  <sheetViews>
    <sheetView topLeftCell="A6" workbookViewId="0">
      <selection activeCell="I7" sqref="I7"/>
    </sheetView>
  </sheetViews>
  <sheetFormatPr defaultRowHeight="15"/>
  <cols>
    <col min="2" max="2" width="22.85546875" customWidth="1"/>
    <col min="3" max="3" width="8.42578125" customWidth="1"/>
    <col min="4" max="4" width="8.7109375" customWidth="1"/>
    <col min="5" max="5" width="11.28515625" customWidth="1"/>
    <col min="6" max="6" width="8.28515625" customWidth="1"/>
    <col min="7" max="7" width="33.5703125" customWidth="1"/>
    <col min="8" max="8" width="16.42578125" customWidth="1"/>
    <col min="9" max="9" width="46.7109375" customWidth="1"/>
    <col min="10" max="10" width="11.28515625" customWidth="1"/>
    <col min="11" max="11" width="28.140625" customWidth="1"/>
  </cols>
  <sheetData>
    <row r="2" spans="1:11" ht="15" customHeight="1">
      <c r="A2" s="1611" t="s">
        <v>0</v>
      </c>
      <c r="B2" s="1613" t="s">
        <v>1206</v>
      </c>
      <c r="C2" s="1615" t="s">
        <v>2055</v>
      </c>
      <c r="D2" s="1615" t="s">
        <v>2056</v>
      </c>
      <c r="E2" s="1615" t="s">
        <v>2057</v>
      </c>
      <c r="F2" s="1617" t="s">
        <v>2058</v>
      </c>
      <c r="G2" s="1612" t="s">
        <v>2059</v>
      </c>
      <c r="H2" s="1611" t="s">
        <v>9</v>
      </c>
      <c r="I2" s="1611" t="s">
        <v>2060</v>
      </c>
      <c r="J2" s="1611" t="s">
        <v>2061</v>
      </c>
      <c r="K2" s="1611" t="s">
        <v>2062</v>
      </c>
    </row>
    <row r="3" spans="1:11" ht="36.75" customHeight="1">
      <c r="A3" s="1611"/>
      <c r="B3" s="1614"/>
      <c r="C3" s="1616"/>
      <c r="D3" s="1616"/>
      <c r="E3" s="1616"/>
      <c r="F3" s="1618"/>
      <c r="G3" s="1612"/>
      <c r="H3" s="1611"/>
      <c r="I3" s="1631"/>
      <c r="J3" s="1631"/>
      <c r="K3" s="1631"/>
    </row>
    <row r="4" spans="1:11" ht="137.25">
      <c r="A4" s="716">
        <v>1</v>
      </c>
      <c r="B4" s="729" t="s">
        <v>2063</v>
      </c>
      <c r="C4" s="696">
        <v>13</v>
      </c>
      <c r="D4" s="696">
        <v>1</v>
      </c>
      <c r="E4" s="696">
        <v>1</v>
      </c>
      <c r="F4" s="696">
        <v>0</v>
      </c>
      <c r="G4" s="704" t="s">
        <v>2138</v>
      </c>
      <c r="H4" s="700" t="s">
        <v>1975</v>
      </c>
      <c r="I4" s="687" t="s">
        <v>2175</v>
      </c>
      <c r="J4" s="28" t="s">
        <v>2066</v>
      </c>
      <c r="K4" s="28" t="s">
        <v>2176</v>
      </c>
    </row>
    <row r="5" spans="1:11" ht="137.25">
      <c r="A5" s="716">
        <v>2</v>
      </c>
      <c r="B5" s="729" t="s">
        <v>2068</v>
      </c>
      <c r="C5" s="696">
        <v>10</v>
      </c>
      <c r="D5" s="696">
        <v>1</v>
      </c>
      <c r="E5" s="696">
        <v>1</v>
      </c>
      <c r="F5" s="695">
        <v>0</v>
      </c>
      <c r="G5" s="705" t="s">
        <v>2069</v>
      </c>
      <c r="H5" s="700" t="s">
        <v>1975</v>
      </c>
      <c r="I5" s="687" t="s">
        <v>2175</v>
      </c>
      <c r="J5" s="28" t="s">
        <v>2070</v>
      </c>
      <c r="K5" s="28" t="s">
        <v>2176</v>
      </c>
    </row>
    <row r="6" spans="1:11" ht="76.5">
      <c r="A6" s="716">
        <v>3</v>
      </c>
      <c r="B6" s="694" t="s">
        <v>1957</v>
      </c>
      <c r="C6" s="696">
        <v>12</v>
      </c>
      <c r="D6" s="696">
        <v>0</v>
      </c>
      <c r="E6" s="722">
        <v>4</v>
      </c>
      <c r="F6" s="731">
        <v>-4</v>
      </c>
      <c r="G6" s="716" t="s">
        <v>77</v>
      </c>
      <c r="H6" s="700" t="s">
        <v>2133</v>
      </c>
      <c r="I6" s="719" t="s">
        <v>77</v>
      </c>
      <c r="J6" s="716" t="s">
        <v>77</v>
      </c>
      <c r="K6" s="716" t="s">
        <v>77</v>
      </c>
    </row>
    <row r="7" spans="1:11">
      <c r="A7" s="1669">
        <v>4</v>
      </c>
      <c r="B7" s="1646" t="s">
        <v>22</v>
      </c>
      <c r="C7" s="1646">
        <v>10</v>
      </c>
      <c r="D7" s="1646">
        <v>6</v>
      </c>
      <c r="E7" s="1646">
        <v>16</v>
      </c>
      <c r="F7" s="1684">
        <v>-10</v>
      </c>
      <c r="G7" s="704" t="s">
        <v>2177</v>
      </c>
      <c r="H7" s="1677" t="s">
        <v>1975</v>
      </c>
      <c r="I7" s="1681" t="s">
        <v>2175</v>
      </c>
      <c r="J7" s="721" t="s">
        <v>2066</v>
      </c>
      <c r="K7" s="1608" t="s">
        <v>2176</v>
      </c>
    </row>
    <row r="8" spans="1:11" ht="17.25" customHeight="1">
      <c r="A8" s="1670"/>
      <c r="B8" s="1647"/>
      <c r="C8" s="1647"/>
      <c r="D8" s="1647"/>
      <c r="E8" s="1647"/>
      <c r="F8" s="1685"/>
      <c r="G8" s="706" t="s">
        <v>2074</v>
      </c>
      <c r="H8" s="1677"/>
      <c r="I8" s="1681"/>
      <c r="J8" s="721" t="s">
        <v>2066</v>
      </c>
      <c r="K8" s="1609"/>
    </row>
    <row r="9" spans="1:11">
      <c r="A9" s="1670"/>
      <c r="B9" s="1647"/>
      <c r="C9" s="1647"/>
      <c r="D9" s="1647"/>
      <c r="E9" s="1647"/>
      <c r="F9" s="1685"/>
      <c r="G9" s="704" t="s">
        <v>2075</v>
      </c>
      <c r="H9" s="1677"/>
      <c r="I9" s="1681"/>
      <c r="J9" s="721" t="s">
        <v>2070</v>
      </c>
      <c r="K9" s="1609"/>
    </row>
    <row r="10" spans="1:11">
      <c r="A10" s="1670"/>
      <c r="B10" s="1647"/>
      <c r="C10" s="1647"/>
      <c r="D10" s="1647"/>
      <c r="E10" s="1647"/>
      <c r="F10" s="1685"/>
      <c r="G10" s="704" t="s">
        <v>2141</v>
      </c>
      <c r="H10" s="1677"/>
      <c r="I10" s="1681"/>
      <c r="J10" s="721" t="s">
        <v>2070</v>
      </c>
      <c r="K10" s="1609"/>
    </row>
    <row r="11" spans="1:11">
      <c r="A11" s="1670"/>
      <c r="B11" s="1647"/>
      <c r="C11" s="1647"/>
      <c r="D11" s="1647"/>
      <c r="E11" s="1647"/>
      <c r="F11" s="1685"/>
      <c r="G11" s="704" t="s">
        <v>2142</v>
      </c>
      <c r="H11" s="1677"/>
      <c r="I11" s="1681"/>
      <c r="J11" s="721" t="s">
        <v>2066</v>
      </c>
      <c r="K11" s="1609"/>
    </row>
    <row r="12" spans="1:11">
      <c r="A12" s="1670"/>
      <c r="B12" s="1647"/>
      <c r="C12" s="1647"/>
      <c r="D12" s="1647"/>
      <c r="E12" s="1647"/>
      <c r="F12" s="1685"/>
      <c r="G12" s="705" t="s">
        <v>2178</v>
      </c>
      <c r="H12" s="1677"/>
      <c r="I12" s="1681"/>
      <c r="J12" s="721" t="s">
        <v>2070</v>
      </c>
      <c r="K12" s="1609"/>
    </row>
    <row r="13" spans="1:11">
      <c r="A13" s="1669">
        <v>5</v>
      </c>
      <c r="B13" s="1646" t="s">
        <v>13</v>
      </c>
      <c r="C13" s="1646">
        <v>8</v>
      </c>
      <c r="D13" s="1646">
        <v>27</v>
      </c>
      <c r="E13" s="1646">
        <v>26</v>
      </c>
      <c r="F13" s="1646">
        <v>1</v>
      </c>
      <c r="G13" s="704" t="s">
        <v>2076</v>
      </c>
      <c r="H13" s="1680" t="s">
        <v>1975</v>
      </c>
      <c r="I13" s="1681"/>
      <c r="J13" s="721" t="s">
        <v>2070</v>
      </c>
      <c r="K13" s="1609"/>
    </row>
    <row r="14" spans="1:11">
      <c r="A14" s="1670"/>
      <c r="B14" s="1647"/>
      <c r="C14" s="1647"/>
      <c r="D14" s="1647"/>
      <c r="E14" s="1647"/>
      <c r="F14" s="1647"/>
      <c r="G14" s="706" t="s">
        <v>2077</v>
      </c>
      <c r="H14" s="1680"/>
      <c r="I14" s="1681"/>
      <c r="J14" s="721" t="s">
        <v>2066</v>
      </c>
      <c r="K14" s="1609"/>
    </row>
    <row r="15" spans="1:11">
      <c r="A15" s="1670"/>
      <c r="B15" s="1647"/>
      <c r="C15" s="1647"/>
      <c r="D15" s="1647"/>
      <c r="E15" s="1647"/>
      <c r="F15" s="1647"/>
      <c r="G15" s="704" t="s">
        <v>2078</v>
      </c>
      <c r="H15" s="1680"/>
      <c r="I15" s="1681"/>
      <c r="J15" s="721" t="s">
        <v>2070</v>
      </c>
      <c r="K15" s="1609"/>
    </row>
    <row r="16" spans="1:11">
      <c r="A16" s="1670"/>
      <c r="B16" s="1647"/>
      <c r="C16" s="1647"/>
      <c r="D16" s="1647"/>
      <c r="E16" s="1647"/>
      <c r="F16" s="1647"/>
      <c r="G16" s="704" t="s">
        <v>2079</v>
      </c>
      <c r="H16" s="1680"/>
      <c r="I16" s="1681"/>
      <c r="J16" s="721" t="s">
        <v>2070</v>
      </c>
      <c r="K16" s="1609"/>
    </row>
    <row r="17" spans="1:11">
      <c r="A17" s="1670"/>
      <c r="B17" s="1647"/>
      <c r="C17" s="1647"/>
      <c r="D17" s="1647"/>
      <c r="E17" s="1647"/>
      <c r="F17" s="1647"/>
      <c r="G17" s="704" t="s">
        <v>2080</v>
      </c>
      <c r="H17" s="1680"/>
      <c r="I17" s="1681"/>
      <c r="J17" s="721" t="s">
        <v>2070</v>
      </c>
      <c r="K17" s="1609"/>
    </row>
    <row r="18" spans="1:11">
      <c r="A18" s="1670"/>
      <c r="B18" s="1647"/>
      <c r="C18" s="1647"/>
      <c r="D18" s="1647"/>
      <c r="E18" s="1647"/>
      <c r="F18" s="1647"/>
      <c r="G18" s="704" t="s">
        <v>2081</v>
      </c>
      <c r="H18" s="1680"/>
      <c r="I18" s="1681"/>
      <c r="J18" s="721" t="s">
        <v>2070</v>
      </c>
      <c r="K18" s="1609"/>
    </row>
    <row r="19" spans="1:11">
      <c r="A19" s="1670"/>
      <c r="B19" s="1647"/>
      <c r="C19" s="1647"/>
      <c r="D19" s="1647"/>
      <c r="E19" s="1647"/>
      <c r="F19" s="1647"/>
      <c r="G19" s="704" t="s">
        <v>2082</v>
      </c>
      <c r="H19" s="1680"/>
      <c r="I19" s="1681"/>
      <c r="J19" s="721" t="s">
        <v>2070</v>
      </c>
      <c r="K19" s="1609"/>
    </row>
    <row r="20" spans="1:11">
      <c r="A20" s="1670"/>
      <c r="B20" s="1647"/>
      <c r="C20" s="1647"/>
      <c r="D20" s="1647"/>
      <c r="E20" s="1647"/>
      <c r="F20" s="1647"/>
      <c r="G20" s="704" t="s">
        <v>2083</v>
      </c>
      <c r="H20" s="1680"/>
      <c r="I20" s="1681"/>
      <c r="J20" s="721" t="s">
        <v>2070</v>
      </c>
      <c r="K20" s="1609"/>
    </row>
    <row r="21" spans="1:11">
      <c r="A21" s="1670"/>
      <c r="B21" s="1647"/>
      <c r="C21" s="1647"/>
      <c r="D21" s="1647"/>
      <c r="E21" s="1647"/>
      <c r="F21" s="1647"/>
      <c r="G21" s="704" t="s">
        <v>2084</v>
      </c>
      <c r="H21" s="1680"/>
      <c r="I21" s="1681"/>
      <c r="J21" s="721" t="s">
        <v>2070</v>
      </c>
      <c r="K21" s="1609"/>
    </row>
    <row r="22" spans="1:11">
      <c r="A22" s="1670"/>
      <c r="B22" s="1647"/>
      <c r="C22" s="1647"/>
      <c r="D22" s="1647"/>
      <c r="E22" s="1647"/>
      <c r="F22" s="1647"/>
      <c r="G22" s="706" t="s">
        <v>2085</v>
      </c>
      <c r="H22" s="1680"/>
      <c r="I22" s="1681"/>
      <c r="J22" s="721" t="s">
        <v>2066</v>
      </c>
      <c r="K22" s="1609"/>
    </row>
    <row r="23" spans="1:11">
      <c r="A23" s="1670"/>
      <c r="B23" s="1647"/>
      <c r="C23" s="1647"/>
      <c r="D23" s="1647"/>
      <c r="E23" s="1647"/>
      <c r="F23" s="1647"/>
      <c r="G23" s="704" t="s">
        <v>2086</v>
      </c>
      <c r="H23" s="1680"/>
      <c r="I23" s="1681"/>
      <c r="J23" s="721" t="s">
        <v>2066</v>
      </c>
      <c r="K23" s="1609"/>
    </row>
    <row r="24" spans="1:11">
      <c r="A24" s="1670"/>
      <c r="B24" s="1647"/>
      <c r="C24" s="1647"/>
      <c r="D24" s="1647"/>
      <c r="E24" s="1647"/>
      <c r="F24" s="1647"/>
      <c r="G24" s="704" t="s">
        <v>2087</v>
      </c>
      <c r="H24" s="1680"/>
      <c r="I24" s="1681"/>
      <c r="J24" s="721" t="s">
        <v>2066</v>
      </c>
      <c r="K24" s="1609"/>
    </row>
    <row r="25" spans="1:11">
      <c r="A25" s="1670"/>
      <c r="B25" s="1647"/>
      <c r="C25" s="1647"/>
      <c r="D25" s="1647"/>
      <c r="E25" s="1647"/>
      <c r="F25" s="1647"/>
      <c r="G25" s="704" t="s">
        <v>2179</v>
      </c>
      <c r="H25" s="1680"/>
      <c r="I25" s="1681"/>
      <c r="J25" s="721" t="s">
        <v>2066</v>
      </c>
      <c r="K25" s="1609"/>
    </row>
    <row r="26" spans="1:11">
      <c r="A26" s="1670"/>
      <c r="B26" s="1647"/>
      <c r="C26" s="1647"/>
      <c r="D26" s="1647"/>
      <c r="E26" s="1647"/>
      <c r="F26" s="1647"/>
      <c r="G26" s="704" t="s">
        <v>2180</v>
      </c>
      <c r="H26" s="1680"/>
      <c r="I26" s="1681"/>
      <c r="J26" s="721" t="s">
        <v>2066</v>
      </c>
      <c r="K26" s="1609"/>
    </row>
    <row r="27" spans="1:11">
      <c r="A27" s="1670"/>
      <c r="B27" s="1647"/>
      <c r="C27" s="1647"/>
      <c r="D27" s="1647"/>
      <c r="E27" s="1647"/>
      <c r="F27" s="1647"/>
      <c r="G27" s="704" t="s">
        <v>2181</v>
      </c>
      <c r="H27" s="1680"/>
      <c r="I27" s="1681"/>
      <c r="J27" s="721" t="s">
        <v>2066</v>
      </c>
      <c r="K27" s="1609"/>
    </row>
    <row r="28" spans="1:11">
      <c r="A28" s="1670"/>
      <c r="B28" s="1647"/>
      <c r="C28" s="1647"/>
      <c r="D28" s="1647"/>
      <c r="E28" s="1647"/>
      <c r="F28" s="1647"/>
      <c r="G28" s="704" t="s">
        <v>2182</v>
      </c>
      <c r="H28" s="1680"/>
      <c r="I28" s="1681"/>
      <c r="J28" s="721" t="s">
        <v>2066</v>
      </c>
      <c r="K28" s="1609"/>
    </row>
    <row r="29" spans="1:11">
      <c r="A29" s="1670"/>
      <c r="B29" s="1647"/>
      <c r="C29" s="1647"/>
      <c r="D29" s="1647"/>
      <c r="E29" s="1647"/>
      <c r="F29" s="1647"/>
      <c r="G29" s="706" t="s">
        <v>2183</v>
      </c>
      <c r="H29" s="1680"/>
      <c r="I29" s="1681"/>
      <c r="J29" s="721" t="s">
        <v>2070</v>
      </c>
      <c r="K29" s="1609"/>
    </row>
    <row r="30" spans="1:11">
      <c r="A30" s="1670"/>
      <c r="B30" s="1647"/>
      <c r="C30" s="1647"/>
      <c r="D30" s="1647"/>
      <c r="E30" s="1647"/>
      <c r="F30" s="1647"/>
      <c r="G30" s="706" t="s">
        <v>2184</v>
      </c>
      <c r="H30" s="1680"/>
      <c r="I30" s="1681"/>
      <c r="J30" s="721" t="s">
        <v>2066</v>
      </c>
      <c r="K30" s="1609"/>
    </row>
    <row r="31" spans="1:11">
      <c r="A31" s="1670"/>
      <c r="B31" s="1647"/>
      <c r="C31" s="1647"/>
      <c r="D31" s="1647"/>
      <c r="E31" s="1647"/>
      <c r="F31" s="1647"/>
      <c r="G31" s="706" t="s">
        <v>2185</v>
      </c>
      <c r="H31" s="1680"/>
      <c r="I31" s="1681"/>
      <c r="J31" s="721" t="s">
        <v>2066</v>
      </c>
      <c r="K31" s="1609"/>
    </row>
    <row r="32" spans="1:11">
      <c r="A32" s="1670"/>
      <c r="B32" s="1647"/>
      <c r="C32" s="1647"/>
      <c r="D32" s="1647"/>
      <c r="E32" s="1647"/>
      <c r="F32" s="1647"/>
      <c r="G32" s="706" t="s">
        <v>2186</v>
      </c>
      <c r="H32" s="1680"/>
      <c r="I32" s="1681"/>
      <c r="J32" s="721" t="s">
        <v>2066</v>
      </c>
      <c r="K32" s="1609"/>
    </row>
    <row r="33" spans="1:11">
      <c r="A33" s="1670"/>
      <c r="B33" s="1647"/>
      <c r="C33" s="1647"/>
      <c r="D33" s="1647"/>
      <c r="E33" s="1647"/>
      <c r="F33" s="1647"/>
      <c r="G33" s="706" t="s">
        <v>2187</v>
      </c>
      <c r="H33" s="1680"/>
      <c r="I33" s="1681"/>
      <c r="J33" s="721" t="s">
        <v>2066</v>
      </c>
      <c r="K33" s="1609"/>
    </row>
    <row r="34" spans="1:11">
      <c r="A34" s="1670"/>
      <c r="B34" s="1647"/>
      <c r="C34" s="1647"/>
      <c r="D34" s="1647"/>
      <c r="E34" s="1647"/>
      <c r="F34" s="1647"/>
      <c r="G34" s="706" t="s">
        <v>2188</v>
      </c>
      <c r="H34" s="1680"/>
      <c r="I34" s="1681"/>
      <c r="J34" s="721" t="s">
        <v>2066</v>
      </c>
      <c r="K34" s="1609"/>
    </row>
    <row r="35" spans="1:11">
      <c r="A35" s="1670"/>
      <c r="B35" s="1647"/>
      <c r="C35" s="1647"/>
      <c r="D35" s="1647"/>
      <c r="E35" s="1647"/>
      <c r="F35" s="1647"/>
      <c r="G35" s="706" t="s">
        <v>2189</v>
      </c>
      <c r="H35" s="1680"/>
      <c r="I35" s="1681"/>
      <c r="J35" s="721" t="s">
        <v>2066</v>
      </c>
      <c r="K35" s="1609"/>
    </row>
    <row r="36" spans="1:11">
      <c r="A36" s="1670"/>
      <c r="B36" s="1647"/>
      <c r="C36" s="1647"/>
      <c r="D36" s="1647"/>
      <c r="E36" s="1647"/>
      <c r="F36" s="1647"/>
      <c r="G36" s="706" t="s">
        <v>2190</v>
      </c>
      <c r="H36" s="1680"/>
      <c r="I36" s="1681"/>
      <c r="J36" s="721" t="s">
        <v>2066</v>
      </c>
      <c r="K36" s="1609"/>
    </row>
    <row r="37" spans="1:11">
      <c r="A37" s="1670"/>
      <c r="B37" s="1647"/>
      <c r="C37" s="1647"/>
      <c r="D37" s="1647"/>
      <c r="E37" s="1647"/>
      <c r="F37" s="1647"/>
      <c r="G37" s="706" t="s">
        <v>2191</v>
      </c>
      <c r="H37" s="1680"/>
      <c r="I37" s="1681"/>
      <c r="J37" s="721" t="s">
        <v>2066</v>
      </c>
      <c r="K37" s="1609"/>
    </row>
    <row r="38" spans="1:11">
      <c r="A38" s="1670"/>
      <c r="B38" s="1647"/>
      <c r="C38" s="1647"/>
      <c r="D38" s="1647"/>
      <c r="E38" s="1647"/>
      <c r="F38" s="1647"/>
      <c r="G38" s="706" t="s">
        <v>2192</v>
      </c>
      <c r="H38" s="1680"/>
      <c r="I38" s="1681"/>
      <c r="J38" s="721" t="s">
        <v>2066</v>
      </c>
      <c r="K38" s="1609"/>
    </row>
    <row r="39" spans="1:11">
      <c r="A39" s="1671"/>
      <c r="B39" s="1648"/>
      <c r="C39" s="1648"/>
      <c r="D39" s="1648"/>
      <c r="E39" s="1648"/>
      <c r="F39" s="1648"/>
      <c r="G39" s="706" t="s">
        <v>2193</v>
      </c>
      <c r="H39" s="1680"/>
      <c r="I39" s="1681"/>
      <c r="J39" s="721" t="s">
        <v>2066</v>
      </c>
      <c r="K39" s="1609"/>
    </row>
    <row r="40" spans="1:11" ht="30.75">
      <c r="A40" s="720">
        <v>6</v>
      </c>
      <c r="B40" s="694" t="s">
        <v>162</v>
      </c>
      <c r="C40" s="696">
        <v>10</v>
      </c>
      <c r="D40" s="696">
        <v>1</v>
      </c>
      <c r="E40" s="696">
        <v>2</v>
      </c>
      <c r="F40" s="696">
        <v>-1</v>
      </c>
      <c r="G40" s="704" t="s">
        <v>2098</v>
      </c>
      <c r="H40" s="700" t="s">
        <v>1975</v>
      </c>
      <c r="I40" s="1681"/>
      <c r="J40" s="733" t="s">
        <v>2070</v>
      </c>
      <c r="K40" s="1610"/>
    </row>
    <row r="41" spans="1:11" ht="45.75">
      <c r="A41" s="716">
        <v>7</v>
      </c>
      <c r="B41" s="694" t="s">
        <v>1801</v>
      </c>
      <c r="C41" s="696">
        <v>8</v>
      </c>
      <c r="D41" s="696">
        <v>0</v>
      </c>
      <c r="E41" s="696">
        <v>2</v>
      </c>
      <c r="F41" s="696">
        <v>-2</v>
      </c>
      <c r="G41" s="689" t="s">
        <v>77</v>
      </c>
      <c r="H41" s="700" t="s">
        <v>2100</v>
      </c>
      <c r="I41" s="720" t="s">
        <v>77</v>
      </c>
      <c r="J41" s="716" t="s">
        <v>77</v>
      </c>
      <c r="K41" s="716" t="s">
        <v>77</v>
      </c>
    </row>
    <row r="42" spans="1:11" ht="69.75" customHeight="1">
      <c r="A42" s="1669">
        <v>8</v>
      </c>
      <c r="B42" s="1655" t="s">
        <v>2101</v>
      </c>
      <c r="C42" s="1672">
        <v>7</v>
      </c>
      <c r="D42" s="1672">
        <v>2</v>
      </c>
      <c r="E42" s="1672">
        <v>4</v>
      </c>
      <c r="F42" s="1682">
        <v>-2</v>
      </c>
      <c r="G42" s="706" t="s">
        <v>2102</v>
      </c>
      <c r="H42" s="1677" t="s">
        <v>1975</v>
      </c>
      <c r="I42" s="1608" t="s">
        <v>2175</v>
      </c>
      <c r="J42" s="718" t="s">
        <v>2066</v>
      </c>
      <c r="K42" s="1608" t="s">
        <v>2176</v>
      </c>
    </row>
    <row r="43" spans="1:11" ht="69.75" customHeight="1">
      <c r="A43" s="1671"/>
      <c r="B43" s="1656"/>
      <c r="C43" s="1673"/>
      <c r="D43" s="1673"/>
      <c r="E43" s="1673"/>
      <c r="F43" s="1683"/>
      <c r="G43" s="704" t="s">
        <v>2103</v>
      </c>
      <c r="H43" s="1677"/>
      <c r="I43" s="1610"/>
      <c r="J43" s="28" t="s">
        <v>2066</v>
      </c>
      <c r="K43" s="1610"/>
    </row>
    <row r="44" spans="1:11" ht="76.5">
      <c r="A44" s="716">
        <v>9</v>
      </c>
      <c r="B44" s="697" t="s">
        <v>2105</v>
      </c>
      <c r="C44" s="723">
        <v>10</v>
      </c>
      <c r="D44" s="723">
        <v>0</v>
      </c>
      <c r="E44" s="723">
        <v>2</v>
      </c>
      <c r="F44" s="723">
        <v>-2</v>
      </c>
      <c r="G44" s="716" t="s">
        <v>77</v>
      </c>
      <c r="H44" s="700" t="s">
        <v>2153</v>
      </c>
      <c r="I44" s="716" t="s">
        <v>77</v>
      </c>
      <c r="J44" s="716" t="s">
        <v>77</v>
      </c>
      <c r="K44" s="716" t="s">
        <v>77</v>
      </c>
    </row>
    <row r="45" spans="1:11" ht="30.75">
      <c r="A45" s="716">
        <v>10</v>
      </c>
      <c r="B45" s="697" t="s">
        <v>2106</v>
      </c>
      <c r="C45" s="723">
        <v>8</v>
      </c>
      <c r="D45" s="723">
        <v>1</v>
      </c>
      <c r="E45" s="723">
        <v>2</v>
      </c>
      <c r="F45" s="723">
        <v>-1</v>
      </c>
      <c r="G45" s="704" t="s">
        <v>2154</v>
      </c>
      <c r="H45" s="700" t="s">
        <v>1975</v>
      </c>
      <c r="I45" s="1608" t="s">
        <v>2194</v>
      </c>
      <c r="J45" s="28" t="s">
        <v>2066</v>
      </c>
      <c r="K45" s="1608" t="s">
        <v>2176</v>
      </c>
    </row>
    <row r="46" spans="1:11" ht="30.75">
      <c r="A46" s="716">
        <v>11</v>
      </c>
      <c r="B46" s="697" t="s">
        <v>2107</v>
      </c>
      <c r="C46" s="723">
        <v>9</v>
      </c>
      <c r="D46" s="723">
        <v>1</v>
      </c>
      <c r="E46" s="723">
        <v>1</v>
      </c>
      <c r="F46" s="723">
        <v>0</v>
      </c>
      <c r="G46" s="704" t="s">
        <v>2108</v>
      </c>
      <c r="H46" s="700" t="s">
        <v>1975</v>
      </c>
      <c r="I46" s="1610"/>
      <c r="J46" s="28" t="s">
        <v>2066</v>
      </c>
      <c r="K46" s="1610"/>
    </row>
    <row r="47" spans="1:11" ht="45.75">
      <c r="A47" s="716">
        <v>12</v>
      </c>
      <c r="B47" s="697" t="s">
        <v>2111</v>
      </c>
      <c r="C47" s="723">
        <v>8</v>
      </c>
      <c r="D47" s="723">
        <v>0</v>
      </c>
      <c r="E47" s="723">
        <v>2</v>
      </c>
      <c r="F47" s="723">
        <v>-2</v>
      </c>
      <c r="G47" s="716" t="s">
        <v>77</v>
      </c>
      <c r="H47" s="700" t="s">
        <v>2112</v>
      </c>
      <c r="I47" s="716" t="s">
        <v>77</v>
      </c>
      <c r="J47" s="716" t="s">
        <v>77</v>
      </c>
      <c r="K47" s="716" t="s">
        <v>77</v>
      </c>
    </row>
    <row r="48" spans="1:11" ht="45.75">
      <c r="A48" s="716">
        <v>13</v>
      </c>
      <c r="B48" s="697" t="s">
        <v>2113</v>
      </c>
      <c r="C48" s="723">
        <v>7</v>
      </c>
      <c r="D48" s="723">
        <v>0</v>
      </c>
      <c r="E48" s="723">
        <v>2</v>
      </c>
      <c r="F48" s="723">
        <v>-2</v>
      </c>
      <c r="G48" s="716" t="s">
        <v>77</v>
      </c>
      <c r="H48" s="700" t="s">
        <v>2112</v>
      </c>
      <c r="I48" s="716" t="s">
        <v>77</v>
      </c>
      <c r="J48" s="716" t="s">
        <v>77</v>
      </c>
      <c r="K48" s="716" t="s">
        <v>77</v>
      </c>
    </row>
    <row r="49" spans="1:11" ht="45.75">
      <c r="A49" s="716">
        <v>14</v>
      </c>
      <c r="B49" s="697" t="s">
        <v>2114</v>
      </c>
      <c r="C49" s="723">
        <v>10</v>
      </c>
      <c r="D49" s="723">
        <v>0</v>
      </c>
      <c r="E49" s="723">
        <v>1</v>
      </c>
      <c r="F49" s="723">
        <v>-1</v>
      </c>
      <c r="G49" s="716" t="s">
        <v>77</v>
      </c>
      <c r="H49" s="700" t="s">
        <v>2115</v>
      </c>
      <c r="I49" s="716" t="s">
        <v>77</v>
      </c>
      <c r="J49" s="716" t="s">
        <v>77</v>
      </c>
      <c r="K49" s="716" t="s">
        <v>77</v>
      </c>
    </row>
    <row r="50" spans="1:11" ht="45.75">
      <c r="A50" s="716">
        <v>15</v>
      </c>
      <c r="B50" s="697" t="s">
        <v>2116</v>
      </c>
      <c r="C50" s="723">
        <v>8</v>
      </c>
      <c r="D50" s="723">
        <v>0</v>
      </c>
      <c r="E50" s="723">
        <v>1</v>
      </c>
      <c r="F50" s="723">
        <v>-1</v>
      </c>
      <c r="G50" s="716" t="s">
        <v>77</v>
      </c>
      <c r="H50" s="700" t="s">
        <v>2115</v>
      </c>
      <c r="I50" s="716" t="s">
        <v>77</v>
      </c>
      <c r="J50" s="716" t="s">
        <v>77</v>
      </c>
      <c r="K50" s="716" t="s">
        <v>77</v>
      </c>
    </row>
    <row r="51" spans="1:11">
      <c r="A51" s="1669">
        <v>16</v>
      </c>
      <c r="B51" s="1655" t="s">
        <v>2117</v>
      </c>
      <c r="C51" s="1672">
        <v>8</v>
      </c>
      <c r="D51" s="1672">
        <v>3</v>
      </c>
      <c r="E51" s="1672">
        <v>1</v>
      </c>
      <c r="F51" s="1672">
        <v>2</v>
      </c>
      <c r="G51" s="704" t="s">
        <v>2156</v>
      </c>
      <c r="H51" s="1680" t="s">
        <v>1975</v>
      </c>
      <c r="I51" s="1608" t="s">
        <v>2194</v>
      </c>
      <c r="J51" s="28" t="s">
        <v>2066</v>
      </c>
      <c r="K51" s="1608" t="s">
        <v>2176</v>
      </c>
    </row>
    <row r="52" spans="1:11">
      <c r="A52" s="1670"/>
      <c r="B52" s="1659"/>
      <c r="C52" s="1674"/>
      <c r="D52" s="1674"/>
      <c r="E52" s="1674"/>
      <c r="F52" s="1674"/>
      <c r="G52" s="704" t="s">
        <v>2157</v>
      </c>
      <c r="H52" s="1680"/>
      <c r="I52" s="1609"/>
      <c r="J52" s="28" t="s">
        <v>2066</v>
      </c>
      <c r="K52" s="1609"/>
    </row>
    <row r="53" spans="1:11">
      <c r="A53" s="1671"/>
      <c r="B53" s="1656"/>
      <c r="C53" s="1673"/>
      <c r="D53" s="1673"/>
      <c r="E53" s="1673"/>
      <c r="F53" s="1673"/>
      <c r="G53" s="704" t="s">
        <v>2158</v>
      </c>
      <c r="H53" s="1680"/>
      <c r="I53" s="1609"/>
      <c r="J53" s="28" t="s">
        <v>2066</v>
      </c>
      <c r="K53" s="1609"/>
    </row>
    <row r="54" spans="1:11">
      <c r="A54" s="1669">
        <v>17</v>
      </c>
      <c r="B54" s="1655" t="s">
        <v>1295</v>
      </c>
      <c r="C54" s="1672">
        <v>8</v>
      </c>
      <c r="D54" s="1672">
        <v>2</v>
      </c>
      <c r="E54" s="1672">
        <v>2</v>
      </c>
      <c r="F54" s="1672">
        <v>0</v>
      </c>
      <c r="G54" s="704" t="s">
        <v>2159</v>
      </c>
      <c r="H54" s="1677" t="s">
        <v>1975</v>
      </c>
      <c r="I54" s="1609"/>
      <c r="J54" s="28" t="s">
        <v>2066</v>
      </c>
      <c r="K54" s="1609"/>
    </row>
    <row r="55" spans="1:11">
      <c r="A55" s="1671"/>
      <c r="B55" s="1656"/>
      <c r="C55" s="1673"/>
      <c r="D55" s="1673"/>
      <c r="E55" s="1673"/>
      <c r="F55" s="1673"/>
      <c r="G55" s="704" t="s">
        <v>2160</v>
      </c>
      <c r="H55" s="1680"/>
      <c r="I55" s="1610"/>
      <c r="J55" s="28" t="s">
        <v>2066</v>
      </c>
      <c r="K55" s="1610"/>
    </row>
    <row r="56" spans="1:11" ht="33.75" customHeight="1">
      <c r="A56" s="716">
        <v>18</v>
      </c>
      <c r="B56" s="697" t="s">
        <v>2161</v>
      </c>
      <c r="C56" s="723">
        <v>9</v>
      </c>
      <c r="D56" s="723">
        <v>0</v>
      </c>
      <c r="E56" s="723">
        <v>1</v>
      </c>
      <c r="F56" s="723">
        <v>-1</v>
      </c>
      <c r="G56" s="716" t="s">
        <v>77</v>
      </c>
      <c r="H56" s="700" t="s">
        <v>2115</v>
      </c>
      <c r="I56" s="716" t="s">
        <v>77</v>
      </c>
      <c r="J56" s="716" t="s">
        <v>77</v>
      </c>
      <c r="K56" s="716" t="s">
        <v>77</v>
      </c>
    </row>
    <row r="57" spans="1:11" ht="29.25">
      <c r="A57" s="716">
        <v>19</v>
      </c>
      <c r="B57" s="697" t="s">
        <v>2163</v>
      </c>
      <c r="C57" s="723">
        <v>8</v>
      </c>
      <c r="D57" s="723">
        <v>0</v>
      </c>
      <c r="E57" s="723">
        <v>1</v>
      </c>
      <c r="F57" s="723">
        <v>-1</v>
      </c>
      <c r="G57" s="716" t="s">
        <v>77</v>
      </c>
      <c r="H57" s="702" t="s">
        <v>2115</v>
      </c>
      <c r="I57" s="716" t="s">
        <v>77</v>
      </c>
      <c r="J57" s="716" t="s">
        <v>77</v>
      </c>
      <c r="K57" s="716" t="s">
        <v>77</v>
      </c>
    </row>
    <row r="58" spans="1:11" ht="30.75">
      <c r="A58" s="716">
        <v>20</v>
      </c>
      <c r="B58" s="697" t="s">
        <v>2164</v>
      </c>
      <c r="C58" s="723">
        <v>7</v>
      </c>
      <c r="D58" s="723">
        <v>0</v>
      </c>
      <c r="E58" s="723">
        <v>1</v>
      </c>
      <c r="F58" s="723">
        <v>-1</v>
      </c>
      <c r="G58" s="716" t="s">
        <v>77</v>
      </c>
      <c r="H58" s="702" t="s">
        <v>2115</v>
      </c>
      <c r="I58" s="716" t="s">
        <v>77</v>
      </c>
      <c r="J58" s="716" t="s">
        <v>77</v>
      </c>
      <c r="K58" s="716" t="s">
        <v>77</v>
      </c>
    </row>
    <row r="59" spans="1:11" ht="30.75">
      <c r="A59" s="716">
        <v>21</v>
      </c>
      <c r="B59" s="697" t="s">
        <v>2165</v>
      </c>
      <c r="C59" s="723">
        <v>9</v>
      </c>
      <c r="D59" s="723">
        <v>0</v>
      </c>
      <c r="E59" s="723">
        <v>1</v>
      </c>
      <c r="F59" s="723">
        <v>-1</v>
      </c>
      <c r="G59" s="716" t="s">
        <v>77</v>
      </c>
      <c r="H59" s="702" t="s">
        <v>2115</v>
      </c>
      <c r="I59" s="716" t="s">
        <v>77</v>
      </c>
      <c r="J59" s="716" t="s">
        <v>77</v>
      </c>
      <c r="K59" s="716" t="s">
        <v>77</v>
      </c>
    </row>
    <row r="60" spans="1:11" ht="30.75">
      <c r="A60" s="716">
        <v>22</v>
      </c>
      <c r="B60" s="697" t="s">
        <v>2166</v>
      </c>
      <c r="C60" s="723">
        <v>8</v>
      </c>
      <c r="D60" s="723">
        <v>0</v>
      </c>
      <c r="E60" s="723">
        <v>1</v>
      </c>
      <c r="F60" s="723">
        <v>-1</v>
      </c>
      <c r="G60" s="716" t="s">
        <v>77</v>
      </c>
      <c r="H60" s="702" t="s">
        <v>2115</v>
      </c>
      <c r="I60" s="716" t="s">
        <v>77</v>
      </c>
      <c r="J60" s="716" t="s">
        <v>77</v>
      </c>
      <c r="K60" s="716" t="s">
        <v>77</v>
      </c>
    </row>
    <row r="61" spans="1:11" ht="30.75">
      <c r="A61" s="716">
        <v>23</v>
      </c>
      <c r="B61" s="697" t="s">
        <v>2167</v>
      </c>
      <c r="C61" s="723">
        <v>7</v>
      </c>
      <c r="D61" s="723">
        <v>0</v>
      </c>
      <c r="E61" s="723">
        <v>1</v>
      </c>
      <c r="F61" s="723">
        <v>-1</v>
      </c>
      <c r="G61" s="716" t="s">
        <v>77</v>
      </c>
      <c r="H61" s="702" t="s">
        <v>2115</v>
      </c>
      <c r="I61" s="716" t="s">
        <v>77</v>
      </c>
      <c r="J61" s="716" t="s">
        <v>77</v>
      </c>
      <c r="K61" s="716" t="s">
        <v>77</v>
      </c>
    </row>
    <row r="62" spans="1:11" ht="64.5" customHeight="1">
      <c r="A62" s="716">
        <v>24</v>
      </c>
      <c r="B62" s="697" t="s">
        <v>1246</v>
      </c>
      <c r="C62" s="723">
        <v>7</v>
      </c>
      <c r="D62" s="723">
        <v>1</v>
      </c>
      <c r="E62" s="723">
        <v>1</v>
      </c>
      <c r="F62" s="723">
        <v>0</v>
      </c>
      <c r="G62" s="704" t="s">
        <v>2123</v>
      </c>
      <c r="H62" s="702" t="s">
        <v>1975</v>
      </c>
      <c r="I62" s="28" t="s">
        <v>2194</v>
      </c>
      <c r="J62" s="28" t="s">
        <v>2070</v>
      </c>
      <c r="K62" s="28" t="s">
        <v>2176</v>
      </c>
    </row>
    <row r="63" spans="1:11" ht="29.25">
      <c r="A63" s="716">
        <v>25</v>
      </c>
      <c r="B63" s="697" t="s">
        <v>2170</v>
      </c>
      <c r="C63" s="723">
        <v>9</v>
      </c>
      <c r="D63" s="723">
        <v>0</v>
      </c>
      <c r="E63" s="723">
        <v>1</v>
      </c>
      <c r="F63" s="723">
        <v>-1</v>
      </c>
      <c r="G63" s="716" t="s">
        <v>77</v>
      </c>
      <c r="H63" s="702" t="s">
        <v>2115</v>
      </c>
      <c r="I63" s="716" t="s">
        <v>77</v>
      </c>
      <c r="J63" s="716" t="s">
        <v>77</v>
      </c>
      <c r="K63" s="716" t="s">
        <v>77</v>
      </c>
    </row>
    <row r="64" spans="1:11" ht="29.25">
      <c r="A64" s="716">
        <v>26</v>
      </c>
      <c r="B64" s="697" t="s">
        <v>2171</v>
      </c>
      <c r="C64" s="723">
        <v>8</v>
      </c>
      <c r="D64" s="723">
        <v>0</v>
      </c>
      <c r="E64" s="723">
        <v>1</v>
      </c>
      <c r="F64" s="723">
        <v>-1</v>
      </c>
      <c r="G64" s="716" t="s">
        <v>77</v>
      </c>
      <c r="H64" s="702" t="s">
        <v>2115</v>
      </c>
      <c r="I64" s="716" t="s">
        <v>77</v>
      </c>
      <c r="J64" s="716" t="s">
        <v>77</v>
      </c>
      <c r="K64" s="716" t="s">
        <v>77</v>
      </c>
    </row>
    <row r="65" spans="1:11" ht="23.25" customHeight="1">
      <c r="A65" s="716">
        <v>27</v>
      </c>
      <c r="B65" s="697" t="s">
        <v>2124</v>
      </c>
      <c r="C65" s="723">
        <v>9</v>
      </c>
      <c r="D65" s="723">
        <v>0</v>
      </c>
      <c r="E65" s="723">
        <v>2</v>
      </c>
      <c r="F65" s="723">
        <v>-2</v>
      </c>
      <c r="G65" s="716" t="s">
        <v>77</v>
      </c>
      <c r="H65" s="1678" t="s">
        <v>2172</v>
      </c>
      <c r="I65" s="716" t="s">
        <v>77</v>
      </c>
      <c r="J65" s="716" t="s">
        <v>77</v>
      </c>
      <c r="K65" s="1608" t="s">
        <v>2195</v>
      </c>
    </row>
    <row r="66" spans="1:11" ht="23.25" customHeight="1">
      <c r="A66" s="716">
        <v>28</v>
      </c>
      <c r="B66" s="697" t="s">
        <v>2125</v>
      </c>
      <c r="C66" s="723">
        <v>8</v>
      </c>
      <c r="D66" s="723">
        <v>0</v>
      </c>
      <c r="E66" s="723">
        <v>2</v>
      </c>
      <c r="F66" s="723">
        <v>-2</v>
      </c>
      <c r="G66" s="716" t="s">
        <v>77</v>
      </c>
      <c r="H66" s="1679"/>
      <c r="I66" s="716" t="s">
        <v>77</v>
      </c>
      <c r="J66" s="716" t="s">
        <v>77</v>
      </c>
      <c r="K66" s="1610"/>
    </row>
    <row r="67" spans="1:11">
      <c r="A67" s="1669">
        <v>29</v>
      </c>
      <c r="B67" s="1655" t="s">
        <v>1301</v>
      </c>
      <c r="C67" s="1672">
        <v>7</v>
      </c>
      <c r="D67" s="1672">
        <v>2</v>
      </c>
      <c r="E67" s="1672">
        <v>2</v>
      </c>
      <c r="F67" s="1682">
        <v>0</v>
      </c>
      <c r="G67" s="28" t="s">
        <v>2173</v>
      </c>
      <c r="H67" s="1677" t="s">
        <v>1975</v>
      </c>
      <c r="I67" s="1608" t="s">
        <v>2194</v>
      </c>
      <c r="J67" s="28" t="s">
        <v>2066</v>
      </c>
      <c r="K67" s="1608" t="s">
        <v>2176</v>
      </c>
    </row>
    <row r="68" spans="1:11">
      <c r="A68" s="1671"/>
      <c r="B68" s="1656"/>
      <c r="C68" s="1673"/>
      <c r="D68" s="1673"/>
      <c r="E68" s="1673"/>
      <c r="F68" s="1683"/>
      <c r="G68" s="28" t="s">
        <v>2174</v>
      </c>
      <c r="H68" s="1677"/>
      <c r="I68" s="1609"/>
      <c r="J68" s="28" t="s">
        <v>2066</v>
      </c>
      <c r="K68" s="1609"/>
    </row>
    <row r="69" spans="1:11" ht="30.75">
      <c r="A69" s="716">
        <v>30</v>
      </c>
      <c r="B69" s="697" t="s">
        <v>1793</v>
      </c>
      <c r="C69" s="723">
        <v>7</v>
      </c>
      <c r="D69" s="723">
        <v>1</v>
      </c>
      <c r="E69" s="723">
        <v>1</v>
      </c>
      <c r="F69" s="724">
        <v>0</v>
      </c>
      <c r="G69" s="28" t="s">
        <v>2126</v>
      </c>
      <c r="H69" s="700" t="s">
        <v>1975</v>
      </c>
      <c r="I69" s="1609"/>
      <c r="J69" s="28" t="s">
        <v>2070</v>
      </c>
      <c r="K69" s="1609"/>
    </row>
    <row r="70" spans="1:11">
      <c r="A70" s="716">
        <v>31</v>
      </c>
      <c r="B70" s="697" t="s">
        <v>2127</v>
      </c>
      <c r="C70" s="723">
        <v>6</v>
      </c>
      <c r="D70" s="723">
        <v>2</v>
      </c>
      <c r="E70" s="723">
        <v>2</v>
      </c>
      <c r="F70" s="724">
        <v>0</v>
      </c>
      <c r="G70" s="28" t="s">
        <v>2128</v>
      </c>
      <c r="H70" s="1640" t="s">
        <v>1975</v>
      </c>
      <c r="I70" s="1609"/>
      <c r="J70" s="28" t="s">
        <v>2066</v>
      </c>
      <c r="K70" s="1609"/>
    </row>
    <row r="71" spans="1:11">
      <c r="A71" s="716"/>
      <c r="B71" s="697"/>
      <c r="C71" s="723"/>
      <c r="D71" s="723"/>
      <c r="E71" s="723"/>
      <c r="F71" s="724"/>
      <c r="G71" s="728" t="s">
        <v>2129</v>
      </c>
      <c r="H71" s="1642"/>
      <c r="I71" s="1609"/>
      <c r="J71" s="28" t="s">
        <v>2066</v>
      </c>
      <c r="K71" s="1609"/>
    </row>
    <row r="72" spans="1:11">
      <c r="A72" s="1669">
        <v>32</v>
      </c>
      <c r="B72" s="1655" t="s">
        <v>1319</v>
      </c>
      <c r="C72" s="1672">
        <v>7</v>
      </c>
      <c r="D72" s="1672">
        <v>3</v>
      </c>
      <c r="E72" s="1672">
        <v>3</v>
      </c>
      <c r="F72" s="1672">
        <v>0</v>
      </c>
      <c r="G72" s="732" t="s">
        <v>2196</v>
      </c>
      <c r="H72" s="1640" t="s">
        <v>1975</v>
      </c>
      <c r="I72" s="1609"/>
      <c r="J72" s="28" t="s">
        <v>2066</v>
      </c>
      <c r="K72" s="1609"/>
    </row>
    <row r="73" spans="1:11">
      <c r="A73" s="1670"/>
      <c r="B73" s="1659"/>
      <c r="C73" s="1674"/>
      <c r="D73" s="1674"/>
      <c r="E73" s="1674"/>
      <c r="F73" s="1674"/>
      <c r="G73" s="704" t="s">
        <v>2197</v>
      </c>
      <c r="H73" s="1641"/>
      <c r="I73" s="1609"/>
      <c r="J73" s="28" t="s">
        <v>2066</v>
      </c>
      <c r="K73" s="1609"/>
    </row>
    <row r="74" spans="1:11">
      <c r="A74" s="1671"/>
      <c r="B74" s="1656"/>
      <c r="C74" s="1673"/>
      <c r="D74" s="1673"/>
      <c r="E74" s="1673"/>
      <c r="F74" s="1673"/>
      <c r="G74" s="705" t="s">
        <v>2198</v>
      </c>
      <c r="H74" s="1641"/>
      <c r="I74" s="1609"/>
      <c r="J74" s="28" t="s">
        <v>2066</v>
      </c>
      <c r="K74" s="1609"/>
    </row>
    <row r="75" spans="1:11">
      <c r="A75" s="1669">
        <v>33</v>
      </c>
      <c r="B75" s="1655" t="s">
        <v>1321</v>
      </c>
      <c r="C75" s="1672">
        <v>5</v>
      </c>
      <c r="D75" s="1672">
        <v>3</v>
      </c>
      <c r="E75" s="1672">
        <v>3</v>
      </c>
      <c r="F75" s="1672">
        <v>0</v>
      </c>
      <c r="G75" s="704" t="s">
        <v>2199</v>
      </c>
      <c r="H75" s="1677" t="s">
        <v>1975</v>
      </c>
      <c r="I75" s="1609"/>
      <c r="J75" s="28" t="s">
        <v>2066</v>
      </c>
      <c r="K75" s="1609"/>
    </row>
    <row r="76" spans="1:11">
      <c r="A76" s="1670"/>
      <c r="B76" s="1659"/>
      <c r="C76" s="1674"/>
      <c r="D76" s="1674"/>
      <c r="E76" s="1674"/>
      <c r="F76" s="1674"/>
      <c r="G76" s="704" t="s">
        <v>2200</v>
      </c>
      <c r="H76" s="1677"/>
      <c r="I76" s="1609"/>
      <c r="J76" s="28" t="s">
        <v>2066</v>
      </c>
      <c r="K76" s="1609"/>
    </row>
    <row r="77" spans="1:11">
      <c r="A77" s="1671"/>
      <c r="B77" s="1656"/>
      <c r="C77" s="1673"/>
      <c r="D77" s="1673"/>
      <c r="E77" s="1673"/>
      <c r="F77" s="1673"/>
      <c r="G77" s="704" t="s">
        <v>2201</v>
      </c>
      <c r="H77" s="1677"/>
      <c r="I77" s="1610"/>
      <c r="J77" s="28" t="s">
        <v>2066</v>
      </c>
      <c r="K77" s="1610"/>
    </row>
    <row r="78" spans="1:11">
      <c r="A78" s="699"/>
      <c r="B78" s="699"/>
      <c r="C78" s="699"/>
      <c r="D78" s="699"/>
      <c r="E78" s="699"/>
      <c r="F78" s="699"/>
      <c r="G78" s="699"/>
      <c r="H78" s="699"/>
      <c r="I78" s="699"/>
      <c r="J78" s="699"/>
      <c r="K78" s="699"/>
    </row>
    <row r="79" spans="1:11">
      <c r="A79" s="699"/>
      <c r="B79" s="699"/>
      <c r="C79" s="699"/>
      <c r="D79" s="699"/>
      <c r="E79" s="699"/>
      <c r="F79" s="699"/>
      <c r="G79" s="699"/>
      <c r="H79" s="699"/>
      <c r="I79" s="699"/>
      <c r="J79" s="699"/>
      <c r="K79" s="699"/>
    </row>
    <row r="80" spans="1:11">
      <c r="A80" s="699"/>
      <c r="B80" s="699"/>
      <c r="C80" s="699"/>
      <c r="D80" s="699"/>
      <c r="E80" s="699"/>
      <c r="F80" s="699"/>
      <c r="G80" s="699"/>
      <c r="H80" s="699"/>
      <c r="I80" s="699"/>
      <c r="J80" s="699"/>
      <c r="K80" s="699"/>
    </row>
    <row r="81" spans="1:11">
      <c r="A81" s="699"/>
      <c r="B81" s="699"/>
      <c r="C81" s="699"/>
      <c r="D81" s="699"/>
      <c r="E81" s="699"/>
      <c r="F81" s="699"/>
      <c r="G81" s="699"/>
      <c r="H81" s="699"/>
      <c r="I81" s="699"/>
      <c r="J81" s="699"/>
      <c r="K81" s="699"/>
    </row>
    <row r="82" spans="1:11">
      <c r="A82" s="699"/>
      <c r="B82" s="699"/>
      <c r="C82" s="699"/>
      <c r="D82" s="699"/>
      <c r="E82" s="699"/>
      <c r="F82" s="699"/>
      <c r="G82" s="699"/>
      <c r="H82" s="699"/>
      <c r="I82" s="699"/>
      <c r="J82" s="699"/>
      <c r="K82" s="699"/>
    </row>
    <row r="83" spans="1:11">
      <c r="A83" s="699"/>
      <c r="B83" s="699"/>
      <c r="C83" s="699"/>
      <c r="D83" s="699"/>
      <c r="E83" s="699"/>
      <c r="F83" s="699"/>
      <c r="G83" s="699"/>
      <c r="H83" s="699"/>
      <c r="I83" s="699"/>
      <c r="J83" s="699"/>
      <c r="K83" s="699"/>
    </row>
    <row r="84" spans="1:11">
      <c r="A84" s="699"/>
      <c r="B84" s="699"/>
      <c r="C84" s="699"/>
      <c r="D84" s="699"/>
      <c r="E84" s="699"/>
      <c r="F84" s="699"/>
      <c r="G84" s="699"/>
      <c r="H84" s="699"/>
      <c r="I84" s="699"/>
      <c r="J84" s="699"/>
      <c r="K84" s="699"/>
    </row>
    <row r="85" spans="1:11">
      <c r="A85" s="699"/>
      <c r="B85" s="699"/>
      <c r="C85" s="699"/>
      <c r="D85" s="699"/>
      <c r="E85" s="699"/>
      <c r="F85" s="699"/>
      <c r="G85" s="699"/>
      <c r="H85" s="699"/>
      <c r="I85" s="699"/>
      <c r="J85" s="699"/>
      <c r="K85" s="699"/>
    </row>
    <row r="86" spans="1:11">
      <c r="A86" s="699"/>
      <c r="B86" s="699"/>
      <c r="C86" s="699"/>
      <c r="D86" s="699"/>
      <c r="E86" s="699"/>
      <c r="F86" s="699"/>
      <c r="G86" s="699"/>
      <c r="H86" s="699"/>
      <c r="I86" s="699"/>
      <c r="J86" s="699"/>
      <c r="K86" s="699"/>
    </row>
    <row r="87" spans="1:11">
      <c r="A87" s="699"/>
      <c r="B87" s="699"/>
      <c r="C87" s="699"/>
      <c r="D87" s="699"/>
      <c r="E87" s="699"/>
      <c r="F87" s="699"/>
      <c r="G87" s="699"/>
      <c r="H87" s="699"/>
      <c r="I87" s="699"/>
      <c r="J87" s="699"/>
      <c r="K87" s="699"/>
    </row>
    <row r="88" spans="1:11">
      <c r="A88" s="699"/>
      <c r="B88" s="699"/>
      <c r="C88" s="699"/>
      <c r="D88" s="699"/>
      <c r="E88" s="699"/>
      <c r="F88" s="699"/>
      <c r="G88" s="699"/>
      <c r="H88" s="699"/>
      <c r="I88" s="699"/>
      <c r="J88" s="699"/>
      <c r="K88" s="699"/>
    </row>
    <row r="89" spans="1:11">
      <c r="A89" s="699"/>
      <c r="B89" s="699"/>
      <c r="C89" s="699"/>
      <c r="D89" s="699"/>
      <c r="E89" s="699"/>
      <c r="F89" s="699"/>
      <c r="G89" s="699"/>
      <c r="H89" s="699"/>
      <c r="I89" s="699"/>
      <c r="J89" s="699"/>
      <c r="K89" s="699"/>
    </row>
  </sheetData>
  <mergeCells count="80">
    <mergeCell ref="A42:A43"/>
    <mergeCell ref="A2:A3"/>
    <mergeCell ref="I2:I3"/>
    <mergeCell ref="J2:J3"/>
    <mergeCell ref="K2:K3"/>
    <mergeCell ref="G2:G3"/>
    <mergeCell ref="H2:H3"/>
    <mergeCell ref="F2:F3"/>
    <mergeCell ref="B2:B3"/>
    <mergeCell ref="C2:C3"/>
    <mergeCell ref="D2:D3"/>
    <mergeCell ref="E2:E3"/>
    <mergeCell ref="F7:F12"/>
    <mergeCell ref="H7:H12"/>
    <mergeCell ref="A13:A39"/>
    <mergeCell ref="B13:B39"/>
    <mergeCell ref="C13:C39"/>
    <mergeCell ref="D13:D39"/>
    <mergeCell ref="E13:E39"/>
    <mergeCell ref="F13:F39"/>
    <mergeCell ref="H13:H39"/>
    <mergeCell ref="A7:A12"/>
    <mergeCell ref="B7:B12"/>
    <mergeCell ref="C7:C12"/>
    <mergeCell ref="D7:D12"/>
    <mergeCell ref="E7:E12"/>
    <mergeCell ref="B42:B43"/>
    <mergeCell ref="C42:C43"/>
    <mergeCell ref="D42:D43"/>
    <mergeCell ref="E42:E43"/>
    <mergeCell ref="F67:F68"/>
    <mergeCell ref="F51:F53"/>
    <mergeCell ref="F42:F43"/>
    <mergeCell ref="F54:F55"/>
    <mergeCell ref="A54:A55"/>
    <mergeCell ref="B54:B55"/>
    <mergeCell ref="C54:C55"/>
    <mergeCell ref="D54:D55"/>
    <mergeCell ref="E54:E55"/>
    <mergeCell ref="A51:A53"/>
    <mergeCell ref="B51:B53"/>
    <mergeCell ref="C51:C53"/>
    <mergeCell ref="D51:D53"/>
    <mergeCell ref="E51:E53"/>
    <mergeCell ref="A67:A68"/>
    <mergeCell ref="B67:B68"/>
    <mergeCell ref="C67:C68"/>
    <mergeCell ref="D67:D68"/>
    <mergeCell ref="E67:E68"/>
    <mergeCell ref="I7:I40"/>
    <mergeCell ref="F75:F77"/>
    <mergeCell ref="H75:H77"/>
    <mergeCell ref="A75:A77"/>
    <mergeCell ref="B75:B77"/>
    <mergeCell ref="C75:C77"/>
    <mergeCell ref="D75:D77"/>
    <mergeCell ref="E75:E77"/>
    <mergeCell ref="H70:H71"/>
    <mergeCell ref="H72:H74"/>
    <mergeCell ref="A72:A74"/>
    <mergeCell ref="B72:B74"/>
    <mergeCell ref="C72:C74"/>
    <mergeCell ref="D72:D74"/>
    <mergeCell ref="E72:E74"/>
    <mergeCell ref="F72:F74"/>
    <mergeCell ref="K7:K40"/>
    <mergeCell ref="K42:K43"/>
    <mergeCell ref="K45:K46"/>
    <mergeCell ref="K51:K55"/>
    <mergeCell ref="K67:K77"/>
    <mergeCell ref="K65:K66"/>
    <mergeCell ref="H65:H66"/>
    <mergeCell ref="I67:I77"/>
    <mergeCell ref="I51:I55"/>
    <mergeCell ref="I45:I46"/>
    <mergeCell ref="I42:I43"/>
    <mergeCell ref="H67:H68"/>
    <mergeCell ref="H42:H43"/>
    <mergeCell ref="H51:H53"/>
    <mergeCell ref="H54:H55"/>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B56B4-77F3-4FE4-8533-AD84543DDF2E}">
  <dimension ref="A2:H111"/>
  <sheetViews>
    <sheetView topLeftCell="A100" workbookViewId="0">
      <selection activeCell="I66" sqref="I66"/>
    </sheetView>
  </sheetViews>
  <sheetFormatPr defaultRowHeight="15"/>
  <cols>
    <col min="1" max="1" width="5.5703125" customWidth="1"/>
    <col min="2" max="2" width="34.85546875" style="593" customWidth="1"/>
    <col min="4" max="4" width="11.140625" customWidth="1"/>
    <col min="5" max="5" width="13" customWidth="1"/>
    <col min="7" max="7" width="47.42578125" customWidth="1"/>
  </cols>
  <sheetData>
    <row r="2" spans="1:8" ht="18.75">
      <c r="A2" s="1702" t="s">
        <v>2202</v>
      </c>
      <c r="B2" s="1702"/>
      <c r="C2" s="1702"/>
      <c r="D2" s="1702"/>
      <c r="E2" s="1702"/>
      <c r="F2" s="1702"/>
      <c r="G2" s="1702"/>
    </row>
    <row r="4" spans="1:8" s="649" customFormat="1" ht="30.75">
      <c r="A4" s="658" t="s">
        <v>61</v>
      </c>
      <c r="B4" s="658" t="s">
        <v>63</v>
      </c>
      <c r="C4" s="658" t="s">
        <v>2203</v>
      </c>
      <c r="D4" s="658" t="s">
        <v>2204</v>
      </c>
      <c r="E4" s="658" t="s">
        <v>2205</v>
      </c>
      <c r="F4" s="658" t="s">
        <v>2206</v>
      </c>
      <c r="G4" s="658" t="s">
        <v>2207</v>
      </c>
    </row>
    <row r="5" spans="1:8" ht="57.75" customHeight="1">
      <c r="A5" s="24">
        <v>1</v>
      </c>
      <c r="B5" s="23" t="s">
        <v>2208</v>
      </c>
      <c r="C5" s="24">
        <v>13</v>
      </c>
      <c r="D5" s="24">
        <v>1</v>
      </c>
      <c r="E5" s="24">
        <v>1</v>
      </c>
      <c r="F5" s="24">
        <v>0</v>
      </c>
      <c r="G5" s="355" t="s">
        <v>2209</v>
      </c>
    </row>
    <row r="6" spans="1:8" ht="45.75">
      <c r="A6" s="24">
        <v>2</v>
      </c>
      <c r="B6" s="750" t="s">
        <v>2210</v>
      </c>
      <c r="C6" s="24">
        <v>10</v>
      </c>
      <c r="D6" s="24">
        <v>1</v>
      </c>
      <c r="E6" s="24">
        <v>1</v>
      </c>
      <c r="F6" s="24">
        <v>0</v>
      </c>
      <c r="G6" s="355" t="s">
        <v>2211</v>
      </c>
    </row>
    <row r="7" spans="1:8" ht="39" customHeight="1">
      <c r="A7" s="757">
        <v>3</v>
      </c>
      <c r="B7" s="752" t="s">
        <v>2212</v>
      </c>
      <c r="C7" s="753">
        <v>10</v>
      </c>
      <c r="D7" s="24">
        <v>0</v>
      </c>
      <c r="E7" s="24">
        <v>1</v>
      </c>
      <c r="F7" s="24">
        <v>-1</v>
      </c>
      <c r="G7" s="645" t="s">
        <v>77</v>
      </c>
    </row>
    <row r="8" spans="1:8" ht="51" customHeight="1">
      <c r="A8" s="757">
        <v>4</v>
      </c>
      <c r="B8" s="683" t="s">
        <v>2213</v>
      </c>
      <c r="C8" s="753">
        <v>8</v>
      </c>
      <c r="D8" s="24">
        <v>0</v>
      </c>
      <c r="E8" s="24">
        <v>1</v>
      </c>
      <c r="F8" s="24">
        <v>-1</v>
      </c>
      <c r="G8" s="645" t="s">
        <v>77</v>
      </c>
    </row>
    <row r="9" spans="1:8" ht="47.25" customHeight="1">
      <c r="A9" s="757">
        <v>5</v>
      </c>
      <c r="B9" s="23" t="s">
        <v>2214</v>
      </c>
      <c r="C9" s="753">
        <v>10</v>
      </c>
      <c r="D9" s="24">
        <v>0</v>
      </c>
      <c r="E9" s="24">
        <v>2</v>
      </c>
      <c r="F9" s="24">
        <v>-2</v>
      </c>
      <c r="G9" s="645" t="s">
        <v>77</v>
      </c>
    </row>
    <row r="10" spans="1:8" ht="41.25" customHeight="1">
      <c r="A10" s="24">
        <v>6</v>
      </c>
      <c r="B10" s="15" t="s">
        <v>1313</v>
      </c>
      <c r="C10" s="24">
        <v>8</v>
      </c>
      <c r="D10" s="24">
        <v>0</v>
      </c>
      <c r="E10" s="24">
        <v>2</v>
      </c>
      <c r="F10" s="24">
        <v>-2</v>
      </c>
      <c r="G10" s="645" t="s">
        <v>77</v>
      </c>
    </row>
    <row r="11" spans="1:8" ht="47.25" customHeight="1">
      <c r="A11" s="24">
        <v>7</v>
      </c>
      <c r="B11" s="750" t="s">
        <v>2215</v>
      </c>
      <c r="C11" s="24">
        <v>9</v>
      </c>
      <c r="D11" s="24">
        <v>1</v>
      </c>
      <c r="E11" s="24">
        <v>1</v>
      </c>
      <c r="F11" s="24">
        <v>0</v>
      </c>
      <c r="G11" s="355" t="s">
        <v>2216</v>
      </c>
    </row>
    <row r="12" spans="1:8" ht="27.75" customHeight="1">
      <c r="A12" s="757">
        <v>8</v>
      </c>
      <c r="B12" s="675" t="s">
        <v>2111</v>
      </c>
      <c r="C12" s="753">
        <v>8</v>
      </c>
      <c r="D12" s="24">
        <v>0</v>
      </c>
      <c r="E12" s="24">
        <v>2</v>
      </c>
      <c r="F12" s="24">
        <v>-2</v>
      </c>
      <c r="G12" s="645" t="s">
        <v>77</v>
      </c>
    </row>
    <row r="13" spans="1:8" ht="31.5" customHeight="1">
      <c r="A13" s="24">
        <v>9</v>
      </c>
      <c r="B13" s="16" t="s">
        <v>2113</v>
      </c>
      <c r="C13" s="24">
        <v>7</v>
      </c>
      <c r="D13" s="24">
        <v>0</v>
      </c>
      <c r="E13" s="24">
        <v>2</v>
      </c>
      <c r="F13" s="24">
        <v>-2</v>
      </c>
      <c r="G13" s="645" t="s">
        <v>77</v>
      </c>
    </row>
    <row r="14" spans="1:8" ht="15" customHeight="1">
      <c r="A14" s="1693">
        <v>10</v>
      </c>
      <c r="B14" s="1703" t="s">
        <v>2127</v>
      </c>
      <c r="C14" s="1622">
        <v>6</v>
      </c>
      <c r="D14" s="1622">
        <v>3</v>
      </c>
      <c r="E14" s="1622">
        <v>2</v>
      </c>
      <c r="F14" s="1622">
        <v>-1</v>
      </c>
      <c r="G14" s="670" t="s">
        <v>2217</v>
      </c>
      <c r="H14" s="668"/>
    </row>
    <row r="15" spans="1:8">
      <c r="A15" s="1694"/>
      <c r="B15" s="1704"/>
      <c r="C15" s="1623"/>
      <c r="D15" s="1623"/>
      <c r="E15" s="1623"/>
      <c r="F15" s="1623"/>
      <c r="G15" s="671" t="s">
        <v>2218</v>
      </c>
      <c r="H15" s="668"/>
    </row>
    <row r="16" spans="1:8">
      <c r="A16" s="1694"/>
      <c r="B16" s="1704"/>
      <c r="C16" s="1623"/>
      <c r="D16" s="1623"/>
      <c r="E16" s="1623"/>
      <c r="F16" s="1623"/>
      <c r="G16" s="670" t="s">
        <v>128</v>
      </c>
      <c r="H16" s="668"/>
    </row>
    <row r="17" spans="1:8">
      <c r="A17" s="1694"/>
      <c r="B17" s="1704"/>
      <c r="C17" s="1623"/>
      <c r="D17" s="1623"/>
      <c r="E17" s="1623"/>
      <c r="F17" s="1623"/>
      <c r="G17" s="672" t="s">
        <v>2219</v>
      </c>
      <c r="H17" s="668"/>
    </row>
    <row r="18" spans="1:8">
      <c r="A18" s="1694"/>
      <c r="B18" s="1704"/>
      <c r="C18" s="1623"/>
      <c r="D18" s="1623"/>
      <c r="E18" s="1623"/>
      <c r="F18" s="1623"/>
      <c r="G18" s="736" t="s">
        <v>2220</v>
      </c>
      <c r="H18" s="668"/>
    </row>
    <row r="19" spans="1:8" ht="17.25" customHeight="1">
      <c r="A19" s="1695"/>
      <c r="B19" s="1705"/>
      <c r="C19" s="1624"/>
      <c r="D19" s="1624"/>
      <c r="E19" s="1624"/>
      <c r="F19" s="1624"/>
      <c r="G19" s="737" t="s">
        <v>2221</v>
      </c>
      <c r="H19" s="668"/>
    </row>
    <row r="20" spans="1:8" ht="24" customHeight="1">
      <c r="A20" s="1622">
        <v>11</v>
      </c>
      <c r="B20" s="1686" t="s">
        <v>1295</v>
      </c>
      <c r="C20" s="1622">
        <v>8</v>
      </c>
      <c r="D20" s="1622">
        <v>1</v>
      </c>
      <c r="E20" s="1622">
        <v>2</v>
      </c>
      <c r="F20" s="1622">
        <v>-1</v>
      </c>
      <c r="G20" s="736" t="s">
        <v>2222</v>
      </c>
      <c r="H20" s="668"/>
    </row>
    <row r="21" spans="1:8" ht="26.25" customHeight="1">
      <c r="A21" s="1623"/>
      <c r="B21" s="1698"/>
      <c r="C21" s="1623"/>
      <c r="D21" s="1623"/>
      <c r="E21" s="1623"/>
      <c r="F21" s="1623"/>
      <c r="G21" s="736" t="s">
        <v>2223</v>
      </c>
      <c r="H21" s="668"/>
    </row>
    <row r="22" spans="1:8" ht="24.75" customHeight="1">
      <c r="A22" s="24">
        <v>12</v>
      </c>
      <c r="B22" s="754" t="s">
        <v>2161</v>
      </c>
      <c r="C22" s="24">
        <v>9</v>
      </c>
      <c r="D22" s="24">
        <v>0</v>
      </c>
      <c r="E22" s="24">
        <v>1</v>
      </c>
      <c r="F22" s="24">
        <v>-1</v>
      </c>
      <c r="G22" s="645" t="s">
        <v>77</v>
      </c>
      <c r="H22" s="668"/>
    </row>
    <row r="23" spans="1:8" ht="22.5" customHeight="1">
      <c r="A23" s="24">
        <v>13</v>
      </c>
      <c r="B23" s="756" t="s">
        <v>2163</v>
      </c>
      <c r="C23" s="24">
        <v>8</v>
      </c>
      <c r="D23" s="24">
        <v>0</v>
      </c>
      <c r="E23" s="24">
        <v>1</v>
      </c>
      <c r="F23" s="24">
        <v>-1</v>
      </c>
      <c r="G23" s="645" t="s">
        <v>77</v>
      </c>
      <c r="H23" s="668"/>
    </row>
    <row r="24" spans="1:8" ht="24.75" customHeight="1">
      <c r="A24" s="742">
        <v>14</v>
      </c>
      <c r="B24" s="759" t="s">
        <v>2164</v>
      </c>
      <c r="C24" s="747">
        <v>7</v>
      </c>
      <c r="D24" s="735">
        <v>0</v>
      </c>
      <c r="E24" s="735">
        <v>1</v>
      </c>
      <c r="F24" s="742">
        <v>-1</v>
      </c>
      <c r="G24" s="645" t="s">
        <v>77</v>
      </c>
      <c r="H24" s="668"/>
    </row>
    <row r="25" spans="1:8" ht="20.25" customHeight="1">
      <c r="A25" s="1622">
        <v>15</v>
      </c>
      <c r="B25" s="1605" t="s">
        <v>1291</v>
      </c>
      <c r="C25" s="1622">
        <v>8</v>
      </c>
      <c r="D25" s="1622">
        <v>1</v>
      </c>
      <c r="E25" s="1622">
        <v>1</v>
      </c>
      <c r="F25" s="1622">
        <v>0</v>
      </c>
      <c r="G25" s="748" t="s">
        <v>2224</v>
      </c>
      <c r="H25" s="668"/>
    </row>
    <row r="26" spans="1:8" ht="21" customHeight="1">
      <c r="A26" s="1624"/>
      <c r="B26" s="1607"/>
      <c r="C26" s="1624"/>
      <c r="D26" s="1624"/>
      <c r="E26" s="1624"/>
      <c r="F26" s="1624"/>
      <c r="G26" s="737" t="s">
        <v>2225</v>
      </c>
      <c r="H26" s="668"/>
    </row>
    <row r="27" spans="1:8" ht="24" customHeight="1">
      <c r="A27" s="738">
        <v>16</v>
      </c>
      <c r="B27" s="686" t="s">
        <v>2170</v>
      </c>
      <c r="C27" s="644">
        <v>9</v>
      </c>
      <c r="D27" s="644">
        <v>0</v>
      </c>
      <c r="E27" s="644">
        <v>1</v>
      </c>
      <c r="F27" s="644">
        <v>-1</v>
      </c>
      <c r="G27" s="645" t="s">
        <v>77</v>
      </c>
      <c r="H27" s="668"/>
    </row>
    <row r="28" spans="1:8" ht="27" customHeight="1">
      <c r="A28" s="738">
        <v>17</v>
      </c>
      <c r="B28" s="675" t="s">
        <v>2171</v>
      </c>
      <c r="C28" s="24">
        <v>8</v>
      </c>
      <c r="D28" s="24">
        <v>0</v>
      </c>
      <c r="E28" s="24">
        <v>1</v>
      </c>
      <c r="F28" s="24">
        <v>-1</v>
      </c>
      <c r="G28" s="645" t="s">
        <v>77</v>
      </c>
      <c r="H28" s="668"/>
    </row>
    <row r="29" spans="1:8" ht="28.5" customHeight="1">
      <c r="A29" s="738">
        <v>18</v>
      </c>
      <c r="B29" s="675" t="s">
        <v>2124</v>
      </c>
      <c r="C29" s="24">
        <v>8</v>
      </c>
      <c r="D29" s="24">
        <v>0</v>
      </c>
      <c r="E29" s="24">
        <v>2</v>
      </c>
      <c r="F29" s="24">
        <v>-2</v>
      </c>
      <c r="G29" s="645" t="s">
        <v>77</v>
      </c>
      <c r="H29" s="668"/>
    </row>
    <row r="30" spans="1:8" ht="27" customHeight="1">
      <c r="A30" s="738">
        <v>19</v>
      </c>
      <c r="B30" s="675" t="s">
        <v>2125</v>
      </c>
      <c r="C30" s="24">
        <v>7</v>
      </c>
      <c r="D30" s="24">
        <v>0</v>
      </c>
      <c r="E30" s="24">
        <v>2</v>
      </c>
      <c r="F30" s="24">
        <v>-2</v>
      </c>
      <c r="G30" s="645" t="s">
        <v>77</v>
      </c>
      <c r="H30" s="668"/>
    </row>
    <row r="31" spans="1:8" ht="29.25" customHeight="1">
      <c r="A31" s="738">
        <v>20</v>
      </c>
      <c r="B31" s="675" t="s">
        <v>1301</v>
      </c>
      <c r="C31" s="24">
        <v>6</v>
      </c>
      <c r="D31" s="24">
        <v>0</v>
      </c>
      <c r="E31" s="24">
        <v>2</v>
      </c>
      <c r="F31" s="24">
        <v>-2</v>
      </c>
      <c r="G31" s="645" t="s">
        <v>77</v>
      </c>
      <c r="H31" s="668"/>
    </row>
    <row r="32" spans="1:8" ht="22.5" customHeight="1">
      <c r="A32" s="738">
        <v>21</v>
      </c>
      <c r="B32" s="675" t="s">
        <v>2165</v>
      </c>
      <c r="C32" s="24">
        <v>9</v>
      </c>
      <c r="D32" s="24">
        <v>0</v>
      </c>
      <c r="E32" s="24">
        <v>1</v>
      </c>
      <c r="F32" s="24">
        <v>-1</v>
      </c>
      <c r="G32" s="645" t="s">
        <v>77</v>
      </c>
      <c r="H32" s="668"/>
    </row>
    <row r="33" spans="1:8" ht="30.75" customHeight="1">
      <c r="A33" s="738">
        <v>22</v>
      </c>
      <c r="B33" s="675" t="s">
        <v>2166</v>
      </c>
      <c r="C33" s="24">
        <v>8</v>
      </c>
      <c r="D33" s="24">
        <v>0</v>
      </c>
      <c r="E33" s="24">
        <v>1</v>
      </c>
      <c r="F33" s="24">
        <v>-1</v>
      </c>
      <c r="G33" s="645" t="s">
        <v>77</v>
      </c>
      <c r="H33" s="668"/>
    </row>
    <row r="34" spans="1:8" ht="27" customHeight="1">
      <c r="A34" s="742">
        <v>23</v>
      </c>
      <c r="B34" s="740" t="s">
        <v>2167</v>
      </c>
      <c r="C34" s="734">
        <v>7</v>
      </c>
      <c r="D34" s="734">
        <v>0</v>
      </c>
      <c r="E34" s="734">
        <v>1</v>
      </c>
      <c r="F34" s="734">
        <v>-1</v>
      </c>
      <c r="G34" s="645" t="s">
        <v>77</v>
      </c>
      <c r="H34" s="668"/>
    </row>
    <row r="35" spans="1:8" ht="19.5" customHeight="1">
      <c r="A35" s="1622">
        <v>24</v>
      </c>
      <c r="B35" s="1608" t="s">
        <v>1246</v>
      </c>
      <c r="C35" s="1622">
        <v>7</v>
      </c>
      <c r="D35" s="1622">
        <v>1</v>
      </c>
      <c r="E35" s="1622">
        <v>1</v>
      </c>
      <c r="F35" s="1622">
        <v>0</v>
      </c>
      <c r="G35" s="743" t="s">
        <v>143</v>
      </c>
      <c r="H35" s="668"/>
    </row>
    <row r="36" spans="1:8">
      <c r="A36" s="1623"/>
      <c r="B36" s="1610"/>
      <c r="C36" s="1623"/>
      <c r="D36" s="1623"/>
      <c r="E36" s="1623"/>
      <c r="F36" s="1623"/>
      <c r="G36" s="736" t="s">
        <v>2226</v>
      </c>
      <c r="H36" s="668"/>
    </row>
    <row r="37" spans="1:8">
      <c r="A37" s="1622">
        <v>25</v>
      </c>
      <c r="B37" s="1686" t="s">
        <v>1233</v>
      </c>
      <c r="C37" s="1622">
        <v>7</v>
      </c>
      <c r="D37" s="1622">
        <v>1</v>
      </c>
      <c r="E37" s="1622">
        <v>1</v>
      </c>
      <c r="F37" s="1622">
        <v>0</v>
      </c>
      <c r="G37" s="741" t="s">
        <v>123</v>
      </c>
      <c r="H37" s="668"/>
    </row>
    <row r="38" spans="1:8">
      <c r="A38" s="1624"/>
      <c r="B38" s="1687"/>
      <c r="C38" s="1624"/>
      <c r="D38" s="1624"/>
      <c r="E38" s="1624"/>
      <c r="F38" s="1624"/>
      <c r="G38" s="736" t="s">
        <v>2227</v>
      </c>
      <c r="H38" s="668"/>
    </row>
    <row r="39" spans="1:8">
      <c r="A39" s="1623">
        <v>26</v>
      </c>
      <c r="B39" s="1698" t="s">
        <v>2228</v>
      </c>
      <c r="C39" s="1623">
        <v>7</v>
      </c>
      <c r="D39" s="1623">
        <v>3</v>
      </c>
      <c r="E39" s="1623">
        <v>4</v>
      </c>
      <c r="F39" s="1700">
        <v>-1</v>
      </c>
      <c r="G39" s="739" t="s">
        <v>2229</v>
      </c>
      <c r="H39" s="668"/>
    </row>
    <row r="40" spans="1:8">
      <c r="A40" s="1623"/>
      <c r="B40" s="1698"/>
      <c r="C40" s="1623"/>
      <c r="D40" s="1623"/>
      <c r="E40" s="1623"/>
      <c r="F40" s="1700"/>
      <c r="G40" s="745" t="s">
        <v>2230</v>
      </c>
      <c r="H40" s="668"/>
    </row>
    <row r="41" spans="1:8">
      <c r="A41" s="1623"/>
      <c r="B41" s="1698"/>
      <c r="C41" s="1623"/>
      <c r="D41" s="1623"/>
      <c r="E41" s="1623"/>
      <c r="F41" s="1700"/>
      <c r="G41" s="745" t="s">
        <v>2231</v>
      </c>
      <c r="H41" s="668"/>
    </row>
    <row r="42" spans="1:8">
      <c r="A42" s="1623"/>
      <c r="B42" s="1698"/>
      <c r="C42" s="1623"/>
      <c r="D42" s="1623"/>
      <c r="E42" s="1623"/>
      <c r="F42" s="1700"/>
      <c r="G42" s="745" t="s">
        <v>2232</v>
      </c>
      <c r="H42" s="668"/>
    </row>
    <row r="43" spans="1:8">
      <c r="A43" s="1623"/>
      <c r="B43" s="1698"/>
      <c r="C43" s="1623"/>
      <c r="D43" s="1623"/>
      <c r="E43" s="1623"/>
      <c r="F43" s="1700"/>
      <c r="G43" s="745" t="s">
        <v>251</v>
      </c>
      <c r="H43" s="668"/>
    </row>
    <row r="44" spans="1:8">
      <c r="A44" s="1623"/>
      <c r="B44" s="1698"/>
      <c r="C44" s="1623"/>
      <c r="D44" s="1623"/>
      <c r="E44" s="1623"/>
      <c r="F44" s="1700"/>
      <c r="G44" s="745" t="s">
        <v>2233</v>
      </c>
      <c r="H44" s="668"/>
    </row>
    <row r="45" spans="1:8">
      <c r="A45" s="1622">
        <v>27</v>
      </c>
      <c r="B45" s="1686" t="s">
        <v>2234</v>
      </c>
      <c r="C45" s="1622" t="s">
        <v>77</v>
      </c>
      <c r="D45" s="1622">
        <v>2</v>
      </c>
      <c r="E45" s="1622">
        <v>2</v>
      </c>
      <c r="F45" s="1622">
        <v>0</v>
      </c>
      <c r="G45" s="741" t="s">
        <v>339</v>
      </c>
      <c r="H45" s="668"/>
    </row>
    <row r="46" spans="1:8">
      <c r="A46" s="1623"/>
      <c r="B46" s="1698"/>
      <c r="C46" s="1623"/>
      <c r="D46" s="1623"/>
      <c r="E46" s="1623"/>
      <c r="F46" s="1623"/>
      <c r="G46" s="736" t="s">
        <v>2235</v>
      </c>
      <c r="H46" s="668"/>
    </row>
    <row r="47" spans="1:8">
      <c r="A47" s="1623"/>
      <c r="B47" s="1698"/>
      <c r="C47" s="1623"/>
      <c r="D47" s="1623"/>
      <c r="E47" s="1623"/>
      <c r="F47" s="1623"/>
      <c r="G47" s="736" t="s">
        <v>342</v>
      </c>
      <c r="H47" s="668"/>
    </row>
    <row r="48" spans="1:8" ht="15" customHeight="1">
      <c r="A48" s="1624"/>
      <c r="B48" s="1698"/>
      <c r="C48" s="1624"/>
      <c r="D48" s="1624"/>
      <c r="E48" s="1624"/>
      <c r="F48" s="1624"/>
      <c r="G48" s="736" t="s">
        <v>2236</v>
      </c>
      <c r="H48" s="668"/>
    </row>
    <row r="49" spans="1:8">
      <c r="A49" s="1700">
        <v>28</v>
      </c>
      <c r="B49" s="1605" t="s">
        <v>346</v>
      </c>
      <c r="C49" s="1691" t="s">
        <v>77</v>
      </c>
      <c r="D49" s="1623">
        <v>1</v>
      </c>
      <c r="E49" s="1623">
        <v>3</v>
      </c>
      <c r="F49" s="1700">
        <v>-2</v>
      </c>
      <c r="G49" s="739" t="s">
        <v>2237</v>
      </c>
      <c r="H49" s="668"/>
    </row>
    <row r="50" spans="1:8" ht="18" customHeight="1">
      <c r="A50" s="1701"/>
      <c r="B50" s="1607"/>
      <c r="C50" s="1692"/>
      <c r="D50" s="1624"/>
      <c r="E50" s="1624"/>
      <c r="F50" s="1701"/>
      <c r="G50" s="746" t="s">
        <v>2238</v>
      </c>
      <c r="H50" s="668"/>
    </row>
    <row r="51" spans="1:8">
      <c r="A51" s="1622">
        <v>29</v>
      </c>
      <c r="B51" s="1698" t="s">
        <v>349</v>
      </c>
      <c r="C51" s="1622" t="s">
        <v>77</v>
      </c>
      <c r="D51" s="1622">
        <v>2</v>
      </c>
      <c r="E51" s="1622">
        <v>4</v>
      </c>
      <c r="F51" s="1699">
        <v>-2</v>
      </c>
      <c r="G51" s="745" t="s">
        <v>2239</v>
      </c>
      <c r="H51" s="668"/>
    </row>
    <row r="52" spans="1:8">
      <c r="A52" s="1623"/>
      <c r="B52" s="1698"/>
      <c r="C52" s="1623"/>
      <c r="D52" s="1623"/>
      <c r="E52" s="1623"/>
      <c r="F52" s="1700"/>
      <c r="G52" s="745" t="s">
        <v>2240</v>
      </c>
      <c r="H52" s="668"/>
    </row>
    <row r="53" spans="1:8">
      <c r="A53" s="1623"/>
      <c r="B53" s="1698"/>
      <c r="C53" s="1623"/>
      <c r="D53" s="1623"/>
      <c r="E53" s="1623"/>
      <c r="F53" s="1700"/>
      <c r="G53" s="745" t="s">
        <v>347</v>
      </c>
      <c r="H53" s="668"/>
    </row>
    <row r="54" spans="1:8">
      <c r="A54" s="1624"/>
      <c r="B54" s="1698"/>
      <c r="C54" s="1624"/>
      <c r="D54" s="1624"/>
      <c r="E54" s="1624"/>
      <c r="F54" s="1701"/>
      <c r="G54" s="745" t="s">
        <v>2241</v>
      </c>
      <c r="H54" s="668"/>
    </row>
    <row r="55" spans="1:8">
      <c r="A55" s="1690">
        <v>30</v>
      </c>
      <c r="B55" s="1605" t="s">
        <v>2242</v>
      </c>
      <c r="C55" s="1622">
        <v>8</v>
      </c>
      <c r="D55" s="1622">
        <v>21</v>
      </c>
      <c r="E55" s="1622">
        <v>26</v>
      </c>
      <c r="F55" s="1637">
        <v>-5</v>
      </c>
      <c r="G55" s="739" t="s">
        <v>2243</v>
      </c>
      <c r="H55" s="668"/>
    </row>
    <row r="56" spans="1:8">
      <c r="A56" s="1691"/>
      <c r="B56" s="1606"/>
      <c r="C56" s="1623"/>
      <c r="D56" s="1623"/>
      <c r="E56" s="1623"/>
      <c r="F56" s="1638"/>
      <c r="G56" s="745" t="s">
        <v>2244</v>
      </c>
      <c r="H56" s="668"/>
    </row>
    <row r="57" spans="1:8">
      <c r="A57" s="1691"/>
      <c r="B57" s="1606"/>
      <c r="C57" s="1623"/>
      <c r="D57" s="1623"/>
      <c r="E57" s="1623"/>
      <c r="F57" s="1638"/>
      <c r="G57" s="745" t="s">
        <v>24</v>
      </c>
      <c r="H57" s="668"/>
    </row>
    <row r="58" spans="1:8">
      <c r="A58" s="1691"/>
      <c r="B58" s="1606"/>
      <c r="C58" s="1623"/>
      <c r="D58" s="1623"/>
      <c r="E58" s="1623"/>
      <c r="F58" s="1638"/>
      <c r="G58" s="745" t="s">
        <v>2245</v>
      </c>
      <c r="H58" s="668"/>
    </row>
    <row r="59" spans="1:8">
      <c r="A59" s="1691"/>
      <c r="B59" s="1606"/>
      <c r="C59" s="1623"/>
      <c r="D59" s="1623"/>
      <c r="E59" s="1623"/>
      <c r="F59" s="1638"/>
      <c r="G59" s="745" t="s">
        <v>2246</v>
      </c>
      <c r="H59" s="668"/>
    </row>
    <row r="60" spans="1:8">
      <c r="A60" s="1691"/>
      <c r="B60" s="1606"/>
      <c r="C60" s="1623"/>
      <c r="D60" s="1623"/>
      <c r="E60" s="1623"/>
      <c r="F60" s="1638"/>
      <c r="G60" s="745" t="s">
        <v>2247</v>
      </c>
      <c r="H60" s="668"/>
    </row>
    <row r="61" spans="1:8">
      <c r="A61" s="1691"/>
      <c r="B61" s="1606"/>
      <c r="C61" s="1623"/>
      <c r="D61" s="1623"/>
      <c r="E61" s="1623"/>
      <c r="F61" s="1638"/>
      <c r="G61" s="745" t="s">
        <v>2248</v>
      </c>
      <c r="H61" s="668"/>
    </row>
    <row r="62" spans="1:8">
      <c r="A62" s="1691"/>
      <c r="B62" s="1606"/>
      <c r="C62" s="1623"/>
      <c r="D62" s="1623"/>
      <c r="E62" s="1623"/>
      <c r="F62" s="1638"/>
      <c r="G62" s="745" t="s">
        <v>2249</v>
      </c>
      <c r="H62" s="668"/>
    </row>
    <row r="63" spans="1:8">
      <c r="A63" s="1691"/>
      <c r="B63" s="1606"/>
      <c r="C63" s="1623"/>
      <c r="D63" s="1623"/>
      <c r="E63" s="1623"/>
      <c r="F63" s="1638"/>
      <c r="G63" s="745" t="s">
        <v>33</v>
      </c>
      <c r="H63" s="668"/>
    </row>
    <row r="64" spans="1:8">
      <c r="A64" s="1691"/>
      <c r="B64" s="1606"/>
      <c r="C64" s="1623"/>
      <c r="D64" s="1623"/>
      <c r="E64" s="1623"/>
      <c r="F64" s="1638"/>
      <c r="G64" s="745" t="s">
        <v>2250</v>
      </c>
      <c r="H64" s="668"/>
    </row>
    <row r="65" spans="1:8">
      <c r="A65" s="1691"/>
      <c r="B65" s="1606"/>
      <c r="C65" s="1623"/>
      <c r="D65" s="1623"/>
      <c r="E65" s="1623"/>
      <c r="F65" s="1638"/>
      <c r="G65" s="745" t="s">
        <v>2251</v>
      </c>
      <c r="H65" s="668"/>
    </row>
    <row r="66" spans="1:8">
      <c r="A66" s="1691"/>
      <c r="B66" s="1606"/>
      <c r="C66" s="1623"/>
      <c r="D66" s="1623"/>
      <c r="E66" s="1623"/>
      <c r="F66" s="1638"/>
      <c r="G66" s="745" t="s">
        <v>2252</v>
      </c>
      <c r="H66" s="668"/>
    </row>
    <row r="67" spans="1:8">
      <c r="A67" s="1691"/>
      <c r="B67" s="1606"/>
      <c r="C67" s="1623"/>
      <c r="D67" s="1623"/>
      <c r="E67" s="1623"/>
      <c r="F67" s="1638"/>
      <c r="G67" s="745" t="s">
        <v>187</v>
      </c>
      <c r="H67" s="668"/>
    </row>
    <row r="68" spans="1:8">
      <c r="A68" s="1691"/>
      <c r="B68" s="1606"/>
      <c r="C68" s="1623"/>
      <c r="D68" s="1623"/>
      <c r="E68" s="1623"/>
      <c r="F68" s="1638"/>
      <c r="G68" s="745" t="s">
        <v>2253</v>
      </c>
      <c r="H68" s="668"/>
    </row>
    <row r="69" spans="1:8">
      <c r="A69" s="1691"/>
      <c r="B69" s="1606"/>
      <c r="C69" s="1623"/>
      <c r="D69" s="1623"/>
      <c r="E69" s="1623"/>
      <c r="F69" s="1638"/>
      <c r="G69" s="745" t="s">
        <v>50</v>
      </c>
      <c r="H69" s="668"/>
    </row>
    <row r="70" spans="1:8">
      <c r="A70" s="1691"/>
      <c r="B70" s="1606"/>
      <c r="C70" s="1623"/>
      <c r="D70" s="1623"/>
      <c r="E70" s="1623"/>
      <c r="F70" s="1638"/>
      <c r="G70" s="745" t="s">
        <v>2254</v>
      </c>
      <c r="H70" s="668"/>
    </row>
    <row r="71" spans="1:8">
      <c r="A71" s="1691"/>
      <c r="B71" s="1606"/>
      <c r="C71" s="1623"/>
      <c r="D71" s="1623"/>
      <c r="E71" s="1623"/>
      <c r="F71" s="1638"/>
      <c r="G71" s="745" t="s">
        <v>2255</v>
      </c>
      <c r="H71" s="668"/>
    </row>
    <row r="72" spans="1:8">
      <c r="A72" s="1691"/>
      <c r="B72" s="1606"/>
      <c r="C72" s="1623"/>
      <c r="D72" s="1623"/>
      <c r="E72" s="1623"/>
      <c r="F72" s="1638"/>
      <c r="G72" s="745" t="s">
        <v>2256</v>
      </c>
      <c r="H72" s="668"/>
    </row>
    <row r="73" spans="1:8">
      <c r="A73" s="1691"/>
      <c r="B73" s="1606"/>
      <c r="C73" s="1623"/>
      <c r="D73" s="1623"/>
      <c r="E73" s="1623"/>
      <c r="F73" s="1638"/>
      <c r="G73" s="745" t="s">
        <v>35</v>
      </c>
      <c r="H73" s="668"/>
    </row>
    <row r="74" spans="1:8">
      <c r="A74" s="1691"/>
      <c r="B74" s="1606"/>
      <c r="C74" s="1623"/>
      <c r="D74" s="1623"/>
      <c r="E74" s="1623"/>
      <c r="F74" s="1638"/>
      <c r="G74" s="745" t="s">
        <v>2257</v>
      </c>
      <c r="H74" s="668"/>
    </row>
    <row r="75" spans="1:8">
      <c r="A75" s="1691"/>
      <c r="B75" s="1606"/>
      <c r="C75" s="1623"/>
      <c r="D75" s="1623"/>
      <c r="E75" s="1623"/>
      <c r="F75" s="1638"/>
      <c r="G75" s="745" t="s">
        <v>15</v>
      </c>
      <c r="H75" s="668"/>
    </row>
    <row r="76" spans="1:8">
      <c r="A76" s="1691"/>
      <c r="B76" s="1606"/>
      <c r="C76" s="1623"/>
      <c r="D76" s="1623"/>
      <c r="E76" s="1623"/>
      <c r="F76" s="1638"/>
      <c r="G76" s="745" t="s">
        <v>2258</v>
      </c>
      <c r="H76" s="668"/>
    </row>
    <row r="77" spans="1:8">
      <c r="A77" s="1691"/>
      <c r="B77" s="1606"/>
      <c r="C77" s="1623"/>
      <c r="D77" s="1623"/>
      <c r="E77" s="1623"/>
      <c r="F77" s="1638"/>
      <c r="G77" s="745" t="s">
        <v>10</v>
      </c>
      <c r="H77" s="668"/>
    </row>
    <row r="78" spans="1:8">
      <c r="A78" s="1691"/>
      <c r="B78" s="1606"/>
      <c r="C78" s="1623"/>
      <c r="D78" s="1623"/>
      <c r="E78" s="1623"/>
      <c r="F78" s="1638"/>
      <c r="G78" s="745" t="s">
        <v>2259</v>
      </c>
      <c r="H78" s="668"/>
    </row>
    <row r="79" spans="1:8">
      <c r="A79" s="1691"/>
      <c r="B79" s="1606"/>
      <c r="C79" s="1623"/>
      <c r="D79" s="1623"/>
      <c r="E79" s="1623"/>
      <c r="F79" s="1638"/>
      <c r="G79" s="745" t="s">
        <v>48</v>
      </c>
      <c r="H79" s="668"/>
    </row>
    <row r="80" spans="1:8">
      <c r="A80" s="1691"/>
      <c r="B80" s="1606"/>
      <c r="C80" s="1623"/>
      <c r="D80" s="1623"/>
      <c r="E80" s="1623"/>
      <c r="F80" s="1638"/>
      <c r="G80" s="745" t="s">
        <v>2260</v>
      </c>
      <c r="H80" s="668"/>
    </row>
    <row r="81" spans="1:8">
      <c r="A81" s="1691"/>
      <c r="B81" s="1606"/>
      <c r="C81" s="1623"/>
      <c r="D81" s="1623"/>
      <c r="E81" s="1623"/>
      <c r="F81" s="1638"/>
      <c r="G81" s="745" t="s">
        <v>2261</v>
      </c>
      <c r="H81" s="668"/>
    </row>
    <row r="82" spans="1:8">
      <c r="A82" s="1691"/>
      <c r="B82" s="1606"/>
      <c r="C82" s="1623"/>
      <c r="D82" s="1623"/>
      <c r="E82" s="1623"/>
      <c r="F82" s="1638"/>
      <c r="G82" s="745" t="s">
        <v>2262</v>
      </c>
      <c r="H82" s="668"/>
    </row>
    <row r="83" spans="1:8">
      <c r="A83" s="1691"/>
      <c r="B83" s="1606"/>
      <c r="C83" s="1623"/>
      <c r="D83" s="1623"/>
      <c r="E83" s="1623"/>
      <c r="F83" s="1638"/>
      <c r="G83" s="745" t="s">
        <v>279</v>
      </c>
      <c r="H83" s="668"/>
    </row>
    <row r="84" spans="1:8">
      <c r="A84" s="1691"/>
      <c r="B84" s="1606"/>
      <c r="C84" s="1623"/>
      <c r="D84" s="1623"/>
      <c r="E84" s="1623"/>
      <c r="F84" s="1638"/>
      <c r="G84" s="745" t="s">
        <v>2263</v>
      </c>
      <c r="H84" s="668"/>
    </row>
    <row r="85" spans="1:8">
      <c r="A85" s="1691"/>
      <c r="B85" s="1606"/>
      <c r="C85" s="1623"/>
      <c r="D85" s="1623"/>
      <c r="E85" s="1623"/>
      <c r="F85" s="1638"/>
      <c r="G85" s="745" t="s">
        <v>268</v>
      </c>
      <c r="H85" s="668"/>
    </row>
    <row r="86" spans="1:8">
      <c r="A86" s="1691"/>
      <c r="B86" s="1606"/>
      <c r="C86" s="1623"/>
      <c r="D86" s="1623"/>
      <c r="E86" s="1623"/>
      <c r="F86" s="1638"/>
      <c r="G86" s="745" t="s">
        <v>2264</v>
      </c>
      <c r="H86" s="668"/>
    </row>
    <row r="87" spans="1:8">
      <c r="A87" s="1691"/>
      <c r="B87" s="1606"/>
      <c r="C87" s="1623"/>
      <c r="D87" s="1623"/>
      <c r="E87" s="1623"/>
      <c r="F87" s="1638"/>
      <c r="G87" s="745" t="s">
        <v>2265</v>
      </c>
      <c r="H87" s="668"/>
    </row>
    <row r="88" spans="1:8">
      <c r="A88" s="1691"/>
      <c r="B88" s="1606"/>
      <c r="C88" s="1623"/>
      <c r="D88" s="1623"/>
      <c r="E88" s="1623"/>
      <c r="F88" s="1638"/>
      <c r="G88" s="745" t="s">
        <v>2266</v>
      </c>
      <c r="H88" s="668"/>
    </row>
    <row r="89" spans="1:8">
      <c r="A89" s="1691"/>
      <c r="B89" s="1606"/>
      <c r="C89" s="1623"/>
      <c r="D89" s="1623"/>
      <c r="E89" s="1623"/>
      <c r="F89" s="1638"/>
      <c r="G89" s="745" t="s">
        <v>328</v>
      </c>
      <c r="H89" s="668"/>
    </row>
    <row r="90" spans="1:8">
      <c r="A90" s="1691"/>
      <c r="B90" s="1606"/>
      <c r="C90" s="1623"/>
      <c r="D90" s="1623"/>
      <c r="E90" s="1623"/>
      <c r="F90" s="1638"/>
      <c r="G90" s="745" t="s">
        <v>2267</v>
      </c>
      <c r="H90" s="668"/>
    </row>
    <row r="91" spans="1:8">
      <c r="A91" s="1691"/>
      <c r="B91" s="1606"/>
      <c r="C91" s="1623"/>
      <c r="D91" s="1623"/>
      <c r="E91" s="1623"/>
      <c r="F91" s="1638"/>
      <c r="G91" s="745" t="s">
        <v>2268</v>
      </c>
      <c r="H91" s="668"/>
    </row>
    <row r="92" spans="1:8">
      <c r="A92" s="1691"/>
      <c r="B92" s="1606"/>
      <c r="C92" s="1623"/>
      <c r="D92" s="1623"/>
      <c r="E92" s="1623"/>
      <c r="F92" s="1638"/>
      <c r="G92" s="745" t="s">
        <v>2269</v>
      </c>
      <c r="H92" s="668"/>
    </row>
    <row r="93" spans="1:8">
      <c r="A93" s="1691"/>
      <c r="B93" s="1606"/>
      <c r="C93" s="1623"/>
      <c r="D93" s="1623"/>
      <c r="E93" s="1623"/>
      <c r="F93" s="1638"/>
      <c r="G93" s="745" t="s">
        <v>2270</v>
      </c>
      <c r="H93" s="668"/>
    </row>
    <row r="94" spans="1:8">
      <c r="A94" s="1691"/>
      <c r="B94" s="1606"/>
      <c r="C94" s="1623"/>
      <c r="D94" s="1623"/>
      <c r="E94" s="1623"/>
      <c r="F94" s="1638"/>
      <c r="G94" s="745" t="s">
        <v>2271</v>
      </c>
      <c r="H94" s="668"/>
    </row>
    <row r="95" spans="1:8">
      <c r="A95" s="1691"/>
      <c r="B95" s="1606"/>
      <c r="C95" s="1623"/>
      <c r="D95" s="1623"/>
      <c r="E95" s="1623"/>
      <c r="F95" s="1638"/>
      <c r="G95" s="745" t="s">
        <v>2272</v>
      </c>
      <c r="H95" s="668"/>
    </row>
    <row r="96" spans="1:8">
      <c r="A96" s="1692"/>
      <c r="B96" s="1607"/>
      <c r="C96" s="1623"/>
      <c r="D96" s="1623"/>
      <c r="E96" s="1623"/>
      <c r="F96" s="1638"/>
      <c r="G96" s="745" t="s">
        <v>2273</v>
      </c>
      <c r="H96" s="668"/>
    </row>
    <row r="97" spans="1:8">
      <c r="A97" s="1622">
        <v>31</v>
      </c>
      <c r="B97" s="1686" t="s">
        <v>2274</v>
      </c>
      <c r="C97" s="1622">
        <v>10</v>
      </c>
      <c r="D97" s="1622">
        <v>4</v>
      </c>
      <c r="E97" s="1622">
        <v>16</v>
      </c>
      <c r="F97" s="1693">
        <v>-12</v>
      </c>
      <c r="G97" s="741" t="s">
        <v>2275</v>
      </c>
      <c r="H97" s="668"/>
    </row>
    <row r="98" spans="1:8">
      <c r="A98" s="1623"/>
      <c r="B98" s="1698"/>
      <c r="C98" s="1623"/>
      <c r="D98" s="1623"/>
      <c r="E98" s="1623"/>
      <c r="F98" s="1694"/>
      <c r="G98" s="736" t="s">
        <v>2276</v>
      </c>
      <c r="H98" s="668"/>
    </row>
    <row r="99" spans="1:8">
      <c r="A99" s="1623"/>
      <c r="B99" s="1698"/>
      <c r="C99" s="1623"/>
      <c r="D99" s="1623"/>
      <c r="E99" s="1623"/>
      <c r="F99" s="1694"/>
      <c r="G99" s="736" t="s">
        <v>2277</v>
      </c>
      <c r="H99" s="668"/>
    </row>
    <row r="100" spans="1:8">
      <c r="A100" s="1623"/>
      <c r="B100" s="1698"/>
      <c r="C100" s="1623"/>
      <c r="D100" s="1623"/>
      <c r="E100" s="1623"/>
      <c r="F100" s="1694"/>
      <c r="G100" s="736" t="s">
        <v>2278</v>
      </c>
      <c r="H100" s="668"/>
    </row>
    <row r="101" spans="1:8">
      <c r="A101" s="1623"/>
      <c r="B101" s="1698"/>
      <c r="C101" s="1623"/>
      <c r="D101" s="1623"/>
      <c r="E101" s="1623"/>
      <c r="F101" s="1694"/>
      <c r="G101" s="736" t="s">
        <v>2279</v>
      </c>
      <c r="H101" s="668"/>
    </row>
    <row r="102" spans="1:8">
      <c r="A102" s="1623"/>
      <c r="B102" s="1698"/>
      <c r="C102" s="1623"/>
      <c r="D102" s="1623"/>
      <c r="E102" s="1623"/>
      <c r="F102" s="1694"/>
      <c r="G102" s="736" t="s">
        <v>2280</v>
      </c>
      <c r="H102" s="668"/>
    </row>
    <row r="103" spans="1:8">
      <c r="A103" s="1623"/>
      <c r="B103" s="1698"/>
      <c r="C103" s="1623"/>
      <c r="D103" s="1623"/>
      <c r="E103" s="1623"/>
      <c r="F103" s="1694"/>
      <c r="G103" s="736" t="s">
        <v>2281</v>
      </c>
      <c r="H103" s="668"/>
    </row>
    <row r="104" spans="1:8">
      <c r="A104" s="1623"/>
      <c r="B104" s="1698"/>
      <c r="C104" s="1623"/>
      <c r="D104" s="1623"/>
      <c r="E104" s="1623"/>
      <c r="F104" s="1694"/>
      <c r="G104" s="736" t="s">
        <v>2282</v>
      </c>
      <c r="H104" s="668"/>
    </row>
    <row r="105" spans="1:8" ht="27" customHeight="1">
      <c r="A105" s="751">
        <v>32</v>
      </c>
      <c r="B105" s="758" t="s">
        <v>2283</v>
      </c>
      <c r="C105" s="734">
        <v>12</v>
      </c>
      <c r="D105" s="734">
        <v>0</v>
      </c>
      <c r="E105" s="734">
        <v>4</v>
      </c>
      <c r="F105" s="752">
        <v>-4</v>
      </c>
      <c r="G105" s="645" t="s">
        <v>77</v>
      </c>
      <c r="H105" s="668"/>
    </row>
    <row r="106" spans="1:8">
      <c r="A106" s="734"/>
      <c r="B106" s="1696" t="s">
        <v>2284</v>
      </c>
      <c r="C106" s="1622">
        <v>12</v>
      </c>
      <c r="D106" s="1622">
        <v>1</v>
      </c>
      <c r="E106" s="1622">
        <v>1</v>
      </c>
      <c r="F106" s="1693">
        <v>0</v>
      </c>
      <c r="G106" s="741" t="s">
        <v>132</v>
      </c>
      <c r="H106" s="668"/>
    </row>
    <row r="107" spans="1:8">
      <c r="A107" s="735">
        <v>33</v>
      </c>
      <c r="B107" s="1697"/>
      <c r="C107" s="1623"/>
      <c r="D107" s="1623"/>
      <c r="E107" s="1623"/>
      <c r="F107" s="1694"/>
      <c r="G107" s="736" t="s">
        <v>2285</v>
      </c>
      <c r="H107" s="668"/>
    </row>
    <row r="108" spans="1:8">
      <c r="A108" s="734"/>
      <c r="B108" s="744" t="s">
        <v>2286</v>
      </c>
      <c r="C108" s="1622">
        <v>10</v>
      </c>
      <c r="D108" s="1622">
        <v>1</v>
      </c>
      <c r="E108" s="1622">
        <v>2</v>
      </c>
      <c r="F108" s="1693">
        <v>-1</v>
      </c>
      <c r="G108" s="741" t="s">
        <v>160</v>
      </c>
      <c r="H108" s="668"/>
    </row>
    <row r="109" spans="1:8">
      <c r="A109" s="735">
        <v>34</v>
      </c>
      <c r="B109" s="749"/>
      <c r="C109" s="1623"/>
      <c r="D109" s="1623"/>
      <c r="E109" s="1623"/>
      <c r="F109" s="1694"/>
      <c r="G109" s="736" t="s">
        <v>2287</v>
      </c>
      <c r="H109" s="668"/>
    </row>
    <row r="110" spans="1:8">
      <c r="A110" s="734"/>
      <c r="B110" s="1686" t="s">
        <v>2288</v>
      </c>
      <c r="C110" s="1622">
        <v>8</v>
      </c>
      <c r="D110" s="1622">
        <v>0</v>
      </c>
      <c r="E110" s="1622">
        <v>2</v>
      </c>
      <c r="F110" s="1693">
        <v>-2</v>
      </c>
      <c r="G110" s="1688" t="s">
        <v>77</v>
      </c>
      <c r="H110" s="668"/>
    </row>
    <row r="111" spans="1:8">
      <c r="A111" s="644">
        <v>35</v>
      </c>
      <c r="B111" s="1687"/>
      <c r="C111" s="1624"/>
      <c r="D111" s="1624"/>
      <c r="E111" s="1624"/>
      <c r="F111" s="1695"/>
      <c r="G111" s="1689"/>
      <c r="H111" s="673"/>
    </row>
  </sheetData>
  <mergeCells count="82">
    <mergeCell ref="A2:G2"/>
    <mergeCell ref="D25:D26"/>
    <mergeCell ref="E25:E26"/>
    <mergeCell ref="F25:F26"/>
    <mergeCell ref="C55:C96"/>
    <mergeCell ref="E35:E36"/>
    <mergeCell ref="F35:F36"/>
    <mergeCell ref="B14:B19"/>
    <mergeCell ref="A14:A19"/>
    <mergeCell ref="C14:C19"/>
    <mergeCell ref="D14:D19"/>
    <mergeCell ref="E14:E19"/>
    <mergeCell ref="F14:F19"/>
    <mergeCell ref="A20:A21"/>
    <mergeCell ref="C20:C21"/>
    <mergeCell ref="E20:E21"/>
    <mergeCell ref="D20:D21"/>
    <mergeCell ref="F20:F21"/>
    <mergeCell ref="B20:B21"/>
    <mergeCell ref="A25:A26"/>
    <mergeCell ref="C25:C26"/>
    <mergeCell ref="E37:E38"/>
    <mergeCell ref="F37:F38"/>
    <mergeCell ref="C45:C48"/>
    <mergeCell ref="D45:D48"/>
    <mergeCell ref="E45:E48"/>
    <mergeCell ref="F45:F48"/>
    <mergeCell ref="C39:C44"/>
    <mergeCell ref="E39:E44"/>
    <mergeCell ref="F39:F44"/>
    <mergeCell ref="D39:D44"/>
    <mergeCell ref="B35:B36"/>
    <mergeCell ref="A35:A36"/>
    <mergeCell ref="C35:C36"/>
    <mergeCell ref="D35:D36"/>
    <mergeCell ref="A37:A38"/>
    <mergeCell ref="C37:C38"/>
    <mergeCell ref="D37:D38"/>
    <mergeCell ref="B39:B44"/>
    <mergeCell ref="A39:A44"/>
    <mergeCell ref="A49:A50"/>
    <mergeCell ref="C49:C50"/>
    <mergeCell ref="D49:D50"/>
    <mergeCell ref="B97:B104"/>
    <mergeCell ref="D55:D96"/>
    <mergeCell ref="E55:E96"/>
    <mergeCell ref="F55:F96"/>
    <mergeCell ref="A45:A48"/>
    <mergeCell ref="B45:B48"/>
    <mergeCell ref="F51:F54"/>
    <mergeCell ref="E49:E50"/>
    <mergeCell ref="F49:F50"/>
    <mergeCell ref="A51:A54"/>
    <mergeCell ref="B51:B54"/>
    <mergeCell ref="C51:C54"/>
    <mergeCell ref="D51:D54"/>
    <mergeCell ref="E51:E54"/>
    <mergeCell ref="B49:B50"/>
    <mergeCell ref="C106:C107"/>
    <mergeCell ref="D106:D107"/>
    <mergeCell ref="E106:E107"/>
    <mergeCell ref="F106:F107"/>
    <mergeCell ref="C97:C104"/>
    <mergeCell ref="D97:D104"/>
    <mergeCell ref="E97:E104"/>
    <mergeCell ref="F97:F104"/>
    <mergeCell ref="B110:B111"/>
    <mergeCell ref="G110:G111"/>
    <mergeCell ref="A97:A104"/>
    <mergeCell ref="B25:B26"/>
    <mergeCell ref="B37:B38"/>
    <mergeCell ref="B55:B96"/>
    <mergeCell ref="A55:A96"/>
    <mergeCell ref="C108:C109"/>
    <mergeCell ref="D108:D109"/>
    <mergeCell ref="E108:E109"/>
    <mergeCell ref="F108:F109"/>
    <mergeCell ref="C110:C111"/>
    <mergeCell ref="D110:D111"/>
    <mergeCell ref="E110:E111"/>
    <mergeCell ref="F110:F111"/>
    <mergeCell ref="B106:B107"/>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6AA43-9189-4DFF-B302-3FD6110545E7}">
  <dimension ref="A4:H112"/>
  <sheetViews>
    <sheetView topLeftCell="A89" workbookViewId="0">
      <selection activeCell="I93" sqref="I93"/>
    </sheetView>
  </sheetViews>
  <sheetFormatPr defaultRowHeight="15"/>
  <cols>
    <col min="1" max="1" width="5.5703125" customWidth="1"/>
    <col min="2" max="2" width="34.85546875" style="593" customWidth="1"/>
    <col min="4" max="4" width="11.140625" customWidth="1"/>
    <col min="5" max="5" width="13" customWidth="1"/>
    <col min="6" max="6" width="12.140625" customWidth="1"/>
    <col min="7" max="7" width="47.42578125" customWidth="1"/>
  </cols>
  <sheetData>
    <row r="4" spans="1:8" s="649" customFormat="1" ht="30.75">
      <c r="A4" s="658" t="s">
        <v>61</v>
      </c>
      <c r="B4" s="658" t="s">
        <v>63</v>
      </c>
      <c r="C4" s="658" t="s">
        <v>2203</v>
      </c>
      <c r="D4" s="658" t="s">
        <v>2204</v>
      </c>
      <c r="E4" s="658" t="s">
        <v>2205</v>
      </c>
      <c r="F4" s="658" t="s">
        <v>2206</v>
      </c>
      <c r="G4" s="658" t="s">
        <v>2207</v>
      </c>
    </row>
    <row r="5" spans="1:8" ht="57.75" customHeight="1">
      <c r="A5" s="24">
        <v>1</v>
      </c>
      <c r="B5" s="23" t="s">
        <v>2289</v>
      </c>
      <c r="C5" s="24">
        <v>13</v>
      </c>
      <c r="D5" s="24">
        <v>1</v>
      </c>
      <c r="E5" s="24">
        <v>1</v>
      </c>
      <c r="F5" s="24">
        <v>0</v>
      </c>
      <c r="G5" s="28" t="s">
        <v>2290</v>
      </c>
    </row>
    <row r="6" spans="1:8" ht="45.75">
      <c r="A6" s="24">
        <v>2</v>
      </c>
      <c r="B6" s="23" t="s">
        <v>2291</v>
      </c>
      <c r="C6" s="24">
        <v>10</v>
      </c>
      <c r="D6" s="24">
        <v>1</v>
      </c>
      <c r="E6" s="24">
        <v>1</v>
      </c>
      <c r="F6" s="24">
        <v>0</v>
      </c>
      <c r="G6" s="28" t="s">
        <v>2211</v>
      </c>
    </row>
    <row r="7" spans="1:8" ht="30.75">
      <c r="A7" s="24">
        <v>3</v>
      </c>
      <c r="B7" s="23" t="s">
        <v>2215</v>
      </c>
      <c r="C7" s="24">
        <v>9</v>
      </c>
      <c r="D7" s="24">
        <v>1</v>
      </c>
      <c r="E7" s="24">
        <v>1</v>
      </c>
      <c r="F7" s="24">
        <v>0</v>
      </c>
      <c r="G7" s="28" t="s">
        <v>2216</v>
      </c>
    </row>
    <row r="8" spans="1:8" ht="33">
      <c r="A8" s="24">
        <v>4</v>
      </c>
      <c r="B8" s="659" t="s">
        <v>1313</v>
      </c>
      <c r="C8" s="645">
        <v>8</v>
      </c>
      <c r="D8" s="24">
        <v>1</v>
      </c>
      <c r="E8" s="24">
        <v>1</v>
      </c>
      <c r="F8" s="24">
        <v>0</v>
      </c>
      <c r="G8" s="761" t="s">
        <v>2292</v>
      </c>
    </row>
    <row r="9" spans="1:8" ht="33">
      <c r="A9" s="1622">
        <v>5</v>
      </c>
      <c r="B9" s="1703" t="s">
        <v>1295</v>
      </c>
      <c r="C9" s="1622">
        <v>8</v>
      </c>
      <c r="D9" s="1622">
        <v>2</v>
      </c>
      <c r="E9" s="1622">
        <v>2</v>
      </c>
      <c r="F9" s="1622">
        <v>0</v>
      </c>
      <c r="G9" s="761" t="s">
        <v>2293</v>
      </c>
    </row>
    <row r="10" spans="1:8" ht="33">
      <c r="A10" s="1623"/>
      <c r="B10" s="1704"/>
      <c r="C10" s="1623"/>
      <c r="D10" s="1623"/>
      <c r="E10" s="1623"/>
      <c r="F10" s="1623"/>
      <c r="G10" s="762" t="s">
        <v>2294</v>
      </c>
    </row>
    <row r="11" spans="1:8" ht="21" customHeight="1">
      <c r="A11" s="1706">
        <v>6</v>
      </c>
      <c r="B11" s="1712" t="s">
        <v>2295</v>
      </c>
      <c r="C11" s="1706">
        <v>8</v>
      </c>
      <c r="D11" s="1706">
        <v>3</v>
      </c>
      <c r="E11" s="1706">
        <v>3</v>
      </c>
      <c r="F11" s="1706">
        <v>0</v>
      </c>
      <c r="G11" s="763" t="s">
        <v>2296</v>
      </c>
      <c r="H11" s="669"/>
    </row>
    <row r="12" spans="1:8">
      <c r="A12" s="1706"/>
      <c r="B12" s="1712"/>
      <c r="C12" s="1706"/>
      <c r="D12" s="1706"/>
      <c r="E12" s="1706"/>
      <c r="F12" s="1706"/>
      <c r="G12" s="764" t="s">
        <v>2225</v>
      </c>
      <c r="H12" s="669"/>
    </row>
    <row r="13" spans="1:8">
      <c r="A13" s="1706"/>
      <c r="B13" s="1712"/>
      <c r="C13" s="1706"/>
      <c r="D13" s="1706"/>
      <c r="E13" s="1706"/>
      <c r="F13" s="1706"/>
      <c r="G13" s="765" t="s">
        <v>2297</v>
      </c>
      <c r="H13" s="668"/>
    </row>
    <row r="14" spans="1:8">
      <c r="A14" s="1706"/>
      <c r="B14" s="1712"/>
      <c r="C14" s="1706"/>
      <c r="D14" s="1706"/>
      <c r="E14" s="1706"/>
      <c r="F14" s="1706"/>
      <c r="G14" s="755" t="s">
        <v>2298</v>
      </c>
      <c r="H14" s="668"/>
    </row>
    <row r="15" spans="1:8">
      <c r="A15" s="1706"/>
      <c r="B15" s="1712"/>
      <c r="C15" s="1706"/>
      <c r="D15" s="1706"/>
      <c r="E15" s="1706"/>
      <c r="F15" s="1706"/>
      <c r="G15" s="765" t="s">
        <v>2299</v>
      </c>
      <c r="H15" s="668"/>
    </row>
    <row r="16" spans="1:8">
      <c r="A16" s="1706"/>
      <c r="B16" s="1712"/>
      <c r="C16" s="1706"/>
      <c r="D16" s="1706"/>
      <c r="E16" s="1706"/>
      <c r="F16" s="1706"/>
      <c r="G16" s="755" t="s">
        <v>2300</v>
      </c>
      <c r="H16" s="668"/>
    </row>
    <row r="17" spans="1:8" ht="24" customHeight="1">
      <c r="A17" s="1713">
        <v>7</v>
      </c>
      <c r="B17" s="1714" t="s">
        <v>2301</v>
      </c>
      <c r="C17" s="1706">
        <v>7</v>
      </c>
      <c r="D17" s="1706">
        <v>1</v>
      </c>
      <c r="E17" s="1706">
        <v>1</v>
      </c>
      <c r="F17" s="1706">
        <v>0</v>
      </c>
      <c r="G17" s="765" t="s">
        <v>123</v>
      </c>
      <c r="H17" s="668"/>
    </row>
    <row r="18" spans="1:8" ht="21.75" customHeight="1">
      <c r="A18" s="1713"/>
      <c r="B18" s="1714"/>
      <c r="C18" s="1706"/>
      <c r="D18" s="1706"/>
      <c r="E18" s="1706"/>
      <c r="F18" s="1706"/>
      <c r="G18" s="755" t="s">
        <v>2227</v>
      </c>
      <c r="H18" s="668"/>
    </row>
    <row r="19" spans="1:8" ht="18" customHeight="1">
      <c r="A19" s="1706">
        <v>8</v>
      </c>
      <c r="B19" s="1714" t="s">
        <v>2302</v>
      </c>
      <c r="C19" s="1706">
        <v>7</v>
      </c>
      <c r="D19" s="1706">
        <v>1</v>
      </c>
      <c r="E19" s="1706">
        <v>1</v>
      </c>
      <c r="F19" s="1706">
        <v>0</v>
      </c>
      <c r="G19" s="765" t="s">
        <v>143</v>
      </c>
      <c r="H19" s="668"/>
    </row>
    <row r="20" spans="1:8" ht="22.5" customHeight="1">
      <c r="A20" s="1706"/>
      <c r="B20" s="1714"/>
      <c r="C20" s="1706"/>
      <c r="D20" s="1706"/>
      <c r="E20" s="1706"/>
      <c r="F20" s="1706"/>
      <c r="G20" s="755" t="s">
        <v>2226</v>
      </c>
      <c r="H20" s="668"/>
    </row>
    <row r="21" spans="1:8">
      <c r="A21" s="1706">
        <v>9</v>
      </c>
      <c r="B21" s="1710" t="s">
        <v>2303</v>
      </c>
      <c r="C21" s="1713">
        <v>7</v>
      </c>
      <c r="D21" s="1706">
        <v>2</v>
      </c>
      <c r="E21" s="1706">
        <v>2</v>
      </c>
      <c r="F21" s="1706">
        <v>0</v>
      </c>
      <c r="G21" s="765" t="s">
        <v>2304</v>
      </c>
      <c r="H21" s="668"/>
    </row>
    <row r="22" spans="1:8">
      <c r="A22" s="1706"/>
      <c r="B22" s="1710"/>
      <c r="C22" s="1713"/>
      <c r="D22" s="1706"/>
      <c r="E22" s="1706"/>
      <c r="F22" s="1706"/>
      <c r="G22" s="755" t="s">
        <v>2305</v>
      </c>
      <c r="H22" s="668"/>
    </row>
    <row r="23" spans="1:8">
      <c r="A23" s="1706"/>
      <c r="B23" s="1710"/>
      <c r="C23" s="1713"/>
      <c r="D23" s="1706"/>
      <c r="E23" s="1706"/>
      <c r="F23" s="1706"/>
      <c r="G23" s="765" t="s">
        <v>2306</v>
      </c>
      <c r="H23" s="668"/>
    </row>
    <row r="24" spans="1:8">
      <c r="A24" s="1622"/>
      <c r="B24" s="1711"/>
      <c r="C24" s="1693"/>
      <c r="D24" s="1622"/>
      <c r="E24" s="1622"/>
      <c r="F24" s="1622"/>
      <c r="G24" s="755" t="s">
        <v>2307</v>
      </c>
      <c r="H24" s="668"/>
    </row>
    <row r="25" spans="1:8">
      <c r="A25" s="1706">
        <v>10</v>
      </c>
      <c r="B25" s="1710" t="s">
        <v>2127</v>
      </c>
      <c r="C25" s="1706">
        <v>6</v>
      </c>
      <c r="D25" s="1706">
        <v>2</v>
      </c>
      <c r="E25" s="1706">
        <v>2</v>
      </c>
      <c r="F25" s="1706">
        <v>0</v>
      </c>
      <c r="G25" s="765" t="s">
        <v>2217</v>
      </c>
      <c r="H25" s="668"/>
    </row>
    <row r="26" spans="1:8">
      <c r="A26" s="1706"/>
      <c r="B26" s="1710"/>
      <c r="C26" s="1706"/>
      <c r="D26" s="1706"/>
      <c r="E26" s="1706"/>
      <c r="F26" s="1706"/>
      <c r="G26" s="755" t="s">
        <v>2218</v>
      </c>
      <c r="H26" s="668"/>
    </row>
    <row r="27" spans="1:8">
      <c r="A27" s="1706"/>
      <c r="B27" s="1710"/>
      <c r="C27" s="1706"/>
      <c r="D27" s="1706"/>
      <c r="E27" s="1706"/>
      <c r="F27" s="1706"/>
      <c r="G27" s="765" t="s">
        <v>128</v>
      </c>
      <c r="H27" s="668"/>
    </row>
    <row r="28" spans="1:8">
      <c r="A28" s="1706"/>
      <c r="B28" s="1710"/>
      <c r="C28" s="1706"/>
      <c r="D28" s="1706"/>
      <c r="E28" s="1706"/>
      <c r="F28" s="1706"/>
      <c r="G28" s="755" t="s">
        <v>2219</v>
      </c>
      <c r="H28" s="668"/>
    </row>
    <row r="29" spans="1:8" ht="16.5" customHeight="1">
      <c r="A29" s="1706">
        <v>11</v>
      </c>
      <c r="B29" s="1712" t="s">
        <v>1319</v>
      </c>
      <c r="C29" s="1718"/>
      <c r="D29" s="1706">
        <v>3</v>
      </c>
      <c r="E29" s="1706">
        <v>3</v>
      </c>
      <c r="F29" s="1706">
        <v>0</v>
      </c>
      <c r="G29" s="765" t="s">
        <v>2308</v>
      </c>
      <c r="H29" s="668"/>
    </row>
    <row r="30" spans="1:8">
      <c r="A30" s="1706"/>
      <c r="B30" s="1712"/>
      <c r="C30" s="1718"/>
      <c r="D30" s="1706"/>
      <c r="E30" s="1706"/>
      <c r="F30" s="1706"/>
      <c r="G30" s="755" t="s">
        <v>2221</v>
      </c>
      <c r="H30" s="668"/>
    </row>
    <row r="31" spans="1:8">
      <c r="A31" s="1706"/>
      <c r="B31" s="1712"/>
      <c r="C31" s="1718"/>
      <c r="D31" s="1706"/>
      <c r="E31" s="1706"/>
      <c r="F31" s="1706"/>
      <c r="G31" s="765" t="s">
        <v>2239</v>
      </c>
      <c r="H31" s="668"/>
    </row>
    <row r="32" spans="1:8">
      <c r="A32" s="1706"/>
      <c r="B32" s="1712"/>
      <c r="C32" s="1718"/>
      <c r="D32" s="1706"/>
      <c r="E32" s="1706"/>
      <c r="F32" s="1706"/>
      <c r="G32" s="755" t="s">
        <v>2240</v>
      </c>
      <c r="H32" s="668"/>
    </row>
    <row r="33" spans="1:8">
      <c r="A33" s="1706"/>
      <c r="B33" s="1712"/>
      <c r="C33" s="1718"/>
      <c r="D33" s="1706"/>
      <c r="E33" s="1706"/>
      <c r="F33" s="1706"/>
      <c r="G33" s="765" t="s">
        <v>347</v>
      </c>
      <c r="H33" s="668"/>
    </row>
    <row r="34" spans="1:8">
      <c r="A34" s="1622"/>
      <c r="B34" s="1703"/>
      <c r="C34" s="1719"/>
      <c r="D34" s="1706"/>
      <c r="E34" s="1706"/>
      <c r="F34" s="1706"/>
      <c r="G34" s="755" t="s">
        <v>2241</v>
      </c>
      <c r="H34" s="668"/>
    </row>
    <row r="35" spans="1:8" ht="15" customHeight="1">
      <c r="A35" s="1706">
        <v>12</v>
      </c>
      <c r="B35" s="1712" t="s">
        <v>1321</v>
      </c>
      <c r="C35" s="1716"/>
      <c r="D35" s="1715">
        <v>3</v>
      </c>
      <c r="E35" s="1706">
        <v>3</v>
      </c>
      <c r="F35" s="1706">
        <v>0</v>
      </c>
      <c r="G35" s="766" t="s">
        <v>2309</v>
      </c>
      <c r="H35" s="668"/>
    </row>
    <row r="36" spans="1:8">
      <c r="A36" s="1706"/>
      <c r="B36" s="1712"/>
      <c r="C36" s="1716"/>
      <c r="D36" s="1715"/>
      <c r="E36" s="1706"/>
      <c r="F36" s="1706"/>
      <c r="G36" s="767" t="s">
        <v>2235</v>
      </c>
      <c r="H36" s="668"/>
    </row>
    <row r="37" spans="1:8">
      <c r="A37" s="1706"/>
      <c r="B37" s="1712"/>
      <c r="C37" s="1716"/>
      <c r="D37" s="1715"/>
      <c r="E37" s="1706"/>
      <c r="F37" s="1706"/>
      <c r="G37" s="766" t="s">
        <v>2310</v>
      </c>
      <c r="H37" s="668"/>
    </row>
    <row r="38" spans="1:8">
      <c r="A38" s="1706"/>
      <c r="B38" s="1712"/>
      <c r="C38" s="1716"/>
      <c r="D38" s="1715"/>
      <c r="E38" s="1706"/>
      <c r="F38" s="1706"/>
      <c r="G38" s="767" t="s">
        <v>2236</v>
      </c>
      <c r="H38" s="668"/>
    </row>
    <row r="39" spans="1:8">
      <c r="A39" s="1706"/>
      <c r="B39" s="1712"/>
      <c r="C39" s="1716"/>
      <c r="D39" s="1715"/>
      <c r="E39" s="1706"/>
      <c r="F39" s="1706"/>
      <c r="G39" s="766" t="s">
        <v>2311</v>
      </c>
      <c r="H39" s="668"/>
    </row>
    <row r="40" spans="1:8">
      <c r="A40" s="1622"/>
      <c r="B40" s="1703"/>
      <c r="C40" s="1717"/>
      <c r="D40" s="1690"/>
      <c r="E40" s="1622"/>
      <c r="F40" s="1622"/>
      <c r="G40" s="767" t="s">
        <v>2238</v>
      </c>
      <c r="H40" s="668"/>
    </row>
    <row r="41" spans="1:8">
      <c r="A41" s="1706">
        <v>13</v>
      </c>
      <c r="B41" s="1710" t="s">
        <v>2242</v>
      </c>
      <c r="C41" s="1706">
        <v>8</v>
      </c>
      <c r="D41" s="1706">
        <v>27</v>
      </c>
      <c r="E41" s="1706">
        <v>27</v>
      </c>
      <c r="F41" s="1713">
        <v>0</v>
      </c>
      <c r="G41" s="765" t="s">
        <v>2243</v>
      </c>
      <c r="H41" s="668"/>
    </row>
    <row r="42" spans="1:8">
      <c r="A42" s="1706"/>
      <c r="B42" s="1710"/>
      <c r="C42" s="1706"/>
      <c r="D42" s="1706"/>
      <c r="E42" s="1706"/>
      <c r="F42" s="1713"/>
      <c r="G42" s="755" t="s">
        <v>2244</v>
      </c>
      <c r="H42" s="668"/>
    </row>
    <row r="43" spans="1:8">
      <c r="A43" s="1706"/>
      <c r="B43" s="1710"/>
      <c r="C43" s="1706"/>
      <c r="D43" s="1706"/>
      <c r="E43" s="1706"/>
      <c r="F43" s="1713"/>
      <c r="G43" s="765" t="s">
        <v>177</v>
      </c>
      <c r="H43" s="668"/>
    </row>
    <row r="44" spans="1:8">
      <c r="A44" s="1706"/>
      <c r="B44" s="1710"/>
      <c r="C44" s="1706"/>
      <c r="D44" s="1706"/>
      <c r="E44" s="1706"/>
      <c r="F44" s="1713"/>
      <c r="G44" s="755" t="s">
        <v>2245</v>
      </c>
      <c r="H44" s="668"/>
    </row>
    <row r="45" spans="1:8">
      <c r="A45" s="1706"/>
      <c r="B45" s="1710"/>
      <c r="C45" s="1706"/>
      <c r="D45" s="1706"/>
      <c r="E45" s="1706"/>
      <c r="F45" s="1713"/>
      <c r="G45" s="765" t="s">
        <v>2246</v>
      </c>
      <c r="H45" s="668"/>
    </row>
    <row r="46" spans="1:8">
      <c r="A46" s="1706"/>
      <c r="B46" s="1710"/>
      <c r="C46" s="1706"/>
      <c r="D46" s="1706"/>
      <c r="E46" s="1706"/>
      <c r="F46" s="1713"/>
      <c r="G46" s="755" t="s">
        <v>2247</v>
      </c>
      <c r="H46" s="668"/>
    </row>
    <row r="47" spans="1:8">
      <c r="A47" s="1706"/>
      <c r="B47" s="1710"/>
      <c r="C47" s="1706"/>
      <c r="D47" s="1706"/>
      <c r="E47" s="1706"/>
      <c r="F47" s="1713"/>
      <c r="G47" s="765" t="s">
        <v>2312</v>
      </c>
      <c r="H47" s="668"/>
    </row>
    <row r="48" spans="1:8">
      <c r="A48" s="1706"/>
      <c r="B48" s="1710"/>
      <c r="C48" s="1706"/>
      <c r="D48" s="1706"/>
      <c r="E48" s="1706"/>
      <c r="F48" s="1713"/>
      <c r="G48" s="755" t="s">
        <v>2249</v>
      </c>
      <c r="H48" s="668"/>
    </row>
    <row r="49" spans="1:8">
      <c r="A49" s="1706"/>
      <c r="B49" s="1710"/>
      <c r="C49" s="1706"/>
      <c r="D49" s="1706"/>
      <c r="E49" s="1706"/>
      <c r="F49" s="1713"/>
      <c r="G49" s="765" t="s">
        <v>33</v>
      </c>
      <c r="H49" s="668"/>
    </row>
    <row r="50" spans="1:8">
      <c r="A50" s="1706"/>
      <c r="B50" s="1710"/>
      <c r="C50" s="1706"/>
      <c r="D50" s="1706"/>
      <c r="E50" s="1706"/>
      <c r="F50" s="1713"/>
      <c r="G50" s="755" t="s">
        <v>2250</v>
      </c>
      <c r="H50" s="668"/>
    </row>
    <row r="51" spans="1:8">
      <c r="A51" s="1706"/>
      <c r="B51" s="1710"/>
      <c r="C51" s="1706"/>
      <c r="D51" s="1706"/>
      <c r="E51" s="1706"/>
      <c r="F51" s="1713"/>
      <c r="G51" s="765" t="s">
        <v>2313</v>
      </c>
      <c r="H51" s="668"/>
    </row>
    <row r="52" spans="1:8">
      <c r="A52" s="1706"/>
      <c r="B52" s="1710"/>
      <c r="C52" s="1706"/>
      <c r="D52" s="1706"/>
      <c r="E52" s="1706"/>
      <c r="F52" s="1713"/>
      <c r="G52" s="755" t="s">
        <v>2252</v>
      </c>
      <c r="H52" s="668"/>
    </row>
    <row r="53" spans="1:8">
      <c r="A53" s="1706"/>
      <c r="B53" s="1710"/>
      <c r="C53" s="1706"/>
      <c r="D53" s="1706"/>
      <c r="E53" s="1706"/>
      <c r="F53" s="1713"/>
      <c r="G53" s="765" t="s">
        <v>2314</v>
      </c>
      <c r="H53" s="668"/>
    </row>
    <row r="54" spans="1:8">
      <c r="A54" s="1706"/>
      <c r="B54" s="1710"/>
      <c r="C54" s="1706"/>
      <c r="D54" s="1706"/>
      <c r="E54" s="1706"/>
      <c r="F54" s="1713"/>
      <c r="G54" s="755" t="s">
        <v>2253</v>
      </c>
      <c r="H54" s="668"/>
    </row>
    <row r="55" spans="1:8">
      <c r="A55" s="1706"/>
      <c r="B55" s="1710"/>
      <c r="C55" s="1706"/>
      <c r="D55" s="1706"/>
      <c r="E55" s="1706"/>
      <c r="F55" s="1713"/>
      <c r="G55" s="765" t="s">
        <v>50</v>
      </c>
      <c r="H55" s="668"/>
    </row>
    <row r="56" spans="1:8">
      <c r="A56" s="1706"/>
      <c r="B56" s="1710"/>
      <c r="C56" s="1706"/>
      <c r="D56" s="1706"/>
      <c r="E56" s="1706"/>
      <c r="F56" s="1713"/>
      <c r="G56" s="755" t="s">
        <v>2254</v>
      </c>
      <c r="H56" s="668"/>
    </row>
    <row r="57" spans="1:8">
      <c r="A57" s="1706"/>
      <c r="B57" s="1710"/>
      <c r="C57" s="1706"/>
      <c r="D57" s="1706"/>
      <c r="E57" s="1706"/>
      <c r="F57" s="1713"/>
      <c r="G57" s="765" t="s">
        <v>46</v>
      </c>
      <c r="H57" s="668"/>
    </row>
    <row r="58" spans="1:8">
      <c r="A58" s="1706"/>
      <c r="B58" s="1710"/>
      <c r="C58" s="1706"/>
      <c r="D58" s="1706"/>
      <c r="E58" s="1706"/>
      <c r="F58" s="1713"/>
      <c r="G58" s="755" t="s">
        <v>2256</v>
      </c>
      <c r="H58" s="668"/>
    </row>
    <row r="59" spans="1:8">
      <c r="A59" s="1706"/>
      <c r="B59" s="1710"/>
      <c r="C59" s="1706"/>
      <c r="D59" s="1706"/>
      <c r="E59" s="1706"/>
      <c r="F59" s="1713"/>
      <c r="G59" s="765" t="s">
        <v>2272</v>
      </c>
      <c r="H59" s="668"/>
    </row>
    <row r="60" spans="1:8">
      <c r="A60" s="1706"/>
      <c r="B60" s="1710"/>
      <c r="C60" s="1706"/>
      <c r="D60" s="1706"/>
      <c r="E60" s="1706"/>
      <c r="F60" s="1713"/>
      <c r="G60" s="755" t="s">
        <v>2273</v>
      </c>
      <c r="H60" s="668"/>
    </row>
    <row r="61" spans="1:8">
      <c r="A61" s="1706"/>
      <c r="B61" s="1710"/>
      <c r="C61" s="1706"/>
      <c r="D61" s="1706"/>
      <c r="E61" s="1706"/>
      <c r="F61" s="1713"/>
      <c r="G61" s="765" t="s">
        <v>2315</v>
      </c>
      <c r="H61" s="668"/>
    </row>
    <row r="62" spans="1:8">
      <c r="A62" s="1706"/>
      <c r="B62" s="1710"/>
      <c r="C62" s="1706"/>
      <c r="D62" s="1706"/>
      <c r="E62" s="1706"/>
      <c r="F62" s="1713"/>
      <c r="G62" s="755" t="s">
        <v>2257</v>
      </c>
      <c r="H62" s="668"/>
    </row>
    <row r="63" spans="1:8">
      <c r="A63" s="1706"/>
      <c r="B63" s="1710"/>
      <c r="C63" s="1706"/>
      <c r="D63" s="1706"/>
      <c r="E63" s="1706"/>
      <c r="F63" s="1713"/>
      <c r="G63" s="765" t="s">
        <v>15</v>
      </c>
      <c r="H63" s="668"/>
    </row>
    <row r="64" spans="1:8">
      <c r="A64" s="1706"/>
      <c r="B64" s="1710"/>
      <c r="C64" s="1706"/>
      <c r="D64" s="1706"/>
      <c r="E64" s="1706"/>
      <c r="F64" s="1713"/>
      <c r="G64" s="755" t="s">
        <v>2258</v>
      </c>
      <c r="H64" s="668"/>
    </row>
    <row r="65" spans="1:8">
      <c r="A65" s="1706"/>
      <c r="B65" s="1710"/>
      <c r="C65" s="1706"/>
      <c r="D65" s="1706"/>
      <c r="E65" s="1706"/>
      <c r="F65" s="1713"/>
      <c r="G65" s="765" t="s">
        <v>10</v>
      </c>
      <c r="H65" s="668"/>
    </row>
    <row r="66" spans="1:8">
      <c r="A66" s="1706"/>
      <c r="B66" s="1710"/>
      <c r="C66" s="1706"/>
      <c r="D66" s="1706"/>
      <c r="E66" s="1706"/>
      <c r="F66" s="1713"/>
      <c r="G66" s="755" t="s">
        <v>2259</v>
      </c>
      <c r="H66" s="668"/>
    </row>
    <row r="67" spans="1:8">
      <c r="A67" s="1706"/>
      <c r="B67" s="1710"/>
      <c r="C67" s="1706"/>
      <c r="D67" s="1706"/>
      <c r="E67" s="1706"/>
      <c r="F67" s="1713"/>
      <c r="G67" s="765" t="s">
        <v>2316</v>
      </c>
      <c r="H67" s="668"/>
    </row>
    <row r="68" spans="1:8">
      <c r="A68" s="1706"/>
      <c r="B68" s="1710"/>
      <c r="C68" s="1706"/>
      <c r="D68" s="1706"/>
      <c r="E68" s="1706"/>
      <c r="F68" s="1713"/>
      <c r="G68" s="768" t="s">
        <v>2317</v>
      </c>
      <c r="H68" s="668"/>
    </row>
    <row r="69" spans="1:8">
      <c r="A69" s="1706"/>
      <c r="B69" s="1710"/>
      <c r="C69" s="1706"/>
      <c r="D69" s="1706"/>
      <c r="E69" s="1706"/>
      <c r="F69" s="1713"/>
      <c r="G69" s="755" t="s">
        <v>2318</v>
      </c>
      <c r="H69" s="668"/>
    </row>
    <row r="70" spans="1:8">
      <c r="A70" s="1706"/>
      <c r="B70" s="1710"/>
      <c r="C70" s="1706"/>
      <c r="D70" s="1706"/>
      <c r="E70" s="1706"/>
      <c r="F70" s="1713"/>
      <c r="G70" s="755" t="s">
        <v>2319</v>
      </c>
      <c r="H70" s="668"/>
    </row>
    <row r="71" spans="1:8">
      <c r="A71" s="1706"/>
      <c r="B71" s="1710"/>
      <c r="C71" s="1706"/>
      <c r="D71" s="1706"/>
      <c r="E71" s="1706"/>
      <c r="F71" s="1713"/>
      <c r="G71" s="765" t="s">
        <v>279</v>
      </c>
      <c r="H71" s="668"/>
    </row>
    <row r="72" spans="1:8">
      <c r="A72" s="1706"/>
      <c r="B72" s="1710"/>
      <c r="C72" s="1706"/>
      <c r="D72" s="1706"/>
      <c r="E72" s="1706"/>
      <c r="F72" s="1713"/>
      <c r="G72" s="755" t="s">
        <v>2263</v>
      </c>
      <c r="H72" s="668"/>
    </row>
    <row r="73" spans="1:8">
      <c r="A73" s="1706"/>
      <c r="B73" s="1710"/>
      <c r="C73" s="1706"/>
      <c r="D73" s="1706"/>
      <c r="E73" s="1706"/>
      <c r="F73" s="1713"/>
      <c r="G73" s="765" t="s">
        <v>268</v>
      </c>
      <c r="H73" s="668"/>
    </row>
    <row r="74" spans="1:8">
      <c r="A74" s="1706"/>
      <c r="B74" s="1710"/>
      <c r="C74" s="1706"/>
      <c r="D74" s="1706"/>
      <c r="E74" s="1706"/>
      <c r="F74" s="1713"/>
      <c r="G74" s="755" t="s">
        <v>2264</v>
      </c>
      <c r="H74" s="668"/>
    </row>
    <row r="75" spans="1:8">
      <c r="A75" s="1706"/>
      <c r="B75" s="1710"/>
      <c r="C75" s="1706"/>
      <c r="D75" s="1706"/>
      <c r="E75" s="1706"/>
      <c r="F75" s="1713"/>
      <c r="G75" s="765" t="s">
        <v>2265</v>
      </c>
      <c r="H75" s="668"/>
    </row>
    <row r="76" spans="1:8">
      <c r="A76" s="1706"/>
      <c r="B76" s="1710"/>
      <c r="C76" s="1706"/>
      <c r="D76" s="1706"/>
      <c r="E76" s="1706"/>
      <c r="F76" s="1713"/>
      <c r="G76" s="768" t="s">
        <v>2266</v>
      </c>
      <c r="H76" s="668"/>
    </row>
    <row r="77" spans="1:8">
      <c r="A77" s="1706"/>
      <c r="B77" s="1710"/>
      <c r="C77" s="1706"/>
      <c r="D77" s="1706"/>
      <c r="E77" s="1706"/>
      <c r="F77" s="1713"/>
      <c r="G77" s="755" t="s">
        <v>328</v>
      </c>
      <c r="H77" s="668"/>
    </row>
    <row r="78" spans="1:8">
      <c r="A78" s="1706"/>
      <c r="B78" s="1710"/>
      <c r="C78" s="1706"/>
      <c r="D78" s="1706"/>
      <c r="E78" s="1706"/>
      <c r="F78" s="1713"/>
      <c r="G78" s="755" t="s">
        <v>2267</v>
      </c>
      <c r="H78" s="668"/>
    </row>
    <row r="79" spans="1:8">
      <c r="A79" s="1706"/>
      <c r="B79" s="1710"/>
      <c r="C79" s="1706"/>
      <c r="D79" s="1706"/>
      <c r="E79" s="1706"/>
      <c r="F79" s="1713"/>
      <c r="G79" s="765" t="s">
        <v>2320</v>
      </c>
      <c r="H79" s="668"/>
    </row>
    <row r="80" spans="1:8">
      <c r="A80" s="1706"/>
      <c r="B80" s="1710"/>
      <c r="C80" s="1706"/>
      <c r="D80" s="1706"/>
      <c r="E80" s="1706"/>
      <c r="F80" s="1713"/>
      <c r="G80" s="768" t="s">
        <v>2321</v>
      </c>
      <c r="H80" s="668"/>
    </row>
    <row r="81" spans="1:8">
      <c r="A81" s="1706"/>
      <c r="B81" s="1710"/>
      <c r="C81" s="1706"/>
      <c r="D81" s="1706"/>
      <c r="E81" s="1706"/>
      <c r="F81" s="1713"/>
      <c r="G81" s="755" t="s">
        <v>2322</v>
      </c>
      <c r="H81" s="668"/>
    </row>
    <row r="82" spans="1:8">
      <c r="A82" s="1706"/>
      <c r="B82" s="1710"/>
      <c r="C82" s="1706"/>
      <c r="D82" s="1706"/>
      <c r="E82" s="1706"/>
      <c r="F82" s="1713"/>
      <c r="G82" s="768" t="s">
        <v>2323</v>
      </c>
      <c r="H82" s="668"/>
    </row>
    <row r="83" spans="1:8">
      <c r="A83" s="1706"/>
      <c r="B83" s="1710"/>
      <c r="C83" s="1706"/>
      <c r="D83" s="1706"/>
      <c r="E83" s="1706"/>
      <c r="F83" s="1713"/>
      <c r="G83" s="755" t="s">
        <v>2324</v>
      </c>
      <c r="H83" s="668"/>
    </row>
    <row r="84" spans="1:8">
      <c r="A84" s="1706"/>
      <c r="B84" s="1710"/>
      <c r="C84" s="1706"/>
      <c r="D84" s="1706"/>
      <c r="E84" s="1706"/>
      <c r="F84" s="1713"/>
      <c r="G84" s="768" t="s">
        <v>2325</v>
      </c>
      <c r="H84" s="668"/>
    </row>
    <row r="85" spans="1:8">
      <c r="A85" s="1706"/>
      <c r="B85" s="1710"/>
      <c r="C85" s="1706"/>
      <c r="D85" s="1706"/>
      <c r="E85" s="1706"/>
      <c r="F85" s="1713"/>
      <c r="G85" s="755" t="s">
        <v>1059</v>
      </c>
      <c r="H85" s="668"/>
    </row>
    <row r="86" spans="1:8">
      <c r="A86" s="1706"/>
      <c r="B86" s="1710"/>
      <c r="C86" s="1706"/>
      <c r="D86" s="1706"/>
      <c r="E86" s="1706"/>
      <c r="F86" s="1713"/>
      <c r="G86" s="768" t="s">
        <v>2326</v>
      </c>
      <c r="H86" s="668"/>
    </row>
    <row r="87" spans="1:8">
      <c r="A87" s="1706"/>
      <c r="B87" s="1710"/>
      <c r="C87" s="1706"/>
      <c r="D87" s="1706"/>
      <c r="E87" s="1706"/>
      <c r="F87" s="1713"/>
      <c r="G87" s="755" t="s">
        <v>2327</v>
      </c>
      <c r="H87" s="668"/>
    </row>
    <row r="88" spans="1:8">
      <c r="A88" s="1706"/>
      <c r="B88" s="1710"/>
      <c r="C88" s="1706"/>
      <c r="D88" s="1706"/>
      <c r="E88" s="1706"/>
      <c r="F88" s="1713"/>
      <c r="G88" s="768" t="s">
        <v>2328</v>
      </c>
      <c r="H88" s="668"/>
    </row>
    <row r="89" spans="1:8">
      <c r="A89" s="1706"/>
      <c r="B89" s="1710"/>
      <c r="C89" s="1706"/>
      <c r="D89" s="1706"/>
      <c r="E89" s="1706"/>
      <c r="F89" s="1713"/>
      <c r="G89" s="755" t="s">
        <v>2329</v>
      </c>
      <c r="H89" s="668"/>
    </row>
    <row r="90" spans="1:8">
      <c r="A90" s="1706"/>
      <c r="B90" s="1710"/>
      <c r="C90" s="1706"/>
      <c r="D90" s="1706"/>
      <c r="E90" s="1706"/>
      <c r="F90" s="1713"/>
      <c r="G90" s="768" t="s">
        <v>2330</v>
      </c>
      <c r="H90" s="668"/>
    </row>
    <row r="91" spans="1:8">
      <c r="A91" s="1706"/>
      <c r="B91" s="1710"/>
      <c r="C91" s="1706"/>
      <c r="D91" s="1706"/>
      <c r="E91" s="1706"/>
      <c r="F91" s="1713"/>
      <c r="G91" s="755" t="s">
        <v>2331</v>
      </c>
      <c r="H91" s="668"/>
    </row>
    <row r="92" spans="1:8">
      <c r="A92" s="1706"/>
      <c r="B92" s="1710"/>
      <c r="C92" s="1706"/>
      <c r="D92" s="1706"/>
      <c r="E92" s="1706"/>
      <c r="F92" s="1713"/>
      <c r="G92" s="768" t="s">
        <v>2332</v>
      </c>
      <c r="H92" s="668"/>
    </row>
    <row r="93" spans="1:8">
      <c r="A93" s="1706"/>
      <c r="B93" s="1710"/>
      <c r="C93" s="1706"/>
      <c r="D93" s="1706"/>
      <c r="E93" s="1706"/>
      <c r="F93" s="1713"/>
      <c r="G93" s="755" t="s">
        <v>2333</v>
      </c>
      <c r="H93" s="668"/>
    </row>
    <row r="94" spans="1:8" ht="16.5" customHeight="1">
      <c r="A94" s="1706"/>
      <c r="B94" s="1710"/>
      <c r="C94" s="1706"/>
      <c r="D94" s="1706"/>
      <c r="E94" s="1706"/>
      <c r="F94" s="1713"/>
      <c r="G94" s="768" t="s">
        <v>2334</v>
      </c>
      <c r="H94" s="673"/>
    </row>
    <row r="95" spans="1:8">
      <c r="A95" s="1706">
        <v>14</v>
      </c>
      <c r="B95" s="1710" t="s">
        <v>2274</v>
      </c>
      <c r="C95" s="1706">
        <v>10</v>
      </c>
      <c r="D95" s="1706">
        <v>6</v>
      </c>
      <c r="E95" s="1706">
        <v>6</v>
      </c>
      <c r="F95" s="1706">
        <v>0</v>
      </c>
      <c r="G95" s="765" t="s">
        <v>2277</v>
      </c>
      <c r="H95" s="673"/>
    </row>
    <row r="96" spans="1:8" ht="16.5" customHeight="1">
      <c r="A96" s="1706"/>
      <c r="B96" s="1710"/>
      <c r="C96" s="1706"/>
      <c r="D96" s="1706"/>
      <c r="E96" s="1706"/>
      <c r="F96" s="1706"/>
      <c r="G96" s="755" t="s">
        <v>2278</v>
      </c>
      <c r="H96" s="673"/>
    </row>
    <row r="97" spans="1:8">
      <c r="A97" s="1706"/>
      <c r="B97" s="1710"/>
      <c r="C97" s="1706"/>
      <c r="D97" s="1706"/>
      <c r="E97" s="1706"/>
      <c r="F97" s="1706"/>
      <c r="G97" s="765" t="s">
        <v>2279</v>
      </c>
      <c r="H97" s="593"/>
    </row>
    <row r="98" spans="1:8">
      <c r="A98" s="1706"/>
      <c r="B98" s="1710"/>
      <c r="C98" s="1706"/>
      <c r="D98" s="1706"/>
      <c r="E98" s="1706"/>
      <c r="F98" s="1706"/>
      <c r="G98" s="755" t="s">
        <v>2280</v>
      </c>
    </row>
    <row r="99" spans="1:8">
      <c r="A99" s="1706"/>
      <c r="B99" s="1710"/>
      <c r="C99" s="1706"/>
      <c r="D99" s="1706"/>
      <c r="E99" s="1706"/>
      <c r="F99" s="1706"/>
      <c r="G99" s="765" t="s">
        <v>2281</v>
      </c>
    </row>
    <row r="100" spans="1:8">
      <c r="A100" s="1706"/>
      <c r="B100" s="1710"/>
      <c r="C100" s="1706"/>
      <c r="D100" s="1706"/>
      <c r="E100" s="1706"/>
      <c r="F100" s="1706"/>
      <c r="G100" s="755" t="s">
        <v>2282</v>
      </c>
    </row>
    <row r="101" spans="1:8">
      <c r="A101" s="1706"/>
      <c r="B101" s="1710"/>
      <c r="C101" s="1706"/>
      <c r="D101" s="1706"/>
      <c r="E101" s="1706"/>
      <c r="F101" s="1706"/>
      <c r="G101" s="765" t="s">
        <v>2335</v>
      </c>
    </row>
    <row r="102" spans="1:8">
      <c r="A102" s="1706"/>
      <c r="B102" s="1710"/>
      <c r="C102" s="1706"/>
      <c r="D102" s="1706"/>
      <c r="E102" s="1706"/>
      <c r="F102" s="1706"/>
      <c r="G102" s="755" t="s">
        <v>2336</v>
      </c>
    </row>
    <row r="103" spans="1:8">
      <c r="A103" s="1706"/>
      <c r="B103" s="1710"/>
      <c r="C103" s="1706"/>
      <c r="D103" s="1706"/>
      <c r="E103" s="1706"/>
      <c r="F103" s="1706"/>
      <c r="G103" s="765" t="s">
        <v>48</v>
      </c>
    </row>
    <row r="104" spans="1:8">
      <c r="A104" s="1706"/>
      <c r="B104" s="1710"/>
      <c r="C104" s="1706"/>
      <c r="D104" s="1706"/>
      <c r="E104" s="1706"/>
      <c r="F104" s="1706"/>
      <c r="G104" s="755" t="s">
        <v>2260</v>
      </c>
    </row>
    <row r="105" spans="1:8">
      <c r="A105" s="1706"/>
      <c r="B105" s="1710"/>
      <c r="C105" s="1706"/>
      <c r="D105" s="1706"/>
      <c r="E105" s="1706"/>
      <c r="F105" s="1706"/>
      <c r="G105" s="765" t="s">
        <v>2261</v>
      </c>
    </row>
    <row r="106" spans="1:8" ht="17.25" customHeight="1">
      <c r="A106" s="1622"/>
      <c r="B106" s="1711"/>
      <c r="C106" s="1622"/>
      <c r="D106" s="1622"/>
      <c r="E106" s="1622"/>
      <c r="F106" s="1622"/>
      <c r="G106" s="755" t="s">
        <v>2262</v>
      </c>
    </row>
    <row r="107" spans="1:8">
      <c r="A107" s="1706">
        <v>15</v>
      </c>
      <c r="B107" s="1709" t="s">
        <v>2228</v>
      </c>
      <c r="C107" s="1706">
        <v>7</v>
      </c>
      <c r="D107" s="1706">
        <v>2</v>
      </c>
      <c r="E107" s="1706">
        <v>2</v>
      </c>
      <c r="F107" s="1706">
        <v>0</v>
      </c>
      <c r="G107" s="769" t="s">
        <v>2229</v>
      </c>
    </row>
    <row r="108" spans="1:8">
      <c r="A108" s="1706"/>
      <c r="B108" s="1709"/>
      <c r="C108" s="1706"/>
      <c r="D108" s="1706"/>
      <c r="E108" s="1706"/>
      <c r="F108" s="1706"/>
      <c r="G108" s="770" t="s">
        <v>2230</v>
      </c>
    </row>
    <row r="109" spans="1:8">
      <c r="A109" s="1706"/>
      <c r="B109" s="1709"/>
      <c r="C109" s="1706"/>
      <c r="D109" s="1706"/>
      <c r="E109" s="1706"/>
      <c r="F109" s="1706"/>
      <c r="G109" s="769" t="s">
        <v>2337</v>
      </c>
    </row>
    <row r="110" spans="1:8" ht="21" customHeight="1">
      <c r="A110" s="1622"/>
      <c r="B110" s="1605"/>
      <c r="C110" s="1622"/>
      <c r="D110" s="1622"/>
      <c r="E110" s="1622"/>
      <c r="F110" s="1622"/>
      <c r="G110" s="770" t="s">
        <v>2232</v>
      </c>
    </row>
    <row r="111" spans="1:8" ht="24" customHeight="1">
      <c r="A111" s="1622">
        <v>16</v>
      </c>
      <c r="B111" s="1707" t="s">
        <v>2284</v>
      </c>
      <c r="C111" s="1706">
        <v>10</v>
      </c>
      <c r="D111" s="1706">
        <v>1</v>
      </c>
      <c r="E111" s="1706">
        <v>1</v>
      </c>
      <c r="F111" s="1706">
        <v>0</v>
      </c>
      <c r="G111" s="760" t="s">
        <v>2338</v>
      </c>
    </row>
    <row r="112" spans="1:8" ht="23.25" customHeight="1">
      <c r="A112" s="1624"/>
      <c r="B112" s="1708"/>
      <c r="C112" s="1706"/>
      <c r="D112" s="1706"/>
      <c r="E112" s="1706"/>
      <c r="F112" s="1706"/>
      <c r="G112" s="771" t="s">
        <v>2287</v>
      </c>
    </row>
  </sheetData>
  <mergeCells count="72">
    <mergeCell ref="C41:C94"/>
    <mergeCell ref="B41:B94"/>
    <mergeCell ref="A41:A94"/>
    <mergeCell ref="F41:F94"/>
    <mergeCell ref="E41:E94"/>
    <mergeCell ref="D41:D94"/>
    <mergeCell ref="A29:A34"/>
    <mergeCell ref="D35:D40"/>
    <mergeCell ref="E35:E40"/>
    <mergeCell ref="F35:F40"/>
    <mergeCell ref="C35:C40"/>
    <mergeCell ref="B35:B40"/>
    <mergeCell ref="A35:A40"/>
    <mergeCell ref="F29:F34"/>
    <mergeCell ref="E29:E34"/>
    <mergeCell ref="D29:D34"/>
    <mergeCell ref="B29:B34"/>
    <mergeCell ref="C29:C34"/>
    <mergeCell ref="F21:F24"/>
    <mergeCell ref="A19:A20"/>
    <mergeCell ref="B19:B20"/>
    <mergeCell ref="A25:A28"/>
    <mergeCell ref="B25:B28"/>
    <mergeCell ref="C25:C28"/>
    <mergeCell ref="D25:D28"/>
    <mergeCell ref="E25:E28"/>
    <mergeCell ref="F25:F28"/>
    <mergeCell ref="A21:A24"/>
    <mergeCell ref="B21:B24"/>
    <mergeCell ref="C21:C24"/>
    <mergeCell ref="D21:D24"/>
    <mergeCell ref="E21:E24"/>
    <mergeCell ref="D17:D18"/>
    <mergeCell ref="E17:E18"/>
    <mergeCell ref="F17:F18"/>
    <mergeCell ref="C19:C20"/>
    <mergeCell ref="D19:D20"/>
    <mergeCell ref="E19:E20"/>
    <mergeCell ref="F19:F20"/>
    <mergeCell ref="A95:A106"/>
    <mergeCell ref="F9:F10"/>
    <mergeCell ref="A11:A16"/>
    <mergeCell ref="B11:B16"/>
    <mergeCell ref="C11:C16"/>
    <mergeCell ref="D11:D16"/>
    <mergeCell ref="E11:E16"/>
    <mergeCell ref="F11:F16"/>
    <mergeCell ref="A9:A10"/>
    <mergeCell ref="B9:B10"/>
    <mergeCell ref="C9:C10"/>
    <mergeCell ref="D9:D10"/>
    <mergeCell ref="E9:E10"/>
    <mergeCell ref="A17:A18"/>
    <mergeCell ref="B17:B18"/>
    <mergeCell ref="C17:C18"/>
    <mergeCell ref="E95:E106"/>
    <mergeCell ref="F95:F106"/>
    <mergeCell ref="D95:D106"/>
    <mergeCell ref="C95:C106"/>
    <mergeCell ref="B95:B106"/>
    <mergeCell ref="A107:A110"/>
    <mergeCell ref="B107:B110"/>
    <mergeCell ref="E107:E110"/>
    <mergeCell ref="F107:F110"/>
    <mergeCell ref="D107:D110"/>
    <mergeCell ref="C107:C110"/>
    <mergeCell ref="F111:F112"/>
    <mergeCell ref="A111:A112"/>
    <mergeCell ref="B111:B112"/>
    <mergeCell ref="C111:C112"/>
    <mergeCell ref="D111:D112"/>
    <mergeCell ref="E111:E112"/>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A10E3-3F8A-4BC4-8EC8-30FBA02B41C9}">
  <dimension ref="A1:G10"/>
  <sheetViews>
    <sheetView topLeftCell="B1" zoomScale="70" zoomScaleNormal="70" workbookViewId="0">
      <selection activeCell="E6" sqref="E6"/>
    </sheetView>
  </sheetViews>
  <sheetFormatPr defaultRowHeight="15"/>
  <cols>
    <col min="1" max="1" width="8.28515625" customWidth="1"/>
    <col min="2" max="2" width="29.85546875" customWidth="1"/>
    <col min="3" max="3" width="36.85546875" customWidth="1"/>
    <col min="4" max="4" width="21.7109375" customWidth="1"/>
    <col min="5" max="5" width="31" customWidth="1"/>
    <col min="6" max="6" width="11.85546875" customWidth="1"/>
    <col min="7" max="7" width="55.140625" customWidth="1"/>
  </cols>
  <sheetData>
    <row r="1" spans="1:7" ht="51.75" customHeight="1">
      <c r="A1" s="1720" t="s">
        <v>2339</v>
      </c>
      <c r="B1" s="1720"/>
      <c r="C1" s="1720"/>
      <c r="D1" s="1720"/>
      <c r="E1" s="1720"/>
      <c r="F1" s="1720"/>
      <c r="G1" s="1720"/>
    </row>
    <row r="2" spans="1:7">
      <c r="A2" s="1721" t="s">
        <v>2340</v>
      </c>
      <c r="B2" s="1721" t="s">
        <v>2341</v>
      </c>
      <c r="C2" s="1721" t="s">
        <v>2342</v>
      </c>
      <c r="D2" s="1721" t="s">
        <v>2343</v>
      </c>
      <c r="E2" s="1721"/>
      <c r="F2" s="1721"/>
      <c r="G2" s="1721" t="s">
        <v>2344</v>
      </c>
    </row>
    <row r="3" spans="1:7" ht="29.25" customHeight="1">
      <c r="A3" s="1721"/>
      <c r="B3" s="1721"/>
      <c r="C3" s="1721"/>
      <c r="D3" s="650" t="s">
        <v>2345</v>
      </c>
      <c r="E3" s="651" t="s">
        <v>2346</v>
      </c>
      <c r="F3" s="650" t="s">
        <v>2347</v>
      </c>
      <c r="G3" s="1721"/>
    </row>
    <row r="4" spans="1:7" ht="197.25" customHeight="1">
      <c r="A4" s="651">
        <v>1</v>
      </c>
      <c r="B4" s="652" t="s">
        <v>2348</v>
      </c>
      <c r="C4" s="653" t="s">
        <v>2349</v>
      </c>
      <c r="D4" s="650" t="s">
        <v>2350</v>
      </c>
      <c r="E4" s="652" t="s">
        <v>2351</v>
      </c>
      <c r="F4" s="651">
        <v>2</v>
      </c>
      <c r="G4" s="654" t="s">
        <v>2352</v>
      </c>
    </row>
    <row r="5" spans="1:7" ht="185.25" customHeight="1">
      <c r="A5" s="650">
        <v>2</v>
      </c>
      <c r="B5" s="652" t="s">
        <v>2353</v>
      </c>
      <c r="C5" s="653" t="s">
        <v>2354</v>
      </c>
      <c r="D5" s="650" t="s">
        <v>2355</v>
      </c>
      <c r="E5" s="652" t="s">
        <v>2351</v>
      </c>
      <c r="F5" s="650">
        <v>1</v>
      </c>
      <c r="G5" s="654" t="s">
        <v>2356</v>
      </c>
    </row>
    <row r="6" spans="1:7" ht="132" customHeight="1">
      <c r="A6" s="650">
        <v>3</v>
      </c>
      <c r="B6" s="652" t="s">
        <v>2353</v>
      </c>
      <c r="C6" s="653" t="s">
        <v>2357</v>
      </c>
      <c r="D6" s="650" t="s">
        <v>2350</v>
      </c>
      <c r="E6" s="652" t="s">
        <v>2351</v>
      </c>
      <c r="F6" s="650">
        <v>7</v>
      </c>
      <c r="G6" s="654" t="s">
        <v>2358</v>
      </c>
    </row>
    <row r="7" spans="1:7" ht="156" customHeight="1">
      <c r="A7" s="650">
        <v>4</v>
      </c>
      <c r="B7" s="652" t="s">
        <v>2359</v>
      </c>
      <c r="C7" s="653" t="s">
        <v>2360</v>
      </c>
      <c r="D7" s="650" t="s">
        <v>2350</v>
      </c>
      <c r="E7" s="652" t="s">
        <v>2351</v>
      </c>
      <c r="F7" s="650">
        <v>2</v>
      </c>
      <c r="G7" s="654" t="s">
        <v>2361</v>
      </c>
    </row>
    <row r="8" spans="1:7" ht="48.75" customHeight="1">
      <c r="A8" s="650">
        <v>5</v>
      </c>
      <c r="B8" s="652" t="s">
        <v>2362</v>
      </c>
      <c r="C8" s="653" t="s">
        <v>2363</v>
      </c>
      <c r="D8" s="650" t="s">
        <v>2350</v>
      </c>
      <c r="E8" s="652" t="s">
        <v>2351</v>
      </c>
      <c r="F8" s="650">
        <v>2</v>
      </c>
      <c r="G8" s="654" t="s">
        <v>2364</v>
      </c>
    </row>
    <row r="9" spans="1:7" ht="111.75" customHeight="1">
      <c r="A9" s="650">
        <v>6</v>
      </c>
      <c r="B9" s="655" t="s">
        <v>2365</v>
      </c>
      <c r="C9" s="653" t="s">
        <v>2366</v>
      </c>
      <c r="D9" s="650" t="s">
        <v>2350</v>
      </c>
      <c r="E9" s="652" t="s">
        <v>2351</v>
      </c>
      <c r="F9" s="650">
        <v>2</v>
      </c>
      <c r="G9" s="654" t="s">
        <v>2367</v>
      </c>
    </row>
    <row r="10" spans="1:7" ht="144" customHeight="1"/>
  </sheetData>
  <mergeCells count="6">
    <mergeCell ref="A1:G1"/>
    <mergeCell ref="A2:A3"/>
    <mergeCell ref="B2:B3"/>
    <mergeCell ref="C2:C3"/>
    <mergeCell ref="D2:F2"/>
    <mergeCell ref="G2:G3"/>
  </mergeCells>
  <pageMargins left="0.70866141732283472" right="0.70866141732283472" top="0.74803149606299213" bottom="0.74803149606299213" header="0.31496062992125984" footer="0.31496062992125984"/>
  <pageSetup paperSize="9" scale="40" fitToWidth="0" fitToHeight="0" orientation="portrait" horizontalDpi="0" verticalDpi="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8815C-5A18-4249-8F51-99BF7F61DAF3}">
  <dimension ref="A1:E73"/>
  <sheetViews>
    <sheetView topLeftCell="A14" workbookViewId="0">
      <selection activeCell="G36" sqref="G36"/>
    </sheetView>
  </sheetViews>
  <sheetFormatPr defaultRowHeight="15"/>
  <cols>
    <col min="1" max="1" width="5.140625" customWidth="1"/>
    <col min="2" max="2" width="37.140625" customWidth="1"/>
    <col min="3" max="3" width="12" customWidth="1"/>
    <col min="4" max="4" width="12.42578125" customWidth="1"/>
    <col min="5" max="5" width="27.85546875" customWidth="1"/>
  </cols>
  <sheetData>
    <row r="1" spans="1:5">
      <c r="A1" s="1587" t="s">
        <v>2368</v>
      </c>
      <c r="B1" s="1587"/>
      <c r="C1" s="1587"/>
      <c r="D1" s="1587"/>
      <c r="E1" s="1587"/>
    </row>
    <row r="2" spans="1:5">
      <c r="A2" s="1587" t="s">
        <v>2369</v>
      </c>
      <c r="B2" s="1587"/>
      <c r="C2" s="1587"/>
      <c r="D2" s="1587"/>
      <c r="E2" s="1587"/>
    </row>
    <row r="3" spans="1:5">
      <c r="A3" s="662"/>
      <c r="B3" s="662"/>
      <c r="C3" s="662"/>
      <c r="D3" s="662"/>
      <c r="E3" s="662"/>
    </row>
    <row r="4" spans="1:5">
      <c r="A4" s="662" t="s">
        <v>2370</v>
      </c>
      <c r="B4" s="662"/>
      <c r="C4" s="662"/>
      <c r="D4" s="662"/>
      <c r="E4" s="662"/>
    </row>
    <row r="6" spans="1:5" s="7" customFormat="1" ht="60.75">
      <c r="A6" s="660" t="s">
        <v>0</v>
      </c>
      <c r="B6" s="660" t="s">
        <v>2371</v>
      </c>
      <c r="C6" s="663" t="s">
        <v>2372</v>
      </c>
      <c r="D6" s="660" t="s">
        <v>2373</v>
      </c>
      <c r="E6" s="660" t="s">
        <v>2374</v>
      </c>
    </row>
    <row r="7" spans="1:5">
      <c r="A7" s="661" t="s">
        <v>2375</v>
      </c>
      <c r="B7" s="661" t="s">
        <v>2376</v>
      </c>
      <c r="C7" s="661" t="s">
        <v>2377</v>
      </c>
      <c r="D7" s="661" t="s">
        <v>2378</v>
      </c>
      <c r="E7" s="661" t="s">
        <v>2379</v>
      </c>
    </row>
    <row r="8" spans="1:5">
      <c r="A8" s="1722" t="s">
        <v>2380</v>
      </c>
      <c r="B8" s="1722"/>
      <c r="C8" s="1722"/>
      <c r="D8" s="1722"/>
      <c r="E8" s="1722"/>
    </row>
    <row r="9" spans="1:5" ht="30.75">
      <c r="A9" s="645">
        <v>1</v>
      </c>
      <c r="B9" s="22" t="s">
        <v>2381</v>
      </c>
      <c r="C9" s="645" t="s">
        <v>77</v>
      </c>
      <c r="D9" s="645" t="s">
        <v>77</v>
      </c>
      <c r="E9" s="645" t="s">
        <v>77</v>
      </c>
    </row>
    <row r="10" spans="1:5" ht="30.75">
      <c r="A10" s="645">
        <v>2</v>
      </c>
      <c r="B10" s="22" t="s">
        <v>2382</v>
      </c>
      <c r="C10" s="645" t="s">
        <v>77</v>
      </c>
      <c r="D10" s="645" t="s">
        <v>77</v>
      </c>
      <c r="E10" s="645" t="s">
        <v>77</v>
      </c>
    </row>
    <row r="11" spans="1:5">
      <c r="A11" s="645">
        <v>3</v>
      </c>
      <c r="B11" s="22" t="s">
        <v>2383</v>
      </c>
      <c r="C11" s="107" t="s">
        <v>1371</v>
      </c>
      <c r="D11" s="645" t="s">
        <v>2384</v>
      </c>
      <c r="E11" s="645">
        <v>1</v>
      </c>
    </row>
    <row r="12" spans="1:5">
      <c r="A12" s="1723" t="s">
        <v>2385</v>
      </c>
      <c r="B12" s="1723"/>
      <c r="C12" s="1723"/>
      <c r="D12" s="1723"/>
      <c r="E12" s="1723"/>
    </row>
    <row r="13" spans="1:5" ht="30.75">
      <c r="A13" s="645">
        <v>1</v>
      </c>
      <c r="B13" s="22" t="s">
        <v>2386</v>
      </c>
      <c r="C13" s="107" t="s">
        <v>1371</v>
      </c>
      <c r="D13" s="645" t="s">
        <v>2384</v>
      </c>
      <c r="E13" s="645">
        <v>1</v>
      </c>
    </row>
    <row r="14" spans="1:5" ht="30.75">
      <c r="A14" s="645">
        <v>2</v>
      </c>
      <c r="B14" s="22" t="s">
        <v>2387</v>
      </c>
      <c r="C14" s="645" t="s">
        <v>77</v>
      </c>
      <c r="D14" s="645" t="s">
        <v>77</v>
      </c>
      <c r="E14" s="645" t="s">
        <v>77</v>
      </c>
    </row>
    <row r="15" spans="1:5" ht="30.75">
      <c r="A15" s="645">
        <v>3</v>
      </c>
      <c r="B15" s="22" t="s">
        <v>2388</v>
      </c>
      <c r="C15" s="107" t="s">
        <v>1371</v>
      </c>
      <c r="D15" s="645" t="s">
        <v>2384</v>
      </c>
      <c r="E15" s="645">
        <v>1</v>
      </c>
    </row>
    <row r="16" spans="1:5" ht="30.75">
      <c r="A16" s="645">
        <v>4</v>
      </c>
      <c r="B16" s="22" t="s">
        <v>2389</v>
      </c>
      <c r="C16" s="107" t="s">
        <v>1371</v>
      </c>
      <c r="D16" s="645" t="s">
        <v>2384</v>
      </c>
      <c r="E16" s="645">
        <v>7</v>
      </c>
    </row>
    <row r="17" spans="1:5">
      <c r="A17" s="645">
        <v>5</v>
      </c>
      <c r="B17" s="22" t="s">
        <v>2390</v>
      </c>
      <c r="C17" s="645" t="s">
        <v>77</v>
      </c>
      <c r="D17" s="645" t="s">
        <v>77</v>
      </c>
      <c r="E17" s="645" t="s">
        <v>77</v>
      </c>
    </row>
    <row r="18" spans="1:5">
      <c r="A18" s="645">
        <v>6</v>
      </c>
      <c r="B18" s="22" t="s">
        <v>2391</v>
      </c>
      <c r="C18" s="645" t="s">
        <v>77</v>
      </c>
      <c r="D18" s="645" t="s">
        <v>77</v>
      </c>
      <c r="E18" s="645" t="s">
        <v>77</v>
      </c>
    </row>
    <row r="19" spans="1:5">
      <c r="A19" s="645">
        <v>7</v>
      </c>
      <c r="B19" s="22" t="s">
        <v>2392</v>
      </c>
      <c r="C19" s="645" t="s">
        <v>77</v>
      </c>
      <c r="D19" s="645" t="s">
        <v>77</v>
      </c>
      <c r="E19" s="645" t="s">
        <v>77</v>
      </c>
    </row>
    <row r="20" spans="1:5">
      <c r="A20" s="645">
        <v>8</v>
      </c>
      <c r="B20" s="22" t="s">
        <v>2393</v>
      </c>
      <c r="C20" s="645" t="s">
        <v>77</v>
      </c>
      <c r="D20" s="645" t="s">
        <v>77</v>
      </c>
      <c r="E20" s="645" t="s">
        <v>77</v>
      </c>
    </row>
    <row r="21" spans="1:5">
      <c r="A21" s="645">
        <v>9</v>
      </c>
      <c r="B21" s="22" t="s">
        <v>2394</v>
      </c>
      <c r="C21" s="107" t="s">
        <v>1371</v>
      </c>
      <c r="D21" s="645" t="s">
        <v>2384</v>
      </c>
      <c r="E21" s="645">
        <v>2</v>
      </c>
    </row>
    <row r="22" spans="1:5">
      <c r="A22" s="645">
        <v>10</v>
      </c>
      <c r="B22" s="22" t="s">
        <v>2395</v>
      </c>
      <c r="C22" s="645" t="s">
        <v>77</v>
      </c>
      <c r="D22" s="645" t="s">
        <v>77</v>
      </c>
      <c r="E22" s="645" t="s">
        <v>77</v>
      </c>
    </row>
    <row r="23" spans="1:5">
      <c r="A23" s="645">
        <v>11</v>
      </c>
      <c r="B23" s="22" t="s">
        <v>2396</v>
      </c>
      <c r="C23" s="107" t="s">
        <v>1371</v>
      </c>
      <c r="D23" s="645" t="s">
        <v>2384</v>
      </c>
      <c r="E23" s="645">
        <v>2</v>
      </c>
    </row>
    <row r="24" spans="1:5">
      <c r="A24" s="645">
        <v>12</v>
      </c>
      <c r="B24" s="22" t="s">
        <v>2397</v>
      </c>
      <c r="C24" s="107" t="s">
        <v>1371</v>
      </c>
      <c r="D24" s="645" t="s">
        <v>2384</v>
      </c>
      <c r="E24" s="645">
        <v>2</v>
      </c>
    </row>
    <row r="25" spans="1:5">
      <c r="A25" s="645">
        <v>13</v>
      </c>
      <c r="B25" s="22" t="s">
        <v>2398</v>
      </c>
      <c r="C25" s="645" t="s">
        <v>77</v>
      </c>
      <c r="D25" s="645" t="s">
        <v>77</v>
      </c>
      <c r="E25" s="645" t="s">
        <v>77</v>
      </c>
    </row>
    <row r="26" spans="1:5">
      <c r="A26" s="1724" t="s">
        <v>2350</v>
      </c>
      <c r="B26" s="1724"/>
      <c r="C26" s="1724"/>
      <c r="D26" s="1724"/>
      <c r="E26" s="1724"/>
    </row>
    <row r="27" spans="1:5" ht="30.75">
      <c r="A27" s="645">
        <v>1</v>
      </c>
      <c r="B27" s="22" t="s">
        <v>403</v>
      </c>
      <c r="C27" s="107" t="s">
        <v>1371</v>
      </c>
      <c r="D27" s="645" t="s">
        <v>2384</v>
      </c>
      <c r="E27" s="645">
        <v>2</v>
      </c>
    </row>
    <row r="28" spans="1:5">
      <c r="A28" s="645">
        <v>2</v>
      </c>
      <c r="B28" s="22" t="s">
        <v>2399</v>
      </c>
      <c r="C28" s="107" t="s">
        <v>1371</v>
      </c>
      <c r="D28" s="645" t="s">
        <v>2384</v>
      </c>
      <c r="E28" s="645">
        <v>1</v>
      </c>
    </row>
    <row r="29" spans="1:5">
      <c r="A29" s="645">
        <v>3</v>
      </c>
      <c r="B29" s="22" t="s">
        <v>2400</v>
      </c>
      <c r="C29" s="107" t="s">
        <v>1371</v>
      </c>
      <c r="D29" s="645" t="s">
        <v>2384</v>
      </c>
      <c r="E29" s="645">
        <v>1</v>
      </c>
    </row>
    <row r="30" spans="1:5">
      <c r="A30" s="645">
        <v>4</v>
      </c>
      <c r="B30" s="22" t="s">
        <v>2401</v>
      </c>
      <c r="C30" s="107" t="s">
        <v>1371</v>
      </c>
      <c r="D30" s="645" t="s">
        <v>2384</v>
      </c>
      <c r="E30" s="645">
        <v>5</v>
      </c>
    </row>
    <row r="31" spans="1:5">
      <c r="A31" s="645">
        <v>5</v>
      </c>
      <c r="B31" s="22" t="s">
        <v>2402</v>
      </c>
      <c r="C31" s="107" t="s">
        <v>1371</v>
      </c>
      <c r="D31" s="645" t="s">
        <v>2384</v>
      </c>
      <c r="E31" s="645">
        <v>2</v>
      </c>
    </row>
    <row r="32" spans="1:5">
      <c r="A32" s="645">
        <v>6</v>
      </c>
      <c r="B32" s="22" t="s">
        <v>2403</v>
      </c>
      <c r="C32" s="107" t="s">
        <v>1371</v>
      </c>
      <c r="D32" s="645" t="s">
        <v>2384</v>
      </c>
      <c r="E32" s="645">
        <v>4</v>
      </c>
    </row>
    <row r="33" spans="1:5">
      <c r="A33" s="645">
        <v>7</v>
      </c>
      <c r="B33" s="22" t="s">
        <v>2404</v>
      </c>
      <c r="C33" s="107" t="s">
        <v>1371</v>
      </c>
      <c r="D33" s="645" t="s">
        <v>2384</v>
      </c>
      <c r="E33" s="645">
        <v>1</v>
      </c>
    </row>
    <row r="34" spans="1:5">
      <c r="A34" s="645">
        <v>8</v>
      </c>
      <c r="B34" s="22" t="s">
        <v>2405</v>
      </c>
      <c r="C34" s="107" t="s">
        <v>1371</v>
      </c>
      <c r="D34" s="645" t="s">
        <v>2384</v>
      </c>
      <c r="E34" s="645">
        <v>1</v>
      </c>
    </row>
    <row r="35" spans="1:5">
      <c r="A35" s="645">
        <v>9</v>
      </c>
      <c r="B35" s="22" t="s">
        <v>2406</v>
      </c>
      <c r="C35" s="645" t="s">
        <v>77</v>
      </c>
      <c r="D35" s="645" t="s">
        <v>77</v>
      </c>
      <c r="E35" s="645" t="s">
        <v>77</v>
      </c>
    </row>
    <row r="36" spans="1:5" ht="30.75">
      <c r="A36" s="645">
        <v>10</v>
      </c>
      <c r="B36" s="22" t="s">
        <v>2407</v>
      </c>
      <c r="C36" s="645" t="s">
        <v>77</v>
      </c>
      <c r="D36" s="645" t="s">
        <v>77</v>
      </c>
      <c r="E36" s="645" t="s">
        <v>77</v>
      </c>
    </row>
    <row r="37" spans="1:5">
      <c r="A37" s="645">
        <v>11</v>
      </c>
      <c r="B37" s="664" t="s">
        <v>2408</v>
      </c>
      <c r="C37" s="645" t="s">
        <v>77</v>
      </c>
      <c r="D37" s="645" t="s">
        <v>77</v>
      </c>
      <c r="E37" s="645" t="s">
        <v>77</v>
      </c>
    </row>
    <row r="38" spans="1:5">
      <c r="A38" s="645">
        <v>12</v>
      </c>
      <c r="B38" s="22" t="s">
        <v>2409</v>
      </c>
      <c r="C38" s="645" t="s">
        <v>77</v>
      </c>
      <c r="D38" s="645" t="s">
        <v>77</v>
      </c>
      <c r="E38" s="645" t="s">
        <v>77</v>
      </c>
    </row>
    <row r="39" spans="1:5">
      <c r="A39" s="645">
        <v>13</v>
      </c>
      <c r="B39" s="664" t="s">
        <v>2410</v>
      </c>
      <c r="C39" s="645" t="s">
        <v>77</v>
      </c>
      <c r="D39" s="645" t="s">
        <v>77</v>
      </c>
      <c r="E39" s="645" t="s">
        <v>77</v>
      </c>
    </row>
    <row r="40" spans="1:5">
      <c r="A40" s="645">
        <v>14</v>
      </c>
      <c r="B40" s="22" t="s">
        <v>2411</v>
      </c>
      <c r="C40" s="645" t="s">
        <v>77</v>
      </c>
      <c r="D40" s="645" t="s">
        <v>77</v>
      </c>
      <c r="E40" s="645" t="s">
        <v>77</v>
      </c>
    </row>
    <row r="41" spans="1:5">
      <c r="A41" s="645">
        <v>15</v>
      </c>
      <c r="B41" s="22" t="s">
        <v>2412</v>
      </c>
      <c r="C41" s="645" t="s">
        <v>77</v>
      </c>
      <c r="D41" s="645" t="s">
        <v>77</v>
      </c>
      <c r="E41" s="645" t="s">
        <v>77</v>
      </c>
    </row>
    <row r="42" spans="1:5">
      <c r="A42" s="645">
        <v>16</v>
      </c>
      <c r="B42" s="22" t="s">
        <v>2413</v>
      </c>
      <c r="C42" s="645" t="s">
        <v>77</v>
      </c>
      <c r="D42" s="645" t="s">
        <v>77</v>
      </c>
      <c r="E42" s="645" t="s">
        <v>77</v>
      </c>
    </row>
    <row r="43" spans="1:5">
      <c r="A43" s="1722" t="s">
        <v>2414</v>
      </c>
      <c r="B43" s="1722"/>
      <c r="C43" s="1722"/>
      <c r="D43" s="1722"/>
      <c r="E43" s="1722"/>
    </row>
    <row r="44" spans="1:5" ht="30.75">
      <c r="A44" s="645">
        <v>1</v>
      </c>
      <c r="B44" s="22" t="s">
        <v>2415</v>
      </c>
      <c r="C44" s="107" t="s">
        <v>1371</v>
      </c>
      <c r="D44" s="645" t="s">
        <v>2416</v>
      </c>
      <c r="E44" s="645">
        <v>4</v>
      </c>
    </row>
    <row r="45" spans="1:5" ht="30.75">
      <c r="A45" s="645">
        <v>2</v>
      </c>
      <c r="B45" s="22" t="s">
        <v>2417</v>
      </c>
      <c r="C45" s="645" t="s">
        <v>77</v>
      </c>
      <c r="D45" s="645" t="s">
        <v>77</v>
      </c>
      <c r="E45" s="645" t="s">
        <v>77</v>
      </c>
    </row>
    <row r="46" spans="1:5" ht="30.75">
      <c r="A46" s="645">
        <v>3</v>
      </c>
      <c r="B46" s="22" t="s">
        <v>2418</v>
      </c>
      <c r="C46" s="645" t="s">
        <v>77</v>
      </c>
      <c r="D46" s="645" t="s">
        <v>77</v>
      </c>
      <c r="E46" s="645" t="s">
        <v>77</v>
      </c>
    </row>
    <row r="47" spans="1:5" ht="30.75">
      <c r="A47" s="645">
        <v>4</v>
      </c>
      <c r="B47" s="22" t="s">
        <v>2419</v>
      </c>
      <c r="C47" s="645" t="s">
        <v>77</v>
      </c>
      <c r="D47" s="645" t="s">
        <v>77</v>
      </c>
      <c r="E47" s="645" t="s">
        <v>77</v>
      </c>
    </row>
    <row r="48" spans="1:5" ht="30.75">
      <c r="A48" s="645">
        <v>5</v>
      </c>
      <c r="B48" s="22" t="s">
        <v>2420</v>
      </c>
      <c r="C48" s="645" t="s">
        <v>77</v>
      </c>
      <c r="D48" s="645" t="s">
        <v>77</v>
      </c>
      <c r="E48" s="645" t="s">
        <v>77</v>
      </c>
    </row>
    <row r="49" spans="1:5">
      <c r="A49" s="645">
        <v>6</v>
      </c>
      <c r="B49" s="22" t="s">
        <v>2421</v>
      </c>
      <c r="C49" s="645" t="s">
        <v>77</v>
      </c>
      <c r="D49" s="645" t="s">
        <v>77</v>
      </c>
      <c r="E49" s="645" t="s">
        <v>77</v>
      </c>
    </row>
    <row r="50" spans="1:5">
      <c r="A50" s="645">
        <v>7</v>
      </c>
      <c r="B50" s="22" t="s">
        <v>2422</v>
      </c>
      <c r="C50" s="645" t="s">
        <v>77</v>
      </c>
      <c r="D50" s="645" t="s">
        <v>77</v>
      </c>
      <c r="E50" s="645" t="s">
        <v>77</v>
      </c>
    </row>
    <row r="51" spans="1:5">
      <c r="A51" s="645">
        <v>8</v>
      </c>
      <c r="B51" s="22" t="s">
        <v>2423</v>
      </c>
      <c r="C51" s="645" t="s">
        <v>77</v>
      </c>
      <c r="D51" s="645" t="s">
        <v>77</v>
      </c>
      <c r="E51" s="645" t="s">
        <v>77</v>
      </c>
    </row>
    <row r="52" spans="1:5" ht="30.75">
      <c r="A52" s="645">
        <v>9</v>
      </c>
      <c r="B52" s="22" t="s">
        <v>2424</v>
      </c>
      <c r="C52" s="645" t="s">
        <v>77</v>
      </c>
      <c r="D52" s="645" t="s">
        <v>77</v>
      </c>
      <c r="E52" s="645" t="s">
        <v>77</v>
      </c>
    </row>
    <row r="53" spans="1:5" ht="45.75">
      <c r="A53" s="645">
        <v>10</v>
      </c>
      <c r="B53" s="22" t="s">
        <v>2425</v>
      </c>
      <c r="C53" s="107" t="s">
        <v>1371</v>
      </c>
      <c r="D53" s="645" t="s">
        <v>2384</v>
      </c>
      <c r="E53" s="645">
        <v>1</v>
      </c>
    </row>
    <row r="54" spans="1:5">
      <c r="A54" s="645">
        <v>11</v>
      </c>
      <c r="B54" s="22" t="s">
        <v>2426</v>
      </c>
      <c r="C54" s="645" t="s">
        <v>77</v>
      </c>
      <c r="D54" s="645" t="s">
        <v>77</v>
      </c>
      <c r="E54" s="645" t="s">
        <v>77</v>
      </c>
    </row>
    <row r="55" spans="1:5">
      <c r="A55" s="645">
        <v>12</v>
      </c>
      <c r="B55" s="22" t="s">
        <v>2427</v>
      </c>
      <c r="C55" s="107" t="s">
        <v>1371</v>
      </c>
      <c r="D55" s="645" t="s">
        <v>2384</v>
      </c>
      <c r="E55" s="645">
        <v>7</v>
      </c>
    </row>
    <row r="56" spans="1:5">
      <c r="A56" s="645">
        <v>13</v>
      </c>
      <c r="B56" s="22" t="s">
        <v>2428</v>
      </c>
      <c r="C56" s="645" t="s">
        <v>77</v>
      </c>
      <c r="D56" s="645" t="s">
        <v>77</v>
      </c>
      <c r="E56" s="645" t="s">
        <v>77</v>
      </c>
    </row>
    <row r="57" spans="1:5">
      <c r="A57" s="645">
        <v>14</v>
      </c>
      <c r="B57" s="22" t="s">
        <v>2429</v>
      </c>
      <c r="C57" s="107" t="s">
        <v>1371</v>
      </c>
      <c r="D57" s="645" t="s">
        <v>2384</v>
      </c>
      <c r="E57" s="645">
        <v>3</v>
      </c>
    </row>
    <row r="58" spans="1:5">
      <c r="A58" s="645">
        <v>15</v>
      </c>
      <c r="B58" s="665" t="s">
        <v>2430</v>
      </c>
      <c r="C58" s="645" t="s">
        <v>77</v>
      </c>
      <c r="D58" s="645" t="s">
        <v>77</v>
      </c>
      <c r="E58" s="645" t="s">
        <v>77</v>
      </c>
    </row>
    <row r="59" spans="1:5">
      <c r="A59" s="645">
        <v>16</v>
      </c>
      <c r="B59" s="22" t="s">
        <v>2431</v>
      </c>
      <c r="C59" s="645" t="s">
        <v>77</v>
      </c>
      <c r="D59" s="645" t="s">
        <v>77</v>
      </c>
      <c r="E59" s="645" t="s">
        <v>77</v>
      </c>
    </row>
    <row r="60" spans="1:5">
      <c r="A60" s="593"/>
      <c r="B60" s="593"/>
      <c r="C60" s="593"/>
      <c r="D60" s="593"/>
      <c r="E60" s="593"/>
    </row>
    <row r="61" spans="1:5">
      <c r="A61" s="593"/>
      <c r="B61" s="593"/>
      <c r="C61" s="593"/>
      <c r="D61" s="593"/>
      <c r="E61" s="593"/>
    </row>
    <row r="62" spans="1:5">
      <c r="A62" s="593"/>
      <c r="B62" s="593"/>
      <c r="C62" s="593"/>
      <c r="D62" s="593"/>
      <c r="E62" s="593"/>
    </row>
    <row r="63" spans="1:5">
      <c r="A63" s="593"/>
      <c r="B63" s="593" t="s">
        <v>9</v>
      </c>
      <c r="C63" t="s">
        <v>2432</v>
      </c>
      <c r="D63" s="593"/>
      <c r="E63" s="593"/>
    </row>
    <row r="64" spans="1:5">
      <c r="A64" s="593"/>
      <c r="B64" s="593" t="s">
        <v>2433</v>
      </c>
      <c r="C64" t="s">
        <v>2434</v>
      </c>
      <c r="D64" s="593"/>
      <c r="E64" s="593"/>
    </row>
    <row r="65" spans="1:5">
      <c r="A65" s="593"/>
      <c r="B65" s="593" t="s">
        <v>2435</v>
      </c>
      <c r="C65" t="s">
        <v>2436</v>
      </c>
      <c r="D65" s="593"/>
      <c r="E65" s="593"/>
    </row>
    <row r="66" spans="1:5">
      <c r="A66" s="593"/>
      <c r="B66" s="593" t="s">
        <v>2437</v>
      </c>
      <c r="C66" t="s">
        <v>2438</v>
      </c>
      <c r="D66" s="593"/>
      <c r="E66" s="593"/>
    </row>
    <row r="67" spans="1:5">
      <c r="A67" s="593"/>
      <c r="B67" t="s">
        <v>2439</v>
      </c>
      <c r="C67" t="s">
        <v>2440</v>
      </c>
    </row>
    <row r="68" spans="1:5">
      <c r="A68" s="593"/>
      <c r="B68" t="s">
        <v>2441</v>
      </c>
      <c r="C68" t="s">
        <v>2442</v>
      </c>
    </row>
    <row r="69" spans="1:5">
      <c r="A69" s="593"/>
    </row>
    <row r="70" spans="1:5">
      <c r="A70" s="593"/>
    </row>
    <row r="71" spans="1:5">
      <c r="A71" s="593"/>
    </row>
    <row r="72" spans="1:5">
      <c r="A72" s="593"/>
    </row>
    <row r="73" spans="1:5">
      <c r="A73" s="593"/>
    </row>
  </sheetData>
  <mergeCells count="6">
    <mergeCell ref="A8:E8"/>
    <mergeCell ref="A12:E12"/>
    <mergeCell ref="A26:E26"/>
    <mergeCell ref="A43:E43"/>
    <mergeCell ref="A1:E1"/>
    <mergeCell ref="A2:E2"/>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16288-33FC-47A6-9D6B-7FE8BF2D29DA}">
  <dimension ref="A1:BC60"/>
  <sheetViews>
    <sheetView workbookViewId="0"/>
  </sheetViews>
  <sheetFormatPr defaultColWidth="10.28515625" defaultRowHeight="15"/>
  <cols>
    <col min="1" max="1" width="4.140625" customWidth="1"/>
    <col min="2" max="2" width="35.28515625" customWidth="1"/>
    <col min="3" max="3" width="24.85546875" customWidth="1"/>
    <col min="4" max="4" width="11.140625" customWidth="1"/>
    <col min="5" max="5" width="12.7109375" customWidth="1"/>
    <col min="6" max="14" width="10.28515625" customWidth="1"/>
    <col min="15" max="15" width="6.85546875" customWidth="1"/>
    <col min="16" max="16" width="10.28515625" customWidth="1"/>
    <col min="17" max="17" width="8.42578125" customWidth="1"/>
    <col min="18" max="23" width="10.28515625" customWidth="1"/>
    <col min="24" max="24" width="7.85546875" customWidth="1"/>
    <col min="25" max="26" width="10.28515625" customWidth="1"/>
    <col min="27" max="27" width="9.85546875" customWidth="1"/>
    <col min="28" max="31" width="10.28515625" customWidth="1"/>
    <col min="32" max="32" width="8.42578125" customWidth="1"/>
    <col min="33" max="47" width="10.28515625" customWidth="1"/>
  </cols>
  <sheetData>
    <row r="1" spans="1:55">
      <c r="A1" s="1721" t="s">
        <v>0</v>
      </c>
      <c r="B1" s="1721" t="s">
        <v>366</v>
      </c>
      <c r="C1" s="1721" t="s">
        <v>2</v>
      </c>
      <c r="D1" s="1725" t="s">
        <v>2443</v>
      </c>
      <c r="E1" s="1726"/>
      <c r="F1" s="1726"/>
      <c r="G1" s="1727"/>
      <c r="H1" s="1725" t="s">
        <v>2444</v>
      </c>
      <c r="I1" s="1726"/>
      <c r="J1" s="1726"/>
      <c r="K1" s="1727"/>
      <c r="L1" s="1725" t="s">
        <v>2445</v>
      </c>
      <c r="M1" s="1726"/>
      <c r="N1" s="1726"/>
      <c r="O1" s="1727"/>
      <c r="P1" s="1725" t="s">
        <v>2446</v>
      </c>
      <c r="Q1" s="1726"/>
      <c r="R1" s="1726"/>
      <c r="S1" s="1727"/>
      <c r="T1" s="1725" t="s">
        <v>2447</v>
      </c>
      <c r="U1" s="1726"/>
      <c r="V1" s="1726"/>
      <c r="W1" s="1727"/>
      <c r="X1" s="1725" t="s">
        <v>2448</v>
      </c>
      <c r="Y1" s="1726"/>
      <c r="Z1" s="1726"/>
      <c r="AA1" s="1727"/>
      <c r="AB1" s="1725" t="s">
        <v>2449</v>
      </c>
      <c r="AC1" s="1726"/>
      <c r="AD1" s="1726"/>
      <c r="AE1" s="1727"/>
      <c r="AF1" s="1725" t="s">
        <v>2450</v>
      </c>
      <c r="AG1" s="1726"/>
      <c r="AH1" s="1726"/>
      <c r="AI1" s="1727"/>
      <c r="AJ1" s="1725" t="s">
        <v>2451</v>
      </c>
      <c r="AK1" s="1726"/>
      <c r="AL1" s="1726"/>
      <c r="AM1" s="1727"/>
      <c r="AN1" s="1725" t="s">
        <v>2452</v>
      </c>
      <c r="AO1" s="1726"/>
      <c r="AP1" s="1726"/>
      <c r="AQ1" s="1727"/>
      <c r="AR1" s="1725" t="s">
        <v>2453</v>
      </c>
      <c r="AS1" s="1726"/>
      <c r="AT1" s="1726"/>
      <c r="AU1" s="1727"/>
      <c r="AV1" s="1728" t="s">
        <v>2454</v>
      </c>
      <c r="AW1" s="1728"/>
      <c r="AX1" s="1728"/>
      <c r="AY1" s="1728"/>
      <c r="AZ1" s="1728" t="s">
        <v>2455</v>
      </c>
      <c r="BA1" s="1728"/>
      <c r="BB1" s="1728"/>
      <c r="BC1" s="1728"/>
    </row>
    <row r="2" spans="1:55" ht="104.1" customHeight="1">
      <c r="A2" s="1721"/>
      <c r="B2" s="1721"/>
      <c r="C2" s="1721"/>
      <c r="D2" s="773" t="s">
        <v>2456</v>
      </c>
      <c r="E2" s="773" t="s">
        <v>2457</v>
      </c>
      <c r="F2" s="773" t="s">
        <v>2458</v>
      </c>
      <c r="G2" s="773" t="s">
        <v>2459</v>
      </c>
      <c r="H2" s="773" t="s">
        <v>2456</v>
      </c>
      <c r="I2" s="773" t="s">
        <v>2457</v>
      </c>
      <c r="J2" s="773" t="s">
        <v>2458</v>
      </c>
      <c r="K2" s="773" t="s">
        <v>2459</v>
      </c>
      <c r="L2" s="773" t="s">
        <v>2456</v>
      </c>
      <c r="M2" s="773" t="s">
        <v>2457</v>
      </c>
      <c r="N2" s="773" t="s">
        <v>2458</v>
      </c>
      <c r="O2" s="773" t="s">
        <v>2459</v>
      </c>
      <c r="P2" s="773" t="s">
        <v>2456</v>
      </c>
      <c r="Q2" s="773" t="s">
        <v>2457</v>
      </c>
      <c r="R2" s="773" t="s">
        <v>2458</v>
      </c>
      <c r="S2" s="773" t="s">
        <v>2459</v>
      </c>
      <c r="T2" s="773" t="s">
        <v>2456</v>
      </c>
      <c r="U2" s="773" t="s">
        <v>2457</v>
      </c>
      <c r="V2" s="773" t="s">
        <v>2458</v>
      </c>
      <c r="W2" s="773" t="s">
        <v>2459</v>
      </c>
      <c r="X2" s="773" t="s">
        <v>2456</v>
      </c>
      <c r="Y2" s="773" t="s">
        <v>2457</v>
      </c>
      <c r="Z2" s="773" t="s">
        <v>2458</v>
      </c>
      <c r="AA2" s="773" t="s">
        <v>2459</v>
      </c>
      <c r="AB2" s="773" t="s">
        <v>2456</v>
      </c>
      <c r="AC2" s="773" t="s">
        <v>2457</v>
      </c>
      <c r="AD2" s="773" t="s">
        <v>2458</v>
      </c>
      <c r="AE2" s="773" t="s">
        <v>2459</v>
      </c>
      <c r="AF2" s="773" t="s">
        <v>2456</v>
      </c>
      <c r="AG2" s="773" t="s">
        <v>2457</v>
      </c>
      <c r="AH2" s="773" t="s">
        <v>2458</v>
      </c>
      <c r="AI2" s="773" t="s">
        <v>2459</v>
      </c>
      <c r="AJ2" s="773" t="s">
        <v>2456</v>
      </c>
      <c r="AK2" s="773" t="s">
        <v>2457</v>
      </c>
      <c r="AL2" s="773" t="s">
        <v>2458</v>
      </c>
      <c r="AM2" s="773" t="s">
        <v>2459</v>
      </c>
      <c r="AN2" s="773" t="s">
        <v>2456</v>
      </c>
      <c r="AO2" s="773" t="s">
        <v>2457</v>
      </c>
      <c r="AP2" s="773" t="s">
        <v>2458</v>
      </c>
      <c r="AQ2" s="773" t="s">
        <v>2459</v>
      </c>
      <c r="AR2" s="773" t="s">
        <v>2456</v>
      </c>
      <c r="AS2" s="773" t="s">
        <v>2457</v>
      </c>
      <c r="AT2" s="773" t="s">
        <v>2458</v>
      </c>
      <c r="AU2" s="773" t="s">
        <v>2459</v>
      </c>
      <c r="AV2" s="774" t="s">
        <v>2456</v>
      </c>
      <c r="AW2" s="774" t="s">
        <v>2457</v>
      </c>
      <c r="AX2" s="774" t="s">
        <v>2458</v>
      </c>
      <c r="AY2" s="775" t="s">
        <v>2459</v>
      </c>
      <c r="AZ2" s="651" t="s">
        <v>2456</v>
      </c>
      <c r="BA2" s="651" t="s">
        <v>2457</v>
      </c>
      <c r="BB2" s="651" t="s">
        <v>2458</v>
      </c>
      <c r="BC2" s="775" t="s">
        <v>2459</v>
      </c>
    </row>
    <row r="3" spans="1:55">
      <c r="A3" s="650">
        <v>1</v>
      </c>
      <c r="B3" s="776" t="s">
        <v>103</v>
      </c>
      <c r="C3" s="777" t="s">
        <v>104</v>
      </c>
      <c r="D3" s="773" t="s">
        <v>77</v>
      </c>
      <c r="E3" s="773" t="s">
        <v>77</v>
      </c>
      <c r="F3" s="773">
        <v>33</v>
      </c>
      <c r="G3" s="773">
        <v>33</v>
      </c>
      <c r="H3" s="772" t="s">
        <v>77</v>
      </c>
      <c r="I3" s="772" t="s">
        <v>77</v>
      </c>
      <c r="J3" s="772" t="s">
        <v>77</v>
      </c>
      <c r="K3" s="772" t="s">
        <v>77</v>
      </c>
      <c r="L3" s="772" t="s">
        <v>77</v>
      </c>
      <c r="M3" s="772" t="s">
        <v>77</v>
      </c>
      <c r="N3" s="772" t="s">
        <v>77</v>
      </c>
      <c r="O3" s="772" t="s">
        <v>77</v>
      </c>
      <c r="P3" s="773" t="s">
        <v>77</v>
      </c>
      <c r="Q3" s="773" t="s">
        <v>77</v>
      </c>
      <c r="R3" s="773">
        <v>1</v>
      </c>
      <c r="S3" s="773">
        <v>1</v>
      </c>
      <c r="T3" s="773">
        <v>1</v>
      </c>
      <c r="U3" s="773" t="s">
        <v>77</v>
      </c>
      <c r="V3" s="773" t="s">
        <v>77</v>
      </c>
      <c r="W3" s="773" t="s">
        <v>77</v>
      </c>
      <c r="X3" s="773" t="s">
        <v>77</v>
      </c>
      <c r="Y3" s="773" t="s">
        <v>77</v>
      </c>
      <c r="Z3" s="773">
        <v>28</v>
      </c>
      <c r="AA3" s="773">
        <v>28</v>
      </c>
      <c r="AB3" s="778" t="s">
        <v>77</v>
      </c>
      <c r="AC3" s="778" t="s">
        <v>77</v>
      </c>
      <c r="AD3" s="778" t="s">
        <v>77</v>
      </c>
      <c r="AE3" s="778" t="s">
        <v>77</v>
      </c>
      <c r="AF3" s="779"/>
      <c r="AG3" s="779"/>
      <c r="AH3" s="779"/>
      <c r="AI3" s="779"/>
      <c r="AJ3" s="779"/>
      <c r="AK3" s="779"/>
      <c r="AL3" s="779"/>
      <c r="AM3" s="779"/>
      <c r="AN3" s="779"/>
      <c r="AO3" s="779"/>
      <c r="AP3" s="779"/>
      <c r="AQ3" s="779"/>
      <c r="AR3" s="779"/>
      <c r="AS3" s="779"/>
      <c r="AT3" s="779"/>
      <c r="AU3" s="779"/>
      <c r="AV3" s="779"/>
      <c r="AW3" s="779"/>
      <c r="AX3" s="779"/>
      <c r="AY3" s="780"/>
      <c r="AZ3" s="772">
        <f>T3</f>
        <v>1</v>
      </c>
      <c r="BA3" s="781" t="s">
        <v>77</v>
      </c>
      <c r="BB3" s="772">
        <f>F3+R3+Z3</f>
        <v>62</v>
      </c>
      <c r="BC3" s="772">
        <f>G3+S3+AA3</f>
        <v>62</v>
      </c>
    </row>
    <row r="4" spans="1:55">
      <c r="A4" s="772">
        <v>2</v>
      </c>
      <c r="B4" s="782" t="s">
        <v>1214</v>
      </c>
      <c r="C4" s="783" t="s">
        <v>1215</v>
      </c>
      <c r="D4" s="784"/>
      <c r="E4" s="784"/>
      <c r="F4" s="784"/>
      <c r="G4" s="784"/>
      <c r="H4" s="780"/>
      <c r="I4" s="780"/>
      <c r="J4" s="780"/>
      <c r="K4" s="780"/>
      <c r="L4" s="780"/>
      <c r="M4" s="780"/>
      <c r="N4" s="780"/>
      <c r="O4" s="780"/>
      <c r="P4" s="780"/>
      <c r="Q4" s="780"/>
      <c r="R4" s="780"/>
      <c r="S4" s="780"/>
      <c r="T4" s="780"/>
      <c r="U4" s="780"/>
      <c r="V4" s="780"/>
      <c r="W4" s="780"/>
      <c r="X4" s="780"/>
      <c r="Y4" s="780"/>
      <c r="Z4" s="780"/>
      <c r="AA4" s="780"/>
      <c r="AB4" s="785" t="s">
        <v>77</v>
      </c>
      <c r="AC4" s="785" t="s">
        <v>77</v>
      </c>
      <c r="AD4" s="785" t="s">
        <v>77</v>
      </c>
      <c r="AE4" s="785" t="s">
        <v>77</v>
      </c>
      <c r="AF4" s="785" t="s">
        <v>77</v>
      </c>
      <c r="AG4" s="785" t="s">
        <v>77</v>
      </c>
      <c r="AH4" s="785" t="s">
        <v>77</v>
      </c>
      <c r="AI4" s="785" t="s">
        <v>77</v>
      </c>
      <c r="AJ4" s="785" t="s">
        <v>77</v>
      </c>
      <c r="AK4" s="785" t="s">
        <v>77</v>
      </c>
      <c r="AL4" s="785" t="s">
        <v>77</v>
      </c>
      <c r="AM4" s="785" t="s">
        <v>77</v>
      </c>
      <c r="AN4" s="785" t="s">
        <v>77</v>
      </c>
      <c r="AO4" s="785" t="s">
        <v>77</v>
      </c>
      <c r="AP4" s="785" t="s">
        <v>77</v>
      </c>
      <c r="AQ4" s="785" t="s">
        <v>77</v>
      </c>
      <c r="AR4" s="785" t="s">
        <v>77</v>
      </c>
      <c r="AS4" s="785" t="s">
        <v>77</v>
      </c>
      <c r="AT4" s="785" t="s">
        <v>77</v>
      </c>
      <c r="AU4" s="785" t="s">
        <v>77</v>
      </c>
      <c r="AV4" s="785" t="s">
        <v>77</v>
      </c>
      <c r="AW4" s="785" t="s">
        <v>77</v>
      </c>
      <c r="AX4" s="785" t="s">
        <v>77</v>
      </c>
      <c r="AY4" s="785" t="s">
        <v>77</v>
      </c>
      <c r="AZ4" s="772">
        <f>D5+H5</f>
        <v>4</v>
      </c>
      <c r="BA4" s="781" t="s">
        <v>77</v>
      </c>
      <c r="BB4" s="781" t="s">
        <v>77</v>
      </c>
      <c r="BC4" s="781" t="s">
        <v>77</v>
      </c>
    </row>
    <row r="5" spans="1:55">
      <c r="A5" s="772">
        <v>3</v>
      </c>
      <c r="B5" s="782" t="s">
        <v>2460</v>
      </c>
      <c r="C5" s="786" t="s">
        <v>133</v>
      </c>
      <c r="D5" s="772">
        <v>2</v>
      </c>
      <c r="E5" s="772" t="s">
        <v>77</v>
      </c>
      <c r="F5" s="772" t="s">
        <v>77</v>
      </c>
      <c r="G5" s="772" t="s">
        <v>77</v>
      </c>
      <c r="H5" s="772">
        <v>2</v>
      </c>
      <c r="I5" s="772" t="s">
        <v>77</v>
      </c>
      <c r="J5" s="772" t="s">
        <v>77</v>
      </c>
      <c r="K5" s="772" t="s">
        <v>77</v>
      </c>
      <c r="L5" s="772" t="s">
        <v>77</v>
      </c>
      <c r="M5" s="772" t="s">
        <v>77</v>
      </c>
      <c r="N5" s="772" t="s">
        <v>77</v>
      </c>
      <c r="O5" s="772" t="s">
        <v>77</v>
      </c>
      <c r="P5" s="772" t="s">
        <v>77</v>
      </c>
      <c r="Q5" s="772" t="s">
        <v>77</v>
      </c>
      <c r="R5" s="772" t="s">
        <v>77</v>
      </c>
      <c r="S5" s="772" t="s">
        <v>77</v>
      </c>
      <c r="T5" s="772" t="s">
        <v>77</v>
      </c>
      <c r="U5" s="772" t="s">
        <v>77</v>
      </c>
      <c r="V5" s="772" t="s">
        <v>77</v>
      </c>
      <c r="W5" s="772" t="s">
        <v>77</v>
      </c>
      <c r="X5" s="772" t="s">
        <v>77</v>
      </c>
      <c r="Y5" s="772" t="s">
        <v>77</v>
      </c>
      <c r="Z5" s="772" t="s">
        <v>77</v>
      </c>
      <c r="AA5" s="772" t="s">
        <v>77</v>
      </c>
      <c r="AB5" s="785" t="s">
        <v>77</v>
      </c>
      <c r="AC5" s="785" t="s">
        <v>77</v>
      </c>
      <c r="AD5" s="785" t="s">
        <v>77</v>
      </c>
      <c r="AE5" s="785" t="s">
        <v>77</v>
      </c>
      <c r="AF5" s="785" t="s">
        <v>77</v>
      </c>
      <c r="AG5" s="785" t="s">
        <v>77</v>
      </c>
      <c r="AH5" s="785" t="s">
        <v>77</v>
      </c>
      <c r="AI5" s="785" t="s">
        <v>77</v>
      </c>
      <c r="AJ5" s="785" t="s">
        <v>77</v>
      </c>
      <c r="AK5" s="785" t="s">
        <v>77</v>
      </c>
      <c r="AL5" s="785" t="s">
        <v>77</v>
      </c>
      <c r="AM5" s="785" t="s">
        <v>77</v>
      </c>
      <c r="AN5" s="785" t="s">
        <v>77</v>
      </c>
      <c r="AO5" s="785" t="s">
        <v>77</v>
      </c>
      <c r="AP5" s="785" t="s">
        <v>77</v>
      </c>
      <c r="AQ5" s="785" t="s">
        <v>77</v>
      </c>
      <c r="AR5" s="785" t="s">
        <v>77</v>
      </c>
      <c r="AS5" s="785" t="s">
        <v>77</v>
      </c>
      <c r="AT5" s="785" t="s">
        <v>77</v>
      </c>
      <c r="AU5" s="785" t="s">
        <v>77</v>
      </c>
      <c r="AV5" s="785" t="s">
        <v>77</v>
      </c>
      <c r="AW5" s="785" t="s">
        <v>77</v>
      </c>
      <c r="AX5" s="785" t="s">
        <v>77</v>
      </c>
      <c r="AY5" s="785" t="s">
        <v>77</v>
      </c>
      <c r="AZ5" s="785" t="s">
        <v>77</v>
      </c>
      <c r="BA5" s="785" t="s">
        <v>77</v>
      </c>
      <c r="BB5" s="785" t="s">
        <v>77</v>
      </c>
      <c r="BC5" s="785" t="s">
        <v>77</v>
      </c>
    </row>
    <row r="6" spans="1:55">
      <c r="A6" s="650">
        <v>4</v>
      </c>
      <c r="B6" s="782" t="s">
        <v>168</v>
      </c>
      <c r="C6" s="783" t="s">
        <v>169</v>
      </c>
      <c r="D6" s="772" t="s">
        <v>77</v>
      </c>
      <c r="E6" s="772" t="s">
        <v>77</v>
      </c>
      <c r="F6" s="772" t="s">
        <v>77</v>
      </c>
      <c r="G6" s="772" t="s">
        <v>77</v>
      </c>
      <c r="H6" s="772" t="s">
        <v>77</v>
      </c>
      <c r="I6" s="772" t="s">
        <v>77</v>
      </c>
      <c r="J6" s="772" t="s">
        <v>77</v>
      </c>
      <c r="K6" s="772" t="s">
        <v>77</v>
      </c>
      <c r="L6" s="772" t="s">
        <v>77</v>
      </c>
      <c r="M6" s="772" t="s">
        <v>77</v>
      </c>
      <c r="N6" s="772" t="s">
        <v>77</v>
      </c>
      <c r="O6" s="772" t="s">
        <v>77</v>
      </c>
      <c r="P6" s="772" t="s">
        <v>77</v>
      </c>
      <c r="Q6" s="772" t="s">
        <v>77</v>
      </c>
      <c r="R6" s="772" t="s">
        <v>77</v>
      </c>
      <c r="S6" s="772" t="s">
        <v>77</v>
      </c>
      <c r="T6" s="772" t="s">
        <v>77</v>
      </c>
      <c r="U6" s="772" t="s">
        <v>77</v>
      </c>
      <c r="V6" s="772" t="s">
        <v>77</v>
      </c>
      <c r="W6" s="772" t="s">
        <v>77</v>
      </c>
      <c r="X6" s="772" t="s">
        <v>77</v>
      </c>
      <c r="Y6" s="772" t="s">
        <v>77</v>
      </c>
      <c r="Z6" s="772" t="s">
        <v>77</v>
      </c>
      <c r="AA6" s="772" t="s">
        <v>77</v>
      </c>
      <c r="AB6" s="785" t="s">
        <v>77</v>
      </c>
      <c r="AC6" s="785" t="s">
        <v>77</v>
      </c>
      <c r="AD6" s="785" t="s">
        <v>77</v>
      </c>
      <c r="AE6" s="785" t="s">
        <v>77</v>
      </c>
      <c r="AF6" s="785" t="s">
        <v>77</v>
      </c>
      <c r="AG6" s="785" t="s">
        <v>77</v>
      </c>
      <c r="AH6" s="785" t="s">
        <v>77</v>
      </c>
      <c r="AI6" s="785" t="s">
        <v>77</v>
      </c>
      <c r="AJ6" s="785" t="s">
        <v>77</v>
      </c>
      <c r="AK6" s="785" t="s">
        <v>77</v>
      </c>
      <c r="AL6" s="785" t="s">
        <v>77</v>
      </c>
      <c r="AM6" s="785" t="s">
        <v>77</v>
      </c>
      <c r="AN6" s="785" t="s">
        <v>77</v>
      </c>
      <c r="AO6" s="785" t="s">
        <v>77</v>
      </c>
      <c r="AP6" s="785" t="s">
        <v>77</v>
      </c>
      <c r="AQ6" s="785" t="s">
        <v>77</v>
      </c>
      <c r="AR6" s="785" t="s">
        <v>77</v>
      </c>
      <c r="AS6" s="785" t="s">
        <v>77</v>
      </c>
      <c r="AT6" s="785" t="s">
        <v>77</v>
      </c>
      <c r="AU6" s="785" t="s">
        <v>77</v>
      </c>
      <c r="AV6" s="785" t="s">
        <v>77</v>
      </c>
      <c r="AW6" s="785" t="s">
        <v>77</v>
      </c>
      <c r="AX6" s="785" t="s">
        <v>77</v>
      </c>
      <c r="AY6" s="785" t="s">
        <v>77</v>
      </c>
      <c r="AZ6" s="785" t="s">
        <v>77</v>
      </c>
      <c r="BA6" s="785" t="s">
        <v>77</v>
      </c>
      <c r="BB6" s="785" t="s">
        <v>77</v>
      </c>
      <c r="BC6" s="785" t="s">
        <v>77</v>
      </c>
    </row>
    <row r="7" spans="1:55">
      <c r="A7" s="772">
        <v>5</v>
      </c>
      <c r="B7" s="782" t="s">
        <v>115</v>
      </c>
      <c r="C7" s="783" t="s">
        <v>116</v>
      </c>
      <c r="D7" s="772" t="s">
        <v>77</v>
      </c>
      <c r="E7" s="772" t="s">
        <v>77</v>
      </c>
      <c r="F7" s="772" t="s">
        <v>77</v>
      </c>
      <c r="G7" s="772" t="s">
        <v>77</v>
      </c>
      <c r="H7" s="772" t="s">
        <v>77</v>
      </c>
      <c r="I7" s="772" t="s">
        <v>77</v>
      </c>
      <c r="J7" s="772" t="s">
        <v>77</v>
      </c>
      <c r="K7" s="772" t="s">
        <v>77</v>
      </c>
      <c r="L7" s="772" t="s">
        <v>77</v>
      </c>
      <c r="M7" s="772" t="s">
        <v>77</v>
      </c>
      <c r="N7" s="772" t="s">
        <v>77</v>
      </c>
      <c r="O7" s="772" t="s">
        <v>77</v>
      </c>
      <c r="P7" s="772" t="s">
        <v>77</v>
      </c>
      <c r="Q7" s="772" t="s">
        <v>77</v>
      </c>
      <c r="R7" s="772" t="s">
        <v>77</v>
      </c>
      <c r="S7" s="772" t="s">
        <v>77</v>
      </c>
      <c r="T7" s="772" t="s">
        <v>77</v>
      </c>
      <c r="U7" s="772" t="s">
        <v>77</v>
      </c>
      <c r="V7" s="772" t="s">
        <v>77</v>
      </c>
      <c r="W7" s="772" t="s">
        <v>77</v>
      </c>
      <c r="X7" s="772" t="s">
        <v>77</v>
      </c>
      <c r="Y7" s="772" t="s">
        <v>77</v>
      </c>
      <c r="Z7" s="772" t="s">
        <v>77</v>
      </c>
      <c r="AA7" s="772" t="s">
        <v>77</v>
      </c>
      <c r="AB7" s="785" t="s">
        <v>77</v>
      </c>
      <c r="AC7" s="785" t="s">
        <v>77</v>
      </c>
      <c r="AD7" s="785" t="s">
        <v>77</v>
      </c>
      <c r="AE7" s="785" t="s">
        <v>77</v>
      </c>
      <c r="AF7" s="785" t="s">
        <v>77</v>
      </c>
      <c r="AG7" s="785" t="s">
        <v>77</v>
      </c>
      <c r="AH7" s="785" t="s">
        <v>77</v>
      </c>
      <c r="AI7" s="785" t="s">
        <v>77</v>
      </c>
      <c r="AJ7" s="785" t="s">
        <v>77</v>
      </c>
      <c r="AK7" s="785" t="s">
        <v>77</v>
      </c>
      <c r="AL7" s="785" t="s">
        <v>77</v>
      </c>
      <c r="AM7" s="785" t="s">
        <v>77</v>
      </c>
      <c r="AN7" s="785" t="s">
        <v>77</v>
      </c>
      <c r="AO7" s="785" t="s">
        <v>77</v>
      </c>
      <c r="AP7" s="785" t="s">
        <v>77</v>
      </c>
      <c r="AQ7" s="785" t="s">
        <v>77</v>
      </c>
      <c r="AR7" s="785" t="s">
        <v>77</v>
      </c>
      <c r="AS7" s="785" t="s">
        <v>77</v>
      </c>
      <c r="AT7" s="785" t="s">
        <v>77</v>
      </c>
      <c r="AU7" s="785" t="s">
        <v>77</v>
      </c>
      <c r="AV7" s="785" t="s">
        <v>77</v>
      </c>
      <c r="AW7" s="785" t="s">
        <v>77</v>
      </c>
      <c r="AX7" s="785" t="s">
        <v>77</v>
      </c>
      <c r="AY7" s="785" t="s">
        <v>77</v>
      </c>
      <c r="AZ7" s="785" t="s">
        <v>77</v>
      </c>
      <c r="BA7" s="785" t="s">
        <v>77</v>
      </c>
      <c r="BB7" s="785" t="s">
        <v>77</v>
      </c>
      <c r="BC7" s="785" t="s">
        <v>77</v>
      </c>
    </row>
    <row r="8" spans="1:55">
      <c r="A8" s="772">
        <v>6</v>
      </c>
      <c r="B8" s="782" t="s">
        <v>123</v>
      </c>
      <c r="C8" s="783" t="s">
        <v>124</v>
      </c>
      <c r="D8" s="772" t="s">
        <v>77</v>
      </c>
      <c r="E8" s="772" t="s">
        <v>77</v>
      </c>
      <c r="F8" s="772" t="s">
        <v>77</v>
      </c>
      <c r="G8" s="772" t="s">
        <v>77</v>
      </c>
      <c r="H8" s="772" t="s">
        <v>77</v>
      </c>
      <c r="I8" s="772" t="s">
        <v>77</v>
      </c>
      <c r="J8" s="772" t="s">
        <v>77</v>
      </c>
      <c r="K8" s="772" t="s">
        <v>77</v>
      </c>
      <c r="L8" s="772" t="s">
        <v>77</v>
      </c>
      <c r="M8" s="772" t="s">
        <v>77</v>
      </c>
      <c r="N8" s="772" t="s">
        <v>77</v>
      </c>
      <c r="O8" s="772" t="s">
        <v>77</v>
      </c>
      <c r="P8" s="772" t="s">
        <v>77</v>
      </c>
      <c r="Q8" s="772" t="s">
        <v>77</v>
      </c>
      <c r="R8" s="772" t="s">
        <v>77</v>
      </c>
      <c r="S8" s="772" t="s">
        <v>77</v>
      </c>
      <c r="T8" s="772" t="s">
        <v>77</v>
      </c>
      <c r="U8" s="772" t="s">
        <v>77</v>
      </c>
      <c r="V8" s="772" t="s">
        <v>77</v>
      </c>
      <c r="W8" s="772" t="s">
        <v>77</v>
      </c>
      <c r="X8" s="772" t="s">
        <v>77</v>
      </c>
      <c r="Y8" s="772" t="s">
        <v>77</v>
      </c>
      <c r="Z8" s="772" t="s">
        <v>77</v>
      </c>
      <c r="AA8" s="772" t="s">
        <v>77</v>
      </c>
      <c r="AB8" s="785" t="s">
        <v>77</v>
      </c>
      <c r="AC8" s="785" t="s">
        <v>77</v>
      </c>
      <c r="AD8" s="785" t="s">
        <v>77</v>
      </c>
      <c r="AE8" s="785" t="s">
        <v>77</v>
      </c>
      <c r="AF8" s="785" t="s">
        <v>77</v>
      </c>
      <c r="AG8" s="785" t="s">
        <v>77</v>
      </c>
      <c r="AH8" s="785" t="s">
        <v>77</v>
      </c>
      <c r="AI8" s="785" t="s">
        <v>77</v>
      </c>
      <c r="AJ8" s="785" t="s">
        <v>77</v>
      </c>
      <c r="AK8" s="785" t="s">
        <v>77</v>
      </c>
      <c r="AL8" s="785" t="s">
        <v>77</v>
      </c>
      <c r="AM8" s="785" t="s">
        <v>77</v>
      </c>
      <c r="AN8" s="785" t="s">
        <v>77</v>
      </c>
      <c r="AO8" s="785" t="s">
        <v>77</v>
      </c>
      <c r="AP8" s="785" t="s">
        <v>77</v>
      </c>
      <c r="AQ8" s="785" t="s">
        <v>77</v>
      </c>
      <c r="AR8" s="785" t="s">
        <v>77</v>
      </c>
      <c r="AS8" s="785" t="s">
        <v>77</v>
      </c>
      <c r="AT8" s="785" t="s">
        <v>77</v>
      </c>
      <c r="AU8" s="785" t="s">
        <v>77</v>
      </c>
      <c r="AV8" s="785" t="s">
        <v>77</v>
      </c>
      <c r="AW8" s="785" t="s">
        <v>77</v>
      </c>
      <c r="AX8" s="785" t="s">
        <v>77</v>
      </c>
      <c r="AY8" s="785" t="s">
        <v>77</v>
      </c>
      <c r="AZ8" s="785" t="s">
        <v>77</v>
      </c>
      <c r="BA8" s="785" t="s">
        <v>77</v>
      </c>
      <c r="BB8" s="785" t="s">
        <v>77</v>
      </c>
      <c r="BC8" s="785" t="s">
        <v>77</v>
      </c>
    </row>
    <row r="9" spans="1:55">
      <c r="A9" s="650">
        <v>7</v>
      </c>
      <c r="B9" s="782" t="s">
        <v>128</v>
      </c>
      <c r="C9" s="783" t="s">
        <v>129</v>
      </c>
      <c r="D9" s="772" t="s">
        <v>77</v>
      </c>
      <c r="E9" s="772" t="s">
        <v>77</v>
      </c>
      <c r="F9" s="772" t="s">
        <v>77</v>
      </c>
      <c r="G9" s="772" t="s">
        <v>77</v>
      </c>
      <c r="H9" s="772" t="s">
        <v>77</v>
      </c>
      <c r="I9" s="772" t="s">
        <v>77</v>
      </c>
      <c r="J9" s="772" t="s">
        <v>77</v>
      </c>
      <c r="K9" s="772" t="s">
        <v>77</v>
      </c>
      <c r="L9" s="772" t="s">
        <v>77</v>
      </c>
      <c r="M9" s="772" t="s">
        <v>77</v>
      </c>
      <c r="N9" s="772" t="s">
        <v>77</v>
      </c>
      <c r="O9" s="772" t="s">
        <v>77</v>
      </c>
      <c r="P9" s="772" t="s">
        <v>77</v>
      </c>
      <c r="Q9" s="772" t="s">
        <v>77</v>
      </c>
      <c r="R9" s="772" t="s">
        <v>77</v>
      </c>
      <c r="S9" s="772" t="s">
        <v>77</v>
      </c>
      <c r="T9" s="772" t="s">
        <v>77</v>
      </c>
      <c r="U9" s="772" t="s">
        <v>77</v>
      </c>
      <c r="V9" s="772" t="s">
        <v>77</v>
      </c>
      <c r="W9" s="772" t="s">
        <v>77</v>
      </c>
      <c r="X9" s="772" t="s">
        <v>77</v>
      </c>
      <c r="Y9" s="772" t="s">
        <v>77</v>
      </c>
      <c r="Z9" s="772" t="s">
        <v>77</v>
      </c>
      <c r="AA9" s="772" t="s">
        <v>77</v>
      </c>
      <c r="AB9" s="785" t="s">
        <v>77</v>
      </c>
      <c r="AC9" s="785" t="s">
        <v>77</v>
      </c>
      <c r="AD9" s="785" t="s">
        <v>77</v>
      </c>
      <c r="AE9" s="785" t="s">
        <v>77</v>
      </c>
      <c r="AF9" s="785" t="s">
        <v>77</v>
      </c>
      <c r="AG9" s="785" t="s">
        <v>77</v>
      </c>
      <c r="AH9" s="785" t="s">
        <v>77</v>
      </c>
      <c r="AI9" s="785" t="s">
        <v>77</v>
      </c>
      <c r="AJ9" s="785" t="s">
        <v>77</v>
      </c>
      <c r="AK9" s="785" t="s">
        <v>77</v>
      </c>
      <c r="AL9" s="785" t="s">
        <v>77</v>
      </c>
      <c r="AM9" s="785" t="s">
        <v>77</v>
      </c>
      <c r="AN9" s="785" t="s">
        <v>77</v>
      </c>
      <c r="AO9" s="785" t="s">
        <v>77</v>
      </c>
      <c r="AP9" s="785" t="s">
        <v>77</v>
      </c>
      <c r="AQ9" s="785" t="s">
        <v>77</v>
      </c>
      <c r="AR9" s="785" t="s">
        <v>77</v>
      </c>
      <c r="AS9" s="785" t="s">
        <v>77</v>
      </c>
      <c r="AT9" s="785" t="s">
        <v>77</v>
      </c>
      <c r="AU9" s="785" t="s">
        <v>77</v>
      </c>
      <c r="AV9" s="785" t="s">
        <v>77</v>
      </c>
      <c r="AW9" s="785" t="s">
        <v>77</v>
      </c>
      <c r="AX9" s="785" t="s">
        <v>77</v>
      </c>
      <c r="AY9" s="785" t="s">
        <v>77</v>
      </c>
      <c r="AZ9" s="785" t="s">
        <v>77</v>
      </c>
      <c r="BA9" s="785" t="s">
        <v>77</v>
      </c>
      <c r="BB9" s="785" t="s">
        <v>77</v>
      </c>
      <c r="BC9" s="785" t="s">
        <v>77</v>
      </c>
    </row>
    <row r="10" spans="1:55">
      <c r="A10" s="772">
        <v>8</v>
      </c>
      <c r="B10" s="782" t="s">
        <v>136</v>
      </c>
      <c r="C10" s="783" t="s">
        <v>137</v>
      </c>
      <c r="D10" s="772" t="s">
        <v>77</v>
      </c>
      <c r="E10" s="772">
        <v>6</v>
      </c>
      <c r="F10" s="772">
        <v>109</v>
      </c>
      <c r="G10" s="772">
        <v>115</v>
      </c>
      <c r="H10" s="772">
        <v>1</v>
      </c>
      <c r="I10" s="772">
        <v>107</v>
      </c>
      <c r="J10" s="772">
        <v>137</v>
      </c>
      <c r="K10" s="772">
        <v>244</v>
      </c>
      <c r="L10" s="772" t="s">
        <v>77</v>
      </c>
      <c r="M10" s="772" t="s">
        <v>77</v>
      </c>
      <c r="N10" s="772">
        <v>79</v>
      </c>
      <c r="O10" s="772">
        <v>79</v>
      </c>
      <c r="P10" s="772" t="s">
        <v>77</v>
      </c>
      <c r="Q10" s="772" t="s">
        <v>77</v>
      </c>
      <c r="R10" s="772">
        <v>34</v>
      </c>
      <c r="S10" s="772">
        <v>34</v>
      </c>
      <c r="T10" s="772" t="s">
        <v>77</v>
      </c>
      <c r="U10" s="772">
        <v>5</v>
      </c>
      <c r="V10" s="772">
        <v>37</v>
      </c>
      <c r="W10" s="772">
        <v>42</v>
      </c>
      <c r="X10" s="772" t="s">
        <v>77</v>
      </c>
      <c r="Y10" s="772">
        <v>2</v>
      </c>
      <c r="Z10" s="772">
        <v>7</v>
      </c>
      <c r="AA10" s="772">
        <v>9</v>
      </c>
      <c r="AB10" s="781" t="s">
        <v>77</v>
      </c>
      <c r="AC10" s="772">
        <v>25</v>
      </c>
      <c r="AD10" s="772">
        <v>13</v>
      </c>
      <c r="AE10" s="772">
        <v>38</v>
      </c>
      <c r="AF10" s="785" t="s">
        <v>77</v>
      </c>
      <c r="AG10" s="785" t="s">
        <v>77</v>
      </c>
      <c r="AH10" s="785" t="s">
        <v>77</v>
      </c>
      <c r="AI10" s="785" t="s">
        <v>77</v>
      </c>
      <c r="AJ10" s="785" t="s">
        <v>77</v>
      </c>
      <c r="AK10" s="785" t="s">
        <v>77</v>
      </c>
      <c r="AL10" s="785" t="s">
        <v>77</v>
      </c>
      <c r="AM10" s="785" t="s">
        <v>77</v>
      </c>
      <c r="AN10" s="785" t="s">
        <v>77</v>
      </c>
      <c r="AO10" s="785" t="s">
        <v>77</v>
      </c>
      <c r="AP10" s="785" t="s">
        <v>77</v>
      </c>
      <c r="AQ10" s="785" t="s">
        <v>77</v>
      </c>
      <c r="AR10" s="785" t="s">
        <v>77</v>
      </c>
      <c r="AS10" s="785" t="s">
        <v>77</v>
      </c>
      <c r="AT10" s="785" t="s">
        <v>77</v>
      </c>
      <c r="AU10" s="785" t="s">
        <v>77</v>
      </c>
      <c r="AV10" s="781" t="s">
        <v>77</v>
      </c>
      <c r="AW10" s="781" t="s">
        <v>77</v>
      </c>
      <c r="AX10" s="772">
        <v>22</v>
      </c>
      <c r="AY10" s="772">
        <v>22</v>
      </c>
      <c r="AZ10" s="772">
        <f>H10</f>
        <v>1</v>
      </c>
      <c r="BA10" s="772">
        <f>E10+I10+U10+Y10+AC10</f>
        <v>145</v>
      </c>
      <c r="BB10" s="772">
        <f>F10+J10+N10+R10+V10+Z10+AD10+AX10</f>
        <v>438</v>
      </c>
      <c r="BC10" s="772">
        <f>BA10+BB10</f>
        <v>583</v>
      </c>
    </row>
    <row r="11" spans="1:55">
      <c r="A11" s="772">
        <v>9</v>
      </c>
      <c r="B11" s="782" t="s">
        <v>143</v>
      </c>
      <c r="C11" s="783" t="s">
        <v>144</v>
      </c>
      <c r="D11" s="772" t="s">
        <v>77</v>
      </c>
      <c r="E11" s="772" t="s">
        <v>77</v>
      </c>
      <c r="F11" s="772" t="s">
        <v>77</v>
      </c>
      <c r="G11" s="772" t="s">
        <v>77</v>
      </c>
      <c r="H11" s="772" t="s">
        <v>77</v>
      </c>
      <c r="I11" s="772" t="s">
        <v>77</v>
      </c>
      <c r="J11" s="772" t="s">
        <v>77</v>
      </c>
      <c r="K11" s="772" t="s">
        <v>77</v>
      </c>
      <c r="L11" s="772" t="s">
        <v>77</v>
      </c>
      <c r="M11" s="772" t="s">
        <v>77</v>
      </c>
      <c r="N11" s="772" t="s">
        <v>77</v>
      </c>
      <c r="O11" s="772" t="s">
        <v>77</v>
      </c>
      <c r="P11" s="772" t="s">
        <v>77</v>
      </c>
      <c r="Q11" s="772" t="s">
        <v>77</v>
      </c>
      <c r="R11" s="772" t="s">
        <v>77</v>
      </c>
      <c r="S11" s="772" t="s">
        <v>77</v>
      </c>
      <c r="T11" s="772" t="s">
        <v>77</v>
      </c>
      <c r="U11" s="772" t="s">
        <v>77</v>
      </c>
      <c r="V11" s="772" t="s">
        <v>77</v>
      </c>
      <c r="W11" s="772" t="s">
        <v>77</v>
      </c>
      <c r="X11" s="772" t="s">
        <v>77</v>
      </c>
      <c r="Y11" s="772" t="s">
        <v>77</v>
      </c>
      <c r="Z11" s="772" t="s">
        <v>77</v>
      </c>
      <c r="AA11" s="772" t="s">
        <v>77</v>
      </c>
      <c r="AB11" s="785" t="s">
        <v>77</v>
      </c>
      <c r="AC11" s="785" t="s">
        <v>77</v>
      </c>
      <c r="AD11" s="785" t="s">
        <v>77</v>
      </c>
      <c r="AE11" s="785" t="s">
        <v>77</v>
      </c>
      <c r="AF11" s="785" t="s">
        <v>77</v>
      </c>
      <c r="AG11" s="785" t="s">
        <v>77</v>
      </c>
      <c r="AH11" s="785" t="s">
        <v>77</v>
      </c>
      <c r="AI11" s="785" t="s">
        <v>77</v>
      </c>
      <c r="AJ11" s="785" t="s">
        <v>77</v>
      </c>
      <c r="AK11" s="785" t="s">
        <v>77</v>
      </c>
      <c r="AL11" s="785" t="s">
        <v>77</v>
      </c>
      <c r="AM11" s="785" t="s">
        <v>77</v>
      </c>
      <c r="AN11" s="785" t="s">
        <v>77</v>
      </c>
      <c r="AO11" s="785" t="s">
        <v>77</v>
      </c>
      <c r="AP11" s="785" t="s">
        <v>77</v>
      </c>
      <c r="AQ11" s="785" t="s">
        <v>77</v>
      </c>
      <c r="AR11" s="785" t="s">
        <v>77</v>
      </c>
      <c r="AS11" s="785" t="s">
        <v>77</v>
      </c>
      <c r="AT11" s="785" t="s">
        <v>77</v>
      </c>
      <c r="AU11" s="785" t="s">
        <v>77</v>
      </c>
      <c r="AV11" s="785" t="s">
        <v>77</v>
      </c>
      <c r="AW11" s="785" t="s">
        <v>77</v>
      </c>
      <c r="AX11" s="785" t="s">
        <v>77</v>
      </c>
      <c r="AY11" s="785" t="s">
        <v>77</v>
      </c>
      <c r="AZ11" s="785" t="s">
        <v>77</v>
      </c>
      <c r="BA11" s="785" t="s">
        <v>77</v>
      </c>
      <c r="BB11" s="785" t="s">
        <v>77</v>
      </c>
      <c r="BC11" s="785" t="s">
        <v>77</v>
      </c>
    </row>
    <row r="12" spans="1:55">
      <c r="A12" s="650">
        <v>10</v>
      </c>
      <c r="B12" s="782" t="s">
        <v>149</v>
      </c>
      <c r="C12" s="783" t="s">
        <v>150</v>
      </c>
      <c r="D12" s="772" t="s">
        <v>77</v>
      </c>
      <c r="E12" s="772" t="s">
        <v>77</v>
      </c>
      <c r="F12" s="772" t="s">
        <v>77</v>
      </c>
      <c r="G12" s="772" t="s">
        <v>77</v>
      </c>
      <c r="H12" s="772" t="s">
        <v>77</v>
      </c>
      <c r="I12" s="772" t="s">
        <v>77</v>
      </c>
      <c r="J12" s="772" t="s">
        <v>77</v>
      </c>
      <c r="K12" s="772" t="s">
        <v>77</v>
      </c>
      <c r="L12" s="772" t="s">
        <v>77</v>
      </c>
      <c r="M12" s="772" t="s">
        <v>77</v>
      </c>
      <c r="N12" s="772" t="s">
        <v>77</v>
      </c>
      <c r="O12" s="772" t="s">
        <v>77</v>
      </c>
      <c r="P12" s="772" t="s">
        <v>77</v>
      </c>
      <c r="Q12" s="772" t="s">
        <v>77</v>
      </c>
      <c r="R12" s="772" t="s">
        <v>77</v>
      </c>
      <c r="S12" s="772" t="s">
        <v>77</v>
      </c>
      <c r="T12" s="772" t="s">
        <v>77</v>
      </c>
      <c r="U12" s="772" t="s">
        <v>77</v>
      </c>
      <c r="V12" s="772" t="s">
        <v>77</v>
      </c>
      <c r="W12" s="772" t="s">
        <v>77</v>
      </c>
      <c r="X12" s="772" t="s">
        <v>77</v>
      </c>
      <c r="Y12" s="772" t="s">
        <v>77</v>
      </c>
      <c r="Z12" s="772" t="s">
        <v>77</v>
      </c>
      <c r="AA12" s="772" t="s">
        <v>77</v>
      </c>
      <c r="AB12" s="785" t="s">
        <v>77</v>
      </c>
      <c r="AC12" s="785" t="s">
        <v>77</v>
      </c>
      <c r="AD12" s="785" t="s">
        <v>77</v>
      </c>
      <c r="AE12" s="785" t="s">
        <v>77</v>
      </c>
      <c r="AF12" s="785" t="s">
        <v>77</v>
      </c>
      <c r="AG12" s="785" t="s">
        <v>77</v>
      </c>
      <c r="AH12" s="785" t="s">
        <v>77</v>
      </c>
      <c r="AI12" s="785" t="s">
        <v>77</v>
      </c>
      <c r="AJ12" s="785" t="s">
        <v>77</v>
      </c>
      <c r="AK12" s="785" t="s">
        <v>77</v>
      </c>
      <c r="AL12" s="785" t="s">
        <v>77</v>
      </c>
      <c r="AM12" s="785" t="s">
        <v>77</v>
      </c>
      <c r="AN12" s="785" t="s">
        <v>77</v>
      </c>
      <c r="AO12" s="785" t="s">
        <v>77</v>
      </c>
      <c r="AP12" s="785" t="s">
        <v>77</v>
      </c>
      <c r="AQ12" s="785" t="s">
        <v>77</v>
      </c>
      <c r="AR12" s="785" t="s">
        <v>77</v>
      </c>
      <c r="AS12" s="785" t="s">
        <v>77</v>
      </c>
      <c r="AT12" s="785" t="s">
        <v>77</v>
      </c>
      <c r="AU12" s="785" t="s">
        <v>77</v>
      </c>
      <c r="AV12" s="785" t="s">
        <v>77</v>
      </c>
      <c r="AW12" s="785" t="s">
        <v>77</v>
      </c>
      <c r="AX12" s="785" t="s">
        <v>77</v>
      </c>
      <c r="AY12" s="785" t="s">
        <v>77</v>
      </c>
      <c r="AZ12" s="785" t="s">
        <v>77</v>
      </c>
      <c r="BA12" s="785" t="s">
        <v>77</v>
      </c>
      <c r="BB12" s="785" t="s">
        <v>77</v>
      </c>
      <c r="BC12" s="785" t="s">
        <v>77</v>
      </c>
    </row>
    <row r="13" spans="1:55">
      <c r="A13" s="772">
        <v>11</v>
      </c>
      <c r="B13" s="782" t="s">
        <v>10</v>
      </c>
      <c r="C13" s="783" t="s">
        <v>256</v>
      </c>
      <c r="D13" s="772" t="s">
        <v>77</v>
      </c>
      <c r="E13" s="772">
        <v>64</v>
      </c>
      <c r="F13" s="772">
        <v>272</v>
      </c>
      <c r="G13" s="772">
        <v>336</v>
      </c>
      <c r="H13" s="772" t="s">
        <v>77</v>
      </c>
      <c r="I13" s="772" t="s">
        <v>77</v>
      </c>
      <c r="J13" s="772" t="s">
        <v>77</v>
      </c>
      <c r="K13" s="772" t="s">
        <v>77</v>
      </c>
      <c r="L13" s="772" t="s">
        <v>77</v>
      </c>
      <c r="M13" s="772" t="s">
        <v>77</v>
      </c>
      <c r="N13" s="772" t="s">
        <v>77</v>
      </c>
      <c r="O13" s="772" t="s">
        <v>77</v>
      </c>
      <c r="P13" s="772" t="s">
        <v>77</v>
      </c>
      <c r="Q13" s="772">
        <v>71</v>
      </c>
      <c r="R13" s="772" t="s">
        <v>77</v>
      </c>
      <c r="S13" s="772">
        <v>71</v>
      </c>
      <c r="T13" s="772" t="s">
        <v>77</v>
      </c>
      <c r="U13" s="772" t="s">
        <v>77</v>
      </c>
      <c r="V13" s="772" t="s">
        <v>77</v>
      </c>
      <c r="W13" s="772" t="s">
        <v>77</v>
      </c>
      <c r="X13" s="772" t="s">
        <v>77</v>
      </c>
      <c r="Y13" s="772" t="s">
        <v>77</v>
      </c>
      <c r="Z13" s="772" t="s">
        <v>77</v>
      </c>
      <c r="AA13" s="772" t="s">
        <v>77</v>
      </c>
      <c r="AB13" s="785" t="s">
        <v>77</v>
      </c>
      <c r="AC13" s="785" t="s">
        <v>77</v>
      </c>
      <c r="AD13" s="785" t="s">
        <v>77</v>
      </c>
      <c r="AE13" s="785" t="s">
        <v>77</v>
      </c>
      <c r="AF13" s="785" t="s">
        <v>77</v>
      </c>
      <c r="AG13" s="785" t="s">
        <v>77</v>
      </c>
      <c r="AH13" s="785" t="s">
        <v>77</v>
      </c>
      <c r="AI13" s="785" t="s">
        <v>77</v>
      </c>
      <c r="AJ13" s="785" t="s">
        <v>77</v>
      </c>
      <c r="AK13" s="785" t="s">
        <v>77</v>
      </c>
      <c r="AL13" s="785" t="s">
        <v>77</v>
      </c>
      <c r="AM13" s="785" t="s">
        <v>77</v>
      </c>
      <c r="AN13" s="785" t="s">
        <v>77</v>
      </c>
      <c r="AO13" s="785" t="s">
        <v>77</v>
      </c>
      <c r="AP13" s="785" t="s">
        <v>77</v>
      </c>
      <c r="AQ13" s="785" t="s">
        <v>77</v>
      </c>
      <c r="AR13" s="785" t="s">
        <v>77</v>
      </c>
      <c r="AS13" s="785" t="s">
        <v>77</v>
      </c>
      <c r="AT13" s="785" t="s">
        <v>77</v>
      </c>
      <c r="AU13" s="785" t="s">
        <v>77</v>
      </c>
      <c r="AV13" s="781" t="s">
        <v>77</v>
      </c>
      <c r="AW13" s="772">
        <v>35</v>
      </c>
      <c r="AX13" s="781" t="s">
        <v>77</v>
      </c>
      <c r="AY13" s="772">
        <v>35</v>
      </c>
      <c r="AZ13" s="785" t="s">
        <v>77</v>
      </c>
      <c r="BA13" s="772">
        <f>E13+Q13+AW13</f>
        <v>170</v>
      </c>
      <c r="BB13" s="772">
        <f>F13</f>
        <v>272</v>
      </c>
      <c r="BC13" s="772">
        <f>G13+S13+AY13</f>
        <v>442</v>
      </c>
    </row>
    <row r="14" spans="1:55">
      <c r="A14" s="772">
        <v>12</v>
      </c>
      <c r="B14" s="782" t="s">
        <v>15</v>
      </c>
      <c r="C14" s="783" t="s">
        <v>158</v>
      </c>
      <c r="D14" s="772" t="s">
        <v>77</v>
      </c>
      <c r="E14" s="772" t="s">
        <v>77</v>
      </c>
      <c r="F14" s="772" t="s">
        <v>77</v>
      </c>
      <c r="G14" s="772" t="s">
        <v>77</v>
      </c>
      <c r="H14" s="772" t="s">
        <v>77</v>
      </c>
      <c r="I14" s="772" t="s">
        <v>77</v>
      </c>
      <c r="J14" s="772" t="s">
        <v>77</v>
      </c>
      <c r="K14" s="772" t="s">
        <v>77</v>
      </c>
      <c r="L14" s="772" t="s">
        <v>77</v>
      </c>
      <c r="M14" s="772" t="s">
        <v>77</v>
      </c>
      <c r="N14" s="772" t="s">
        <v>77</v>
      </c>
      <c r="O14" s="772" t="s">
        <v>77</v>
      </c>
      <c r="P14" s="772" t="s">
        <v>77</v>
      </c>
      <c r="Q14" s="772" t="s">
        <v>77</v>
      </c>
      <c r="R14" s="772" t="s">
        <v>77</v>
      </c>
      <c r="S14" s="772" t="s">
        <v>77</v>
      </c>
      <c r="T14" s="772" t="s">
        <v>77</v>
      </c>
      <c r="U14" s="772" t="s">
        <v>77</v>
      </c>
      <c r="V14" s="772" t="s">
        <v>77</v>
      </c>
      <c r="W14" s="772" t="s">
        <v>77</v>
      </c>
      <c r="X14" s="772" t="s">
        <v>77</v>
      </c>
      <c r="Y14" s="772" t="s">
        <v>77</v>
      </c>
      <c r="Z14" s="772" t="s">
        <v>77</v>
      </c>
      <c r="AA14" s="772" t="s">
        <v>77</v>
      </c>
      <c r="AB14" s="785" t="s">
        <v>77</v>
      </c>
      <c r="AC14" s="785" t="s">
        <v>77</v>
      </c>
      <c r="AD14" s="785" t="s">
        <v>77</v>
      </c>
      <c r="AE14" s="785" t="s">
        <v>77</v>
      </c>
      <c r="AF14" s="785" t="s">
        <v>77</v>
      </c>
      <c r="AG14" s="785" t="s">
        <v>77</v>
      </c>
      <c r="AH14" s="785" t="s">
        <v>77</v>
      </c>
      <c r="AI14" s="785" t="s">
        <v>77</v>
      </c>
      <c r="AJ14" s="785" t="s">
        <v>77</v>
      </c>
      <c r="AK14" s="785" t="s">
        <v>77</v>
      </c>
      <c r="AL14" s="785" t="s">
        <v>77</v>
      </c>
      <c r="AM14" s="785" t="s">
        <v>77</v>
      </c>
      <c r="AN14" s="785" t="s">
        <v>77</v>
      </c>
      <c r="AO14" s="785" t="s">
        <v>77</v>
      </c>
      <c r="AP14" s="785" t="s">
        <v>77</v>
      </c>
      <c r="AQ14" s="785" t="s">
        <v>77</v>
      </c>
      <c r="AR14" s="785" t="s">
        <v>77</v>
      </c>
      <c r="AS14" s="785" t="s">
        <v>77</v>
      </c>
      <c r="AT14" s="785" t="s">
        <v>77</v>
      </c>
      <c r="AU14" s="785" t="s">
        <v>77</v>
      </c>
      <c r="AV14" s="785" t="s">
        <v>77</v>
      </c>
      <c r="AW14" s="785" t="s">
        <v>77</v>
      </c>
      <c r="AX14" s="785" t="s">
        <v>77</v>
      </c>
      <c r="AY14" s="785" t="s">
        <v>77</v>
      </c>
      <c r="AZ14" s="785" t="s">
        <v>77</v>
      </c>
      <c r="BA14" s="785" t="s">
        <v>77</v>
      </c>
      <c r="BB14" s="785" t="s">
        <v>77</v>
      </c>
      <c r="BC14" s="785" t="s">
        <v>77</v>
      </c>
    </row>
    <row r="15" spans="1:55">
      <c r="A15" s="650">
        <v>13</v>
      </c>
      <c r="B15" s="782" t="s">
        <v>160</v>
      </c>
      <c r="C15" s="783" t="s">
        <v>161</v>
      </c>
      <c r="D15" s="772" t="s">
        <v>77</v>
      </c>
      <c r="E15" s="772" t="s">
        <v>77</v>
      </c>
      <c r="F15" s="772" t="s">
        <v>77</v>
      </c>
      <c r="G15" s="772" t="s">
        <v>77</v>
      </c>
      <c r="H15" s="772" t="s">
        <v>77</v>
      </c>
      <c r="I15" s="772" t="s">
        <v>77</v>
      </c>
      <c r="J15" s="772" t="s">
        <v>77</v>
      </c>
      <c r="K15" s="772" t="s">
        <v>77</v>
      </c>
      <c r="L15" s="772" t="s">
        <v>77</v>
      </c>
      <c r="M15" s="772" t="s">
        <v>77</v>
      </c>
      <c r="N15" s="772" t="s">
        <v>77</v>
      </c>
      <c r="O15" s="772" t="s">
        <v>77</v>
      </c>
      <c r="P15" s="772" t="s">
        <v>77</v>
      </c>
      <c r="Q15" s="772" t="s">
        <v>77</v>
      </c>
      <c r="R15" s="772" t="s">
        <v>77</v>
      </c>
      <c r="S15" s="772" t="s">
        <v>77</v>
      </c>
      <c r="T15" s="772" t="s">
        <v>77</v>
      </c>
      <c r="U15" s="772" t="s">
        <v>77</v>
      </c>
      <c r="V15" s="772" t="s">
        <v>77</v>
      </c>
      <c r="W15" s="772" t="s">
        <v>77</v>
      </c>
      <c r="X15" s="772" t="s">
        <v>77</v>
      </c>
      <c r="Y15" s="772" t="s">
        <v>77</v>
      </c>
      <c r="Z15" s="772" t="s">
        <v>77</v>
      </c>
      <c r="AA15" s="772" t="s">
        <v>77</v>
      </c>
      <c r="AB15" s="785" t="s">
        <v>77</v>
      </c>
      <c r="AC15" s="785" t="s">
        <v>77</v>
      </c>
      <c r="AD15" s="785" t="s">
        <v>77</v>
      </c>
      <c r="AE15" s="785" t="s">
        <v>77</v>
      </c>
      <c r="AF15" s="785" t="s">
        <v>77</v>
      </c>
      <c r="AG15" s="785" t="s">
        <v>77</v>
      </c>
      <c r="AH15" s="785" t="s">
        <v>77</v>
      </c>
      <c r="AI15" s="785" t="s">
        <v>77</v>
      </c>
      <c r="AJ15" s="785" t="s">
        <v>77</v>
      </c>
      <c r="AK15" s="785" t="s">
        <v>77</v>
      </c>
      <c r="AL15" s="785" t="s">
        <v>77</v>
      </c>
      <c r="AM15" s="785" t="s">
        <v>77</v>
      </c>
      <c r="AN15" s="785" t="s">
        <v>77</v>
      </c>
      <c r="AO15" s="785" t="s">
        <v>77</v>
      </c>
      <c r="AP15" s="785" t="s">
        <v>77</v>
      </c>
      <c r="AQ15" s="785" t="s">
        <v>77</v>
      </c>
      <c r="AR15" s="785" t="s">
        <v>77</v>
      </c>
      <c r="AS15" s="785" t="s">
        <v>77</v>
      </c>
      <c r="AT15" s="785" t="s">
        <v>77</v>
      </c>
      <c r="AU15" s="785" t="s">
        <v>77</v>
      </c>
      <c r="AV15" s="785" t="s">
        <v>77</v>
      </c>
      <c r="AW15" s="785" t="s">
        <v>77</v>
      </c>
      <c r="AX15" s="785" t="s">
        <v>77</v>
      </c>
      <c r="AY15" s="785" t="s">
        <v>77</v>
      </c>
      <c r="AZ15" s="785" t="s">
        <v>77</v>
      </c>
      <c r="BA15" s="785" t="s">
        <v>77</v>
      </c>
      <c r="BB15" s="785" t="s">
        <v>77</v>
      </c>
      <c r="BC15" s="785" t="s">
        <v>77</v>
      </c>
    </row>
    <row r="16" spans="1:55">
      <c r="A16" s="772">
        <v>14</v>
      </c>
      <c r="B16" s="782" t="s">
        <v>19</v>
      </c>
      <c r="C16" s="783" t="s">
        <v>165</v>
      </c>
      <c r="D16" s="772" t="s">
        <v>77</v>
      </c>
      <c r="E16" s="772" t="s">
        <v>77</v>
      </c>
      <c r="F16" s="772" t="s">
        <v>77</v>
      </c>
      <c r="G16" s="772" t="s">
        <v>77</v>
      </c>
      <c r="H16" s="772" t="s">
        <v>77</v>
      </c>
      <c r="I16" s="772" t="s">
        <v>77</v>
      </c>
      <c r="J16" s="772" t="s">
        <v>77</v>
      </c>
      <c r="K16" s="772" t="s">
        <v>77</v>
      </c>
      <c r="L16" s="772" t="s">
        <v>77</v>
      </c>
      <c r="M16" s="772" t="s">
        <v>77</v>
      </c>
      <c r="N16" s="772" t="s">
        <v>77</v>
      </c>
      <c r="O16" s="772" t="s">
        <v>77</v>
      </c>
      <c r="P16" s="772" t="s">
        <v>77</v>
      </c>
      <c r="Q16" s="772">
        <v>4</v>
      </c>
      <c r="R16" s="772" t="s">
        <v>77</v>
      </c>
      <c r="S16" s="772">
        <v>4</v>
      </c>
      <c r="T16" s="772" t="s">
        <v>77</v>
      </c>
      <c r="U16" s="772" t="s">
        <v>77</v>
      </c>
      <c r="V16" s="772" t="s">
        <v>77</v>
      </c>
      <c r="W16" s="772" t="s">
        <v>77</v>
      </c>
      <c r="X16" s="772" t="s">
        <v>77</v>
      </c>
      <c r="Y16" s="772" t="s">
        <v>77</v>
      </c>
      <c r="Z16" s="772" t="s">
        <v>77</v>
      </c>
      <c r="AA16" s="772" t="s">
        <v>77</v>
      </c>
      <c r="AB16" s="785" t="s">
        <v>77</v>
      </c>
      <c r="AC16" s="785" t="s">
        <v>77</v>
      </c>
      <c r="AD16" s="785" t="s">
        <v>77</v>
      </c>
      <c r="AE16" s="785" t="s">
        <v>77</v>
      </c>
      <c r="AF16" s="785" t="s">
        <v>77</v>
      </c>
      <c r="AG16" s="785" t="s">
        <v>77</v>
      </c>
      <c r="AH16" s="785" t="s">
        <v>77</v>
      </c>
      <c r="AI16" s="785" t="s">
        <v>77</v>
      </c>
      <c r="AJ16" s="785" t="s">
        <v>77</v>
      </c>
      <c r="AK16" s="785" t="s">
        <v>77</v>
      </c>
      <c r="AL16" s="785" t="s">
        <v>77</v>
      </c>
      <c r="AM16" s="785" t="s">
        <v>77</v>
      </c>
      <c r="AN16" s="785" t="s">
        <v>77</v>
      </c>
      <c r="AO16" s="785" t="s">
        <v>77</v>
      </c>
      <c r="AP16" s="785" t="s">
        <v>77</v>
      </c>
      <c r="AQ16" s="785" t="s">
        <v>77</v>
      </c>
      <c r="AR16" s="785" t="s">
        <v>77</v>
      </c>
      <c r="AS16" s="785" t="s">
        <v>77</v>
      </c>
      <c r="AT16" s="785" t="s">
        <v>77</v>
      </c>
      <c r="AU16" s="785" t="s">
        <v>77</v>
      </c>
      <c r="AV16" s="785" t="s">
        <v>77</v>
      </c>
      <c r="AW16" s="785" t="s">
        <v>77</v>
      </c>
      <c r="AX16" s="785" t="s">
        <v>77</v>
      </c>
      <c r="AY16" s="785" t="s">
        <v>77</v>
      </c>
      <c r="AZ16" s="785" t="s">
        <v>77</v>
      </c>
      <c r="BA16" s="772">
        <f>Q16</f>
        <v>4</v>
      </c>
      <c r="BB16" s="785" t="s">
        <v>77</v>
      </c>
      <c r="BC16" s="772">
        <f>BA16</f>
        <v>4</v>
      </c>
    </row>
    <row r="17" spans="1:55">
      <c r="A17" s="772">
        <v>15</v>
      </c>
      <c r="B17" s="782" t="s">
        <v>24</v>
      </c>
      <c r="C17" s="783" t="s">
        <v>178</v>
      </c>
      <c r="D17" s="772" t="s">
        <v>77</v>
      </c>
      <c r="E17" s="772" t="s">
        <v>77</v>
      </c>
      <c r="F17" s="772" t="s">
        <v>77</v>
      </c>
      <c r="G17" s="772" t="s">
        <v>77</v>
      </c>
      <c r="H17" s="772" t="s">
        <v>77</v>
      </c>
      <c r="I17" s="772" t="s">
        <v>77</v>
      </c>
      <c r="J17" s="772" t="s">
        <v>77</v>
      </c>
      <c r="K17" s="772" t="s">
        <v>77</v>
      </c>
      <c r="L17" s="772" t="s">
        <v>77</v>
      </c>
      <c r="M17" s="772" t="s">
        <v>77</v>
      </c>
      <c r="N17" s="772" t="s">
        <v>77</v>
      </c>
      <c r="O17" s="772" t="s">
        <v>77</v>
      </c>
      <c r="P17" s="772" t="s">
        <v>77</v>
      </c>
      <c r="Q17" s="772" t="s">
        <v>77</v>
      </c>
      <c r="R17" s="772" t="s">
        <v>77</v>
      </c>
      <c r="S17" s="772" t="s">
        <v>77</v>
      </c>
      <c r="T17" s="772" t="s">
        <v>77</v>
      </c>
      <c r="U17" s="772" t="s">
        <v>77</v>
      </c>
      <c r="V17" s="772" t="s">
        <v>77</v>
      </c>
      <c r="W17" s="772" t="s">
        <v>77</v>
      </c>
      <c r="X17" s="772" t="s">
        <v>77</v>
      </c>
      <c r="Y17" s="772" t="s">
        <v>77</v>
      </c>
      <c r="Z17" s="772" t="s">
        <v>77</v>
      </c>
      <c r="AA17" s="772" t="s">
        <v>77</v>
      </c>
      <c r="AB17" s="785" t="s">
        <v>77</v>
      </c>
      <c r="AC17" s="785" t="s">
        <v>77</v>
      </c>
      <c r="AD17" s="785" t="s">
        <v>77</v>
      </c>
      <c r="AE17" s="785" t="s">
        <v>77</v>
      </c>
      <c r="AF17" s="785" t="s">
        <v>77</v>
      </c>
      <c r="AG17" s="785" t="s">
        <v>77</v>
      </c>
      <c r="AH17" s="785" t="s">
        <v>77</v>
      </c>
      <c r="AI17" s="785" t="s">
        <v>77</v>
      </c>
      <c r="AJ17" s="785" t="s">
        <v>77</v>
      </c>
      <c r="AK17" s="785" t="s">
        <v>77</v>
      </c>
      <c r="AL17" s="785" t="s">
        <v>77</v>
      </c>
      <c r="AM17" s="785" t="s">
        <v>77</v>
      </c>
      <c r="AN17" s="785" t="s">
        <v>77</v>
      </c>
      <c r="AO17" s="785" t="s">
        <v>77</v>
      </c>
      <c r="AP17" s="785" t="s">
        <v>77</v>
      </c>
      <c r="AQ17" s="785" t="s">
        <v>77</v>
      </c>
      <c r="AR17" s="785" t="s">
        <v>77</v>
      </c>
      <c r="AS17" s="785" t="s">
        <v>77</v>
      </c>
      <c r="AT17" s="785" t="s">
        <v>77</v>
      </c>
      <c r="AU17" s="785" t="s">
        <v>77</v>
      </c>
      <c r="AV17" s="785" t="s">
        <v>77</v>
      </c>
      <c r="AW17" s="785" t="s">
        <v>77</v>
      </c>
      <c r="AX17" s="785" t="s">
        <v>77</v>
      </c>
      <c r="AY17" s="785" t="s">
        <v>77</v>
      </c>
      <c r="AZ17" s="785" t="s">
        <v>77</v>
      </c>
      <c r="BA17" s="785" t="s">
        <v>77</v>
      </c>
      <c r="BB17" s="785" t="s">
        <v>77</v>
      </c>
      <c r="BC17" s="785" t="s">
        <v>77</v>
      </c>
    </row>
    <row r="18" spans="1:55">
      <c r="A18" s="650">
        <v>16</v>
      </c>
      <c r="B18" s="782" t="s">
        <v>27</v>
      </c>
      <c r="C18" s="783" t="s">
        <v>184</v>
      </c>
      <c r="D18" s="772" t="s">
        <v>77</v>
      </c>
      <c r="E18" s="772" t="s">
        <v>77</v>
      </c>
      <c r="F18" s="772" t="s">
        <v>77</v>
      </c>
      <c r="G18" s="772" t="s">
        <v>77</v>
      </c>
      <c r="H18" s="772" t="s">
        <v>77</v>
      </c>
      <c r="I18" s="772" t="s">
        <v>77</v>
      </c>
      <c r="J18" s="772" t="s">
        <v>77</v>
      </c>
      <c r="K18" s="772" t="s">
        <v>77</v>
      </c>
      <c r="L18" s="772" t="s">
        <v>77</v>
      </c>
      <c r="M18" s="772" t="s">
        <v>77</v>
      </c>
      <c r="N18" s="772" t="s">
        <v>77</v>
      </c>
      <c r="O18" s="772" t="s">
        <v>77</v>
      </c>
      <c r="P18" s="772" t="s">
        <v>77</v>
      </c>
      <c r="Q18" s="772" t="s">
        <v>77</v>
      </c>
      <c r="R18" s="772" t="s">
        <v>77</v>
      </c>
      <c r="S18" s="772" t="s">
        <v>77</v>
      </c>
      <c r="T18" s="772" t="s">
        <v>77</v>
      </c>
      <c r="U18" s="772" t="s">
        <v>77</v>
      </c>
      <c r="V18" s="772" t="s">
        <v>77</v>
      </c>
      <c r="W18" s="772" t="s">
        <v>77</v>
      </c>
      <c r="X18" s="772" t="s">
        <v>77</v>
      </c>
      <c r="Y18" s="772">
        <v>14</v>
      </c>
      <c r="Z18" s="772" t="s">
        <v>77</v>
      </c>
      <c r="AA18" s="772">
        <v>14</v>
      </c>
      <c r="AB18" s="785" t="s">
        <v>77</v>
      </c>
      <c r="AC18" s="785" t="s">
        <v>77</v>
      </c>
      <c r="AD18" s="785" t="s">
        <v>77</v>
      </c>
      <c r="AE18" s="785" t="s">
        <v>77</v>
      </c>
      <c r="AF18" s="785" t="s">
        <v>77</v>
      </c>
      <c r="AG18" s="785" t="s">
        <v>77</v>
      </c>
      <c r="AH18" s="785" t="s">
        <v>77</v>
      </c>
      <c r="AI18" s="785" t="s">
        <v>77</v>
      </c>
      <c r="AJ18" s="785" t="s">
        <v>77</v>
      </c>
      <c r="AK18" s="785" t="s">
        <v>77</v>
      </c>
      <c r="AL18" s="785" t="s">
        <v>77</v>
      </c>
      <c r="AM18" s="785" t="s">
        <v>77</v>
      </c>
      <c r="AN18" s="781" t="s">
        <v>77</v>
      </c>
      <c r="AO18" s="772">
        <v>3</v>
      </c>
      <c r="AP18" s="772">
        <v>8</v>
      </c>
      <c r="AQ18" s="772">
        <v>11</v>
      </c>
      <c r="AR18" s="781" t="s">
        <v>77</v>
      </c>
      <c r="AS18" s="772">
        <v>26</v>
      </c>
      <c r="AT18" s="781" t="s">
        <v>77</v>
      </c>
      <c r="AU18" s="772">
        <v>26</v>
      </c>
      <c r="AV18" s="785" t="s">
        <v>77</v>
      </c>
      <c r="AW18" s="785" t="s">
        <v>77</v>
      </c>
      <c r="AX18" s="785" t="s">
        <v>77</v>
      </c>
      <c r="AY18" s="785" t="s">
        <v>77</v>
      </c>
      <c r="AZ18" s="785" t="s">
        <v>77</v>
      </c>
      <c r="BA18" s="772">
        <f>Y18+AO18+AS18</f>
        <v>43</v>
      </c>
      <c r="BB18" s="772">
        <f>AP18</f>
        <v>8</v>
      </c>
      <c r="BC18" s="772">
        <f>AA18+AQ18+AU18</f>
        <v>51</v>
      </c>
    </row>
    <row r="19" spans="1:55">
      <c r="A19" s="772">
        <v>17</v>
      </c>
      <c r="B19" s="782" t="s">
        <v>187</v>
      </c>
      <c r="C19" s="783" t="s">
        <v>188</v>
      </c>
      <c r="D19" s="772" t="s">
        <v>77</v>
      </c>
      <c r="E19" s="772" t="s">
        <v>77</v>
      </c>
      <c r="F19" s="772" t="s">
        <v>77</v>
      </c>
      <c r="G19" s="772" t="s">
        <v>77</v>
      </c>
      <c r="H19" s="772" t="s">
        <v>77</v>
      </c>
      <c r="I19" s="772">
        <v>270</v>
      </c>
      <c r="J19" s="772">
        <v>236</v>
      </c>
      <c r="K19" s="772">
        <v>506</v>
      </c>
      <c r="L19" s="772" t="s">
        <v>77</v>
      </c>
      <c r="M19" s="772" t="s">
        <v>77</v>
      </c>
      <c r="N19" s="772">
        <v>249</v>
      </c>
      <c r="O19" s="772">
        <v>249</v>
      </c>
      <c r="P19" s="772" t="s">
        <v>77</v>
      </c>
      <c r="Q19" s="772">
        <v>266</v>
      </c>
      <c r="R19" s="772" t="s">
        <v>77</v>
      </c>
      <c r="S19" s="772">
        <v>266</v>
      </c>
      <c r="T19" s="772" t="s">
        <v>77</v>
      </c>
      <c r="U19" s="772" t="s">
        <v>77</v>
      </c>
      <c r="V19" s="772" t="s">
        <v>77</v>
      </c>
      <c r="W19" s="772" t="s">
        <v>77</v>
      </c>
      <c r="X19" s="772" t="s">
        <v>77</v>
      </c>
      <c r="Y19" s="772">
        <v>8</v>
      </c>
      <c r="Z19" s="772">
        <v>240</v>
      </c>
      <c r="AA19" s="772">
        <v>248</v>
      </c>
      <c r="AB19" s="781" t="s">
        <v>77</v>
      </c>
      <c r="AC19" s="772">
        <v>25</v>
      </c>
      <c r="AD19" s="781" t="s">
        <v>77</v>
      </c>
      <c r="AE19" s="772">
        <v>25</v>
      </c>
      <c r="AF19" s="785" t="s">
        <v>77</v>
      </c>
      <c r="AG19" s="772">
        <v>16</v>
      </c>
      <c r="AH19" s="785" t="s">
        <v>77</v>
      </c>
      <c r="AI19" s="772">
        <v>16</v>
      </c>
      <c r="AJ19" s="785" t="s">
        <v>77</v>
      </c>
      <c r="AK19" s="772">
        <v>20</v>
      </c>
      <c r="AL19" s="772">
        <v>1</v>
      </c>
      <c r="AM19" s="772">
        <v>21</v>
      </c>
      <c r="AN19" s="781" t="s">
        <v>77</v>
      </c>
      <c r="AO19" s="772">
        <v>31</v>
      </c>
      <c r="AP19" s="772">
        <v>47</v>
      </c>
      <c r="AQ19" s="772">
        <v>78</v>
      </c>
      <c r="AR19" s="781" t="s">
        <v>77</v>
      </c>
      <c r="AS19" s="772">
        <v>5</v>
      </c>
      <c r="AT19" s="781" t="s">
        <v>77</v>
      </c>
      <c r="AU19" s="772">
        <v>5</v>
      </c>
      <c r="AV19" s="781" t="s">
        <v>77</v>
      </c>
      <c r="AW19" s="772">
        <v>16</v>
      </c>
      <c r="AX19" s="781" t="s">
        <v>77</v>
      </c>
      <c r="AY19" s="772">
        <v>16</v>
      </c>
      <c r="AZ19" s="785" t="s">
        <v>77</v>
      </c>
      <c r="BA19" s="772">
        <f>I19+Q19+Y19+AC19+AG19+AK19+AO19+AS19+AW19</f>
        <v>657</v>
      </c>
      <c r="BB19" s="772">
        <f>J19+N19+Z19+AL19+AP19</f>
        <v>773</v>
      </c>
      <c r="BC19" s="772">
        <f>K19+S19+AA19+O19+AE19+AI19+AM19+AQ19+AU19+AY19</f>
        <v>1430</v>
      </c>
    </row>
    <row r="20" spans="1:55">
      <c r="A20" s="772">
        <v>18</v>
      </c>
      <c r="B20" s="782" t="s">
        <v>29</v>
      </c>
      <c r="C20" s="783" t="s">
        <v>196</v>
      </c>
      <c r="D20" s="772" t="s">
        <v>77</v>
      </c>
      <c r="E20" s="772" t="s">
        <v>77</v>
      </c>
      <c r="F20" s="772" t="s">
        <v>77</v>
      </c>
      <c r="G20" s="772" t="s">
        <v>77</v>
      </c>
      <c r="H20" s="772" t="s">
        <v>77</v>
      </c>
      <c r="I20" s="772" t="s">
        <v>77</v>
      </c>
      <c r="J20" s="772" t="s">
        <v>77</v>
      </c>
      <c r="K20" s="772" t="s">
        <v>77</v>
      </c>
      <c r="L20" s="772" t="s">
        <v>77</v>
      </c>
      <c r="M20" s="772" t="s">
        <v>77</v>
      </c>
      <c r="N20" s="772" t="s">
        <v>77</v>
      </c>
      <c r="O20" s="772" t="s">
        <v>77</v>
      </c>
      <c r="P20" s="772" t="s">
        <v>77</v>
      </c>
      <c r="Q20" s="772" t="s">
        <v>77</v>
      </c>
      <c r="R20" s="772" t="s">
        <v>77</v>
      </c>
      <c r="S20" s="772" t="s">
        <v>77</v>
      </c>
      <c r="T20" s="772" t="s">
        <v>77</v>
      </c>
      <c r="U20" s="772" t="s">
        <v>77</v>
      </c>
      <c r="V20" s="772" t="s">
        <v>77</v>
      </c>
      <c r="W20" s="772" t="s">
        <v>77</v>
      </c>
      <c r="X20" s="772" t="s">
        <v>77</v>
      </c>
      <c r="Y20" s="772" t="s">
        <v>77</v>
      </c>
      <c r="Z20" s="772" t="s">
        <v>77</v>
      </c>
      <c r="AA20" s="772" t="s">
        <v>77</v>
      </c>
      <c r="AB20" s="785" t="s">
        <v>77</v>
      </c>
      <c r="AC20" s="785" t="s">
        <v>77</v>
      </c>
      <c r="AD20" s="785" t="s">
        <v>77</v>
      </c>
      <c r="AE20" s="785" t="s">
        <v>77</v>
      </c>
      <c r="AF20" s="785" t="s">
        <v>77</v>
      </c>
      <c r="AG20" s="785" t="s">
        <v>77</v>
      </c>
      <c r="AH20" s="785" t="s">
        <v>77</v>
      </c>
      <c r="AI20" s="785" t="s">
        <v>77</v>
      </c>
      <c r="AJ20" s="785" t="s">
        <v>77</v>
      </c>
      <c r="AK20" s="785" t="s">
        <v>77</v>
      </c>
      <c r="AL20" s="785" t="s">
        <v>77</v>
      </c>
      <c r="AM20" s="785" t="s">
        <v>77</v>
      </c>
      <c r="AN20" s="785" t="s">
        <v>77</v>
      </c>
      <c r="AO20" s="785" t="s">
        <v>77</v>
      </c>
      <c r="AP20" s="785" t="s">
        <v>77</v>
      </c>
      <c r="AQ20" s="785" t="s">
        <v>77</v>
      </c>
      <c r="AR20" s="785" t="s">
        <v>77</v>
      </c>
      <c r="AS20" s="785" t="s">
        <v>77</v>
      </c>
      <c r="AT20" s="785" t="s">
        <v>77</v>
      </c>
      <c r="AU20" s="785" t="s">
        <v>77</v>
      </c>
      <c r="AV20" s="781" t="s">
        <v>77</v>
      </c>
      <c r="AW20" s="781" t="s">
        <v>77</v>
      </c>
      <c r="AX20" s="772">
        <v>18</v>
      </c>
      <c r="AY20" s="772">
        <v>18</v>
      </c>
      <c r="AZ20" s="785" t="s">
        <v>77</v>
      </c>
      <c r="BA20" s="785" t="s">
        <v>77</v>
      </c>
      <c r="BB20" s="772">
        <f>AX20</f>
        <v>18</v>
      </c>
      <c r="BC20" s="772">
        <f>AY20</f>
        <v>18</v>
      </c>
    </row>
    <row r="21" spans="1:55">
      <c r="A21" s="650">
        <v>19</v>
      </c>
      <c r="B21" s="782" t="s">
        <v>31</v>
      </c>
      <c r="C21" s="783" t="s">
        <v>201</v>
      </c>
      <c r="D21" s="772" t="s">
        <v>77</v>
      </c>
      <c r="E21" s="772" t="s">
        <v>77</v>
      </c>
      <c r="F21" s="772" t="s">
        <v>77</v>
      </c>
      <c r="G21" s="772" t="s">
        <v>77</v>
      </c>
      <c r="H21" s="772" t="s">
        <v>77</v>
      </c>
      <c r="I21" s="772" t="s">
        <v>77</v>
      </c>
      <c r="J21" s="772" t="s">
        <v>77</v>
      </c>
      <c r="K21" s="772" t="s">
        <v>77</v>
      </c>
      <c r="L21" s="772" t="s">
        <v>77</v>
      </c>
      <c r="M21" s="772" t="s">
        <v>77</v>
      </c>
      <c r="N21" s="772" t="s">
        <v>77</v>
      </c>
      <c r="O21" s="772" t="s">
        <v>77</v>
      </c>
      <c r="P21" s="772" t="s">
        <v>77</v>
      </c>
      <c r="Q21" s="772" t="s">
        <v>77</v>
      </c>
      <c r="R21" s="772" t="s">
        <v>77</v>
      </c>
      <c r="S21" s="772" t="s">
        <v>77</v>
      </c>
      <c r="T21" s="772" t="s">
        <v>77</v>
      </c>
      <c r="U21" s="772" t="s">
        <v>77</v>
      </c>
      <c r="V21" s="772" t="s">
        <v>77</v>
      </c>
      <c r="W21" s="772" t="s">
        <v>77</v>
      </c>
      <c r="X21" s="772" t="s">
        <v>77</v>
      </c>
      <c r="Y21" s="772" t="s">
        <v>77</v>
      </c>
      <c r="Z21" s="772" t="s">
        <v>77</v>
      </c>
      <c r="AA21" s="772" t="s">
        <v>77</v>
      </c>
      <c r="AB21" s="785" t="s">
        <v>77</v>
      </c>
      <c r="AC21" s="785" t="s">
        <v>77</v>
      </c>
      <c r="AD21" s="785" t="s">
        <v>77</v>
      </c>
      <c r="AE21" s="785" t="s">
        <v>77</v>
      </c>
      <c r="AF21" s="785" t="s">
        <v>77</v>
      </c>
      <c r="AG21" s="785" t="s">
        <v>77</v>
      </c>
      <c r="AH21" s="785" t="s">
        <v>77</v>
      </c>
      <c r="AI21" s="785" t="s">
        <v>77</v>
      </c>
      <c r="AJ21" s="785" t="s">
        <v>77</v>
      </c>
      <c r="AK21" s="785" t="s">
        <v>77</v>
      </c>
      <c r="AL21" s="785" t="s">
        <v>77</v>
      </c>
      <c r="AM21" s="785" t="s">
        <v>77</v>
      </c>
      <c r="AN21" s="785" t="s">
        <v>77</v>
      </c>
      <c r="AO21" s="785" t="s">
        <v>77</v>
      </c>
      <c r="AP21" s="785" t="s">
        <v>77</v>
      </c>
      <c r="AQ21" s="785" t="s">
        <v>77</v>
      </c>
      <c r="AR21" s="785" t="s">
        <v>77</v>
      </c>
      <c r="AS21" s="785" t="s">
        <v>77</v>
      </c>
      <c r="AT21" s="785" t="s">
        <v>77</v>
      </c>
      <c r="AU21" s="785" t="s">
        <v>77</v>
      </c>
      <c r="AV21" s="785" t="s">
        <v>77</v>
      </c>
      <c r="AW21" s="785" t="s">
        <v>77</v>
      </c>
      <c r="AX21" s="785" t="s">
        <v>77</v>
      </c>
      <c r="AY21" s="785" t="s">
        <v>77</v>
      </c>
      <c r="AZ21" s="785" t="s">
        <v>77</v>
      </c>
      <c r="BA21" s="785" t="s">
        <v>77</v>
      </c>
      <c r="BB21" s="785" t="s">
        <v>77</v>
      </c>
      <c r="BC21" s="785" t="s">
        <v>77</v>
      </c>
    </row>
    <row r="22" spans="1:55">
      <c r="A22" s="772">
        <v>20</v>
      </c>
      <c r="B22" s="782" t="s">
        <v>33</v>
      </c>
      <c r="C22" s="783" t="s">
        <v>209</v>
      </c>
      <c r="D22" s="772" t="s">
        <v>77</v>
      </c>
      <c r="E22" s="772" t="s">
        <v>77</v>
      </c>
      <c r="F22" s="772" t="s">
        <v>77</v>
      </c>
      <c r="G22" s="772" t="s">
        <v>77</v>
      </c>
      <c r="H22" s="772" t="s">
        <v>77</v>
      </c>
      <c r="I22" s="772">
        <v>20</v>
      </c>
      <c r="J22" s="772" t="s">
        <v>77</v>
      </c>
      <c r="K22" s="772">
        <v>20</v>
      </c>
      <c r="L22" s="772" t="s">
        <v>77</v>
      </c>
      <c r="M22" s="772">
        <v>186</v>
      </c>
      <c r="N22" s="772" t="s">
        <v>77</v>
      </c>
      <c r="O22" s="772">
        <v>186</v>
      </c>
      <c r="P22" s="772" t="s">
        <v>77</v>
      </c>
      <c r="Q22" s="772">
        <v>245</v>
      </c>
      <c r="R22" s="772" t="s">
        <v>77</v>
      </c>
      <c r="S22" s="772">
        <v>245</v>
      </c>
      <c r="T22" s="772" t="s">
        <v>77</v>
      </c>
      <c r="U22" s="772">
        <v>32</v>
      </c>
      <c r="V22" s="772" t="s">
        <v>77</v>
      </c>
      <c r="W22" s="772">
        <v>32</v>
      </c>
      <c r="X22" s="772" t="s">
        <v>77</v>
      </c>
      <c r="Y22" s="772">
        <v>363</v>
      </c>
      <c r="Z22" s="772" t="s">
        <v>77</v>
      </c>
      <c r="AA22" s="772">
        <v>363</v>
      </c>
      <c r="AB22" s="781" t="s">
        <v>77</v>
      </c>
      <c r="AC22" s="772">
        <v>84</v>
      </c>
      <c r="AD22" s="772">
        <v>3</v>
      </c>
      <c r="AE22" s="772">
        <v>87</v>
      </c>
      <c r="AF22" s="772"/>
      <c r="AG22" s="772">
        <v>59</v>
      </c>
      <c r="AH22" s="785" t="s">
        <v>77</v>
      </c>
      <c r="AI22" s="772">
        <v>59</v>
      </c>
      <c r="AJ22" s="772"/>
      <c r="AK22" s="772">
        <v>2</v>
      </c>
      <c r="AL22" s="772"/>
      <c r="AM22" s="772">
        <v>2</v>
      </c>
      <c r="AN22" s="785" t="s">
        <v>77</v>
      </c>
      <c r="AO22" s="785" t="s">
        <v>77</v>
      </c>
      <c r="AP22" s="785" t="s">
        <v>77</v>
      </c>
      <c r="AQ22" s="785" t="s">
        <v>77</v>
      </c>
      <c r="AR22" s="785" t="s">
        <v>77</v>
      </c>
      <c r="AS22" s="785" t="s">
        <v>77</v>
      </c>
      <c r="AT22" s="785" t="s">
        <v>77</v>
      </c>
      <c r="AU22" s="785" t="s">
        <v>77</v>
      </c>
      <c r="AV22" s="781" t="s">
        <v>77</v>
      </c>
      <c r="AW22" s="772">
        <v>27</v>
      </c>
      <c r="AX22" s="781" t="s">
        <v>77</v>
      </c>
      <c r="AY22" s="772">
        <v>27</v>
      </c>
      <c r="AZ22" s="785" t="s">
        <v>77</v>
      </c>
      <c r="BA22" s="787">
        <f>I22+M22+Q22+U22+Y22+AC22+AG22+AM22+AW22</f>
        <v>1018</v>
      </c>
      <c r="BB22" s="787">
        <f>AD22</f>
        <v>3</v>
      </c>
      <c r="BC22" s="787">
        <f>K22+O22+S22+W22+AA22+AE22+AI22+AM22+AY22</f>
        <v>1021</v>
      </c>
    </row>
    <row r="23" spans="1:55">
      <c r="A23" s="772">
        <v>21</v>
      </c>
      <c r="B23" s="782" t="s">
        <v>35</v>
      </c>
      <c r="C23" s="788" t="s">
        <v>216</v>
      </c>
      <c r="D23" s="772" t="s">
        <v>77</v>
      </c>
      <c r="E23" s="772">
        <v>540</v>
      </c>
      <c r="F23" s="772">
        <v>362</v>
      </c>
      <c r="G23" s="772">
        <v>902</v>
      </c>
      <c r="H23" s="772" t="s">
        <v>77</v>
      </c>
      <c r="I23" s="772" t="s">
        <v>77</v>
      </c>
      <c r="J23" s="772" t="s">
        <v>77</v>
      </c>
      <c r="K23" s="772" t="s">
        <v>77</v>
      </c>
      <c r="L23" s="772" t="s">
        <v>77</v>
      </c>
      <c r="M23" s="772" t="s">
        <v>77</v>
      </c>
      <c r="N23" s="772" t="s">
        <v>77</v>
      </c>
      <c r="O23" s="772" t="s">
        <v>77</v>
      </c>
      <c r="P23" s="772" t="s">
        <v>77</v>
      </c>
      <c r="Q23" s="772" t="s">
        <v>77</v>
      </c>
      <c r="R23" s="772" t="s">
        <v>77</v>
      </c>
      <c r="S23" s="772" t="s">
        <v>77</v>
      </c>
      <c r="T23" s="772" t="s">
        <v>77</v>
      </c>
      <c r="U23" s="772" t="s">
        <v>77</v>
      </c>
      <c r="V23" s="772" t="s">
        <v>77</v>
      </c>
      <c r="W23" s="772" t="s">
        <v>77</v>
      </c>
      <c r="X23" s="772" t="s">
        <v>77</v>
      </c>
      <c r="Y23" s="772" t="s">
        <v>77</v>
      </c>
      <c r="Z23" s="772" t="s">
        <v>77</v>
      </c>
      <c r="AA23" s="772" t="s">
        <v>77</v>
      </c>
      <c r="AB23" s="772">
        <v>1</v>
      </c>
      <c r="AC23" s="781" t="s">
        <v>77</v>
      </c>
      <c r="AD23" s="781" t="s">
        <v>77</v>
      </c>
      <c r="AE23" s="781" t="s">
        <v>77</v>
      </c>
      <c r="AF23" s="772">
        <v>1</v>
      </c>
      <c r="AG23" s="772"/>
      <c r="AH23" s="785" t="s">
        <v>77</v>
      </c>
      <c r="AI23" s="785" t="s">
        <v>77</v>
      </c>
      <c r="AJ23" s="785" t="s">
        <v>77</v>
      </c>
      <c r="AK23" s="785" t="s">
        <v>77</v>
      </c>
      <c r="AL23" s="785" t="s">
        <v>77</v>
      </c>
      <c r="AM23" s="785" t="s">
        <v>77</v>
      </c>
      <c r="AN23" s="781" t="s">
        <v>77</v>
      </c>
      <c r="AO23" s="772">
        <v>480</v>
      </c>
      <c r="AP23" s="772">
        <v>240</v>
      </c>
      <c r="AQ23" s="772">
        <v>720</v>
      </c>
      <c r="AR23" s="781" t="s">
        <v>77</v>
      </c>
      <c r="AS23" s="781" t="s">
        <v>77</v>
      </c>
      <c r="AT23" s="772">
        <v>277</v>
      </c>
      <c r="AU23" s="772">
        <v>277</v>
      </c>
      <c r="AV23" s="781" t="s">
        <v>77</v>
      </c>
      <c r="AW23" s="781" t="s">
        <v>77</v>
      </c>
      <c r="AX23" s="781" t="s">
        <v>77</v>
      </c>
      <c r="AY23" s="781" t="s">
        <v>77</v>
      </c>
      <c r="AZ23" s="787">
        <f>AB23+AF23</f>
        <v>2</v>
      </c>
      <c r="BA23" s="787">
        <f>E23+AO23</f>
        <v>1020</v>
      </c>
      <c r="BB23" s="787">
        <f>F23+AP23+AT23</f>
        <v>879</v>
      </c>
      <c r="BC23" s="787">
        <f>G23+AQ23+AU23</f>
        <v>1899</v>
      </c>
    </row>
    <row r="24" spans="1:55">
      <c r="A24" s="650">
        <v>22</v>
      </c>
      <c r="B24" s="782" t="s">
        <v>38</v>
      </c>
      <c r="C24" s="783" t="s">
        <v>218</v>
      </c>
      <c r="D24" s="772" t="s">
        <v>77</v>
      </c>
      <c r="E24" s="772" t="s">
        <v>77</v>
      </c>
      <c r="F24" s="772">
        <v>32</v>
      </c>
      <c r="G24" s="772">
        <v>32</v>
      </c>
      <c r="H24" s="772" t="s">
        <v>77</v>
      </c>
      <c r="I24" s="772" t="s">
        <v>77</v>
      </c>
      <c r="J24" s="772" t="s">
        <v>77</v>
      </c>
      <c r="K24" s="772" t="s">
        <v>77</v>
      </c>
      <c r="L24" s="772" t="s">
        <v>77</v>
      </c>
      <c r="M24" s="772" t="s">
        <v>77</v>
      </c>
      <c r="N24" s="772" t="s">
        <v>77</v>
      </c>
      <c r="O24" s="772" t="s">
        <v>77</v>
      </c>
      <c r="P24" s="772" t="s">
        <v>77</v>
      </c>
      <c r="Q24" s="772" t="s">
        <v>77</v>
      </c>
      <c r="R24" s="772" t="s">
        <v>77</v>
      </c>
      <c r="S24" s="772" t="s">
        <v>77</v>
      </c>
      <c r="T24" s="772" t="s">
        <v>77</v>
      </c>
      <c r="U24" s="772" t="s">
        <v>77</v>
      </c>
      <c r="V24" s="772" t="s">
        <v>77</v>
      </c>
      <c r="W24" s="772" t="s">
        <v>77</v>
      </c>
      <c r="X24" s="772" t="s">
        <v>77</v>
      </c>
      <c r="Y24" s="772" t="s">
        <v>77</v>
      </c>
      <c r="Z24" s="772" t="s">
        <v>77</v>
      </c>
      <c r="AA24" s="772" t="s">
        <v>77</v>
      </c>
      <c r="AB24" s="785" t="s">
        <v>77</v>
      </c>
      <c r="AC24" s="785" t="s">
        <v>77</v>
      </c>
      <c r="AD24" s="785" t="s">
        <v>77</v>
      </c>
      <c r="AE24" s="785" t="s">
        <v>77</v>
      </c>
      <c r="AF24" s="785" t="s">
        <v>77</v>
      </c>
      <c r="AG24" s="785" t="s">
        <v>77</v>
      </c>
      <c r="AH24" s="785" t="s">
        <v>77</v>
      </c>
      <c r="AI24" s="785" t="s">
        <v>77</v>
      </c>
      <c r="AJ24" s="785" t="s">
        <v>77</v>
      </c>
      <c r="AK24" s="785" t="s">
        <v>77</v>
      </c>
      <c r="AL24" s="785" t="s">
        <v>77</v>
      </c>
      <c r="AM24" s="785" t="s">
        <v>77</v>
      </c>
      <c r="AN24" s="785" t="s">
        <v>77</v>
      </c>
      <c r="AO24" s="785" t="s">
        <v>77</v>
      </c>
      <c r="AP24" s="785" t="s">
        <v>77</v>
      </c>
      <c r="AQ24" s="785" t="s">
        <v>77</v>
      </c>
      <c r="AR24" s="785" t="s">
        <v>77</v>
      </c>
      <c r="AS24" s="785" t="s">
        <v>77</v>
      </c>
      <c r="AT24" s="785" t="s">
        <v>77</v>
      </c>
      <c r="AU24" s="785" t="s">
        <v>77</v>
      </c>
      <c r="AV24" s="785" t="s">
        <v>77</v>
      </c>
      <c r="AW24" s="785" t="s">
        <v>77</v>
      </c>
      <c r="AX24" s="785" t="s">
        <v>77</v>
      </c>
      <c r="AY24" s="785" t="s">
        <v>77</v>
      </c>
      <c r="AZ24" s="781" t="s">
        <v>77</v>
      </c>
      <c r="BA24" s="781" t="s">
        <v>77</v>
      </c>
      <c r="BB24" s="772">
        <v>32</v>
      </c>
      <c r="BC24" s="772">
        <v>32</v>
      </c>
    </row>
    <row r="25" spans="1:55">
      <c r="A25" s="772">
        <v>23</v>
      </c>
      <c r="B25" s="782" t="s">
        <v>222</v>
      </c>
      <c r="C25" s="783" t="s">
        <v>223</v>
      </c>
      <c r="D25" s="772" t="s">
        <v>77</v>
      </c>
      <c r="E25" s="772" t="s">
        <v>77</v>
      </c>
      <c r="F25" s="772" t="s">
        <v>77</v>
      </c>
      <c r="G25" s="772" t="s">
        <v>77</v>
      </c>
      <c r="H25" s="772" t="s">
        <v>77</v>
      </c>
      <c r="I25" s="772" t="s">
        <v>77</v>
      </c>
      <c r="J25" s="772" t="s">
        <v>77</v>
      </c>
      <c r="K25" s="772" t="s">
        <v>77</v>
      </c>
      <c r="L25" s="772" t="s">
        <v>77</v>
      </c>
      <c r="M25" s="772" t="s">
        <v>77</v>
      </c>
      <c r="N25" s="772" t="s">
        <v>77</v>
      </c>
      <c r="O25" s="772" t="s">
        <v>77</v>
      </c>
      <c r="P25" s="772" t="s">
        <v>77</v>
      </c>
      <c r="Q25" s="772" t="s">
        <v>77</v>
      </c>
      <c r="R25" s="772">
        <v>2</v>
      </c>
      <c r="S25" s="772">
        <v>2</v>
      </c>
      <c r="T25" s="772" t="s">
        <v>77</v>
      </c>
      <c r="U25" s="772" t="s">
        <v>77</v>
      </c>
      <c r="V25" s="772" t="s">
        <v>77</v>
      </c>
      <c r="W25" s="772" t="s">
        <v>77</v>
      </c>
      <c r="X25" s="772" t="s">
        <v>77</v>
      </c>
      <c r="Y25" s="772">
        <v>8</v>
      </c>
      <c r="Z25" s="772" t="s">
        <v>77</v>
      </c>
      <c r="AA25" s="772">
        <v>8</v>
      </c>
      <c r="AB25" s="785" t="s">
        <v>77</v>
      </c>
      <c r="AC25" s="785" t="s">
        <v>77</v>
      </c>
      <c r="AD25" s="785" t="s">
        <v>77</v>
      </c>
      <c r="AE25" s="785" t="s">
        <v>77</v>
      </c>
      <c r="AF25" s="772"/>
      <c r="AG25" s="772">
        <v>135</v>
      </c>
      <c r="AH25" s="785" t="s">
        <v>77</v>
      </c>
      <c r="AI25" s="772">
        <v>135</v>
      </c>
      <c r="AJ25" s="785" t="s">
        <v>77</v>
      </c>
      <c r="AK25" s="785" t="s">
        <v>77</v>
      </c>
      <c r="AL25" s="785" t="s">
        <v>77</v>
      </c>
      <c r="AM25" s="785" t="s">
        <v>77</v>
      </c>
      <c r="AN25" s="785" t="s">
        <v>77</v>
      </c>
      <c r="AO25" s="785" t="s">
        <v>77</v>
      </c>
      <c r="AP25" s="785" t="s">
        <v>77</v>
      </c>
      <c r="AQ25" s="785" t="s">
        <v>77</v>
      </c>
      <c r="AR25" s="785" t="s">
        <v>77</v>
      </c>
      <c r="AS25" s="785" t="s">
        <v>77</v>
      </c>
      <c r="AT25" s="785" t="s">
        <v>77</v>
      </c>
      <c r="AU25" s="785" t="s">
        <v>77</v>
      </c>
      <c r="AV25" s="785" t="s">
        <v>77</v>
      </c>
      <c r="AW25" s="785" t="s">
        <v>77</v>
      </c>
      <c r="AX25" s="785" t="s">
        <v>77</v>
      </c>
      <c r="AY25" s="785" t="s">
        <v>77</v>
      </c>
      <c r="AZ25" s="781" t="s">
        <v>77</v>
      </c>
      <c r="BA25" s="772">
        <f>Y25+AG25</f>
        <v>143</v>
      </c>
      <c r="BB25" s="772">
        <f>R25</f>
        <v>2</v>
      </c>
      <c r="BC25" s="772">
        <f>S25+AA25+AI25</f>
        <v>145</v>
      </c>
    </row>
    <row r="26" spans="1:55">
      <c r="A26" s="772">
        <v>24</v>
      </c>
      <c r="B26" s="782" t="s">
        <v>226</v>
      </c>
      <c r="C26" s="783" t="s">
        <v>227</v>
      </c>
      <c r="D26" s="772" t="s">
        <v>77</v>
      </c>
      <c r="E26" s="772" t="s">
        <v>77</v>
      </c>
      <c r="F26" s="772" t="s">
        <v>77</v>
      </c>
      <c r="G26" s="772" t="s">
        <v>77</v>
      </c>
      <c r="H26" s="772" t="s">
        <v>77</v>
      </c>
      <c r="I26" s="772" t="s">
        <v>77</v>
      </c>
      <c r="J26" s="772" t="s">
        <v>77</v>
      </c>
      <c r="K26" s="772" t="s">
        <v>77</v>
      </c>
      <c r="L26" s="772" t="s">
        <v>77</v>
      </c>
      <c r="M26" s="772" t="s">
        <v>77</v>
      </c>
      <c r="N26" s="772" t="s">
        <v>77</v>
      </c>
      <c r="O26" s="772" t="s">
        <v>77</v>
      </c>
      <c r="P26" s="772" t="s">
        <v>77</v>
      </c>
      <c r="Q26" s="772" t="s">
        <v>77</v>
      </c>
      <c r="R26" s="772" t="s">
        <v>77</v>
      </c>
      <c r="S26" s="772" t="s">
        <v>77</v>
      </c>
      <c r="T26" s="772" t="s">
        <v>77</v>
      </c>
      <c r="U26" s="772" t="s">
        <v>77</v>
      </c>
      <c r="V26" s="772" t="s">
        <v>77</v>
      </c>
      <c r="W26" s="772" t="s">
        <v>77</v>
      </c>
      <c r="X26" s="772" t="s">
        <v>77</v>
      </c>
      <c r="Y26" s="772" t="s">
        <v>77</v>
      </c>
      <c r="Z26" s="772" t="s">
        <v>77</v>
      </c>
      <c r="AA26" s="772" t="s">
        <v>77</v>
      </c>
      <c r="AB26" s="785" t="s">
        <v>77</v>
      </c>
      <c r="AC26" s="785" t="s">
        <v>77</v>
      </c>
      <c r="AD26" s="785" t="s">
        <v>77</v>
      </c>
      <c r="AE26" s="785" t="s">
        <v>77</v>
      </c>
      <c r="AF26" s="785" t="s">
        <v>77</v>
      </c>
      <c r="AG26" s="785" t="s">
        <v>77</v>
      </c>
      <c r="AH26" s="785" t="s">
        <v>77</v>
      </c>
      <c r="AI26" s="785" t="s">
        <v>77</v>
      </c>
      <c r="AJ26" s="785" t="s">
        <v>77</v>
      </c>
      <c r="AK26" s="785" t="s">
        <v>77</v>
      </c>
      <c r="AL26" s="785" t="s">
        <v>77</v>
      </c>
      <c r="AM26" s="785" t="s">
        <v>77</v>
      </c>
      <c r="AN26" s="785" t="s">
        <v>77</v>
      </c>
      <c r="AO26" s="785" t="s">
        <v>77</v>
      </c>
      <c r="AP26" s="785" t="s">
        <v>77</v>
      </c>
      <c r="AQ26" s="785" t="s">
        <v>77</v>
      </c>
      <c r="AR26" s="785" t="s">
        <v>77</v>
      </c>
      <c r="AS26" s="785" t="s">
        <v>77</v>
      </c>
      <c r="AT26" s="772">
        <v>14</v>
      </c>
      <c r="AU26" s="772">
        <v>14</v>
      </c>
      <c r="AV26" s="785" t="s">
        <v>77</v>
      </c>
      <c r="AW26" s="785" t="s">
        <v>77</v>
      </c>
      <c r="AX26" s="785" t="s">
        <v>77</v>
      </c>
      <c r="AY26" s="785" t="s">
        <v>77</v>
      </c>
      <c r="AZ26" s="781" t="s">
        <v>77</v>
      </c>
      <c r="BA26" s="781" t="s">
        <v>77</v>
      </c>
      <c r="BB26" s="772">
        <f>AT26</f>
        <v>14</v>
      </c>
      <c r="BC26" s="772">
        <f>AU26</f>
        <v>14</v>
      </c>
    </row>
    <row r="27" spans="1:55">
      <c r="A27" s="650">
        <v>25</v>
      </c>
      <c r="B27" s="782" t="s">
        <v>40</v>
      </c>
      <c r="C27" s="783" t="s">
        <v>230</v>
      </c>
      <c r="D27" s="772" t="s">
        <v>77</v>
      </c>
      <c r="E27" s="772" t="s">
        <v>77</v>
      </c>
      <c r="F27" s="772" t="s">
        <v>77</v>
      </c>
      <c r="G27" s="772" t="s">
        <v>77</v>
      </c>
      <c r="H27" s="772" t="s">
        <v>77</v>
      </c>
      <c r="I27" s="772" t="s">
        <v>77</v>
      </c>
      <c r="J27" s="772" t="s">
        <v>77</v>
      </c>
      <c r="K27" s="772" t="s">
        <v>77</v>
      </c>
      <c r="L27" s="772" t="s">
        <v>77</v>
      </c>
      <c r="M27" s="772" t="s">
        <v>77</v>
      </c>
      <c r="N27" s="772" t="s">
        <v>77</v>
      </c>
      <c r="O27" s="772" t="s">
        <v>77</v>
      </c>
      <c r="P27" s="772" t="s">
        <v>77</v>
      </c>
      <c r="Q27" s="772" t="s">
        <v>77</v>
      </c>
      <c r="R27" s="772" t="s">
        <v>77</v>
      </c>
      <c r="S27" s="772" t="s">
        <v>77</v>
      </c>
      <c r="T27" s="772" t="s">
        <v>77</v>
      </c>
      <c r="U27" s="772" t="s">
        <v>77</v>
      </c>
      <c r="V27" s="772" t="s">
        <v>77</v>
      </c>
      <c r="W27" s="772" t="s">
        <v>77</v>
      </c>
      <c r="X27" s="772" t="s">
        <v>77</v>
      </c>
      <c r="Y27" s="772" t="s">
        <v>77</v>
      </c>
      <c r="Z27" s="772" t="s">
        <v>77</v>
      </c>
      <c r="AA27" s="772" t="s">
        <v>77</v>
      </c>
      <c r="AB27" s="785" t="s">
        <v>77</v>
      </c>
      <c r="AC27" s="785" t="s">
        <v>77</v>
      </c>
      <c r="AD27" s="785" t="s">
        <v>77</v>
      </c>
      <c r="AE27" s="785" t="s">
        <v>77</v>
      </c>
      <c r="AF27" s="785" t="s">
        <v>77</v>
      </c>
      <c r="AG27" s="785" t="s">
        <v>77</v>
      </c>
      <c r="AH27" s="785" t="s">
        <v>77</v>
      </c>
      <c r="AI27" s="785" t="s">
        <v>77</v>
      </c>
      <c r="AJ27" s="785" t="s">
        <v>77</v>
      </c>
      <c r="AK27" s="785" t="s">
        <v>77</v>
      </c>
      <c r="AL27" s="785" t="s">
        <v>77</v>
      </c>
      <c r="AM27" s="785" t="s">
        <v>77</v>
      </c>
      <c r="AN27" s="785" t="s">
        <v>77</v>
      </c>
      <c r="AO27" s="785" t="s">
        <v>77</v>
      </c>
      <c r="AP27" s="785" t="s">
        <v>77</v>
      </c>
      <c r="AQ27" s="785" t="s">
        <v>77</v>
      </c>
      <c r="AR27" s="785" t="s">
        <v>77</v>
      </c>
      <c r="AS27" s="785" t="s">
        <v>77</v>
      </c>
      <c r="AT27" s="785" t="s">
        <v>77</v>
      </c>
      <c r="AU27" s="785" t="s">
        <v>77</v>
      </c>
      <c r="AV27" s="785" t="s">
        <v>77</v>
      </c>
      <c r="AW27" s="785" t="s">
        <v>77</v>
      </c>
      <c r="AX27" s="785" t="s">
        <v>77</v>
      </c>
      <c r="AY27" s="785" t="s">
        <v>77</v>
      </c>
      <c r="AZ27" s="785" t="s">
        <v>77</v>
      </c>
      <c r="BA27" s="785" t="s">
        <v>77</v>
      </c>
      <c r="BB27" s="785" t="s">
        <v>77</v>
      </c>
      <c r="BC27" s="785" t="s">
        <v>77</v>
      </c>
    </row>
    <row r="28" spans="1:55">
      <c r="A28" s="772">
        <v>26</v>
      </c>
      <c r="B28" s="782" t="s">
        <v>42</v>
      </c>
      <c r="C28" s="783" t="s">
        <v>232</v>
      </c>
      <c r="D28" s="772" t="s">
        <v>77</v>
      </c>
      <c r="E28" s="772" t="s">
        <v>77</v>
      </c>
      <c r="F28" s="772" t="s">
        <v>77</v>
      </c>
      <c r="G28" s="772" t="s">
        <v>77</v>
      </c>
      <c r="H28" s="772" t="s">
        <v>77</v>
      </c>
      <c r="I28" s="772" t="s">
        <v>77</v>
      </c>
      <c r="J28" s="772" t="s">
        <v>77</v>
      </c>
      <c r="K28" s="772" t="s">
        <v>77</v>
      </c>
      <c r="L28" s="772" t="s">
        <v>77</v>
      </c>
      <c r="M28" s="772" t="s">
        <v>77</v>
      </c>
      <c r="N28" s="772" t="s">
        <v>77</v>
      </c>
      <c r="O28" s="772" t="s">
        <v>77</v>
      </c>
      <c r="P28" s="772" t="s">
        <v>77</v>
      </c>
      <c r="Q28" s="772" t="s">
        <v>77</v>
      </c>
      <c r="R28" s="772" t="s">
        <v>77</v>
      </c>
      <c r="S28" s="772" t="s">
        <v>77</v>
      </c>
      <c r="T28" s="772" t="s">
        <v>77</v>
      </c>
      <c r="U28" s="772" t="s">
        <v>77</v>
      </c>
      <c r="V28" s="772" t="s">
        <v>77</v>
      </c>
      <c r="W28" s="772" t="s">
        <v>77</v>
      </c>
      <c r="X28" s="772" t="s">
        <v>77</v>
      </c>
      <c r="Y28" s="772" t="s">
        <v>77</v>
      </c>
      <c r="Z28" s="772" t="s">
        <v>77</v>
      </c>
      <c r="AA28" s="772" t="s">
        <v>77</v>
      </c>
      <c r="AB28" s="785" t="s">
        <v>77</v>
      </c>
      <c r="AC28" s="785" t="s">
        <v>77</v>
      </c>
      <c r="AD28" s="785" t="s">
        <v>77</v>
      </c>
      <c r="AE28" s="785" t="s">
        <v>77</v>
      </c>
      <c r="AF28" s="785" t="s">
        <v>77</v>
      </c>
      <c r="AG28" s="785" t="s">
        <v>77</v>
      </c>
      <c r="AH28" s="785" t="s">
        <v>77</v>
      </c>
      <c r="AI28" s="785" t="s">
        <v>77</v>
      </c>
      <c r="AJ28" s="785" t="s">
        <v>77</v>
      </c>
      <c r="AK28" s="785" t="s">
        <v>77</v>
      </c>
      <c r="AL28" s="785" t="s">
        <v>77</v>
      </c>
      <c r="AM28" s="785" t="s">
        <v>77</v>
      </c>
      <c r="AN28" s="785" t="s">
        <v>77</v>
      </c>
      <c r="AO28" s="785" t="s">
        <v>77</v>
      </c>
      <c r="AP28" s="785" t="s">
        <v>77</v>
      </c>
      <c r="AQ28" s="785" t="s">
        <v>77</v>
      </c>
      <c r="AR28" s="785" t="s">
        <v>77</v>
      </c>
      <c r="AS28" s="785" t="s">
        <v>77</v>
      </c>
      <c r="AT28" s="785" t="s">
        <v>77</v>
      </c>
      <c r="AU28" s="785" t="s">
        <v>77</v>
      </c>
      <c r="AV28" s="785" t="s">
        <v>77</v>
      </c>
      <c r="AW28" s="785" t="s">
        <v>77</v>
      </c>
      <c r="AX28" s="785" t="s">
        <v>77</v>
      </c>
      <c r="AY28" s="785" t="s">
        <v>77</v>
      </c>
      <c r="AZ28" s="785" t="s">
        <v>77</v>
      </c>
      <c r="BA28" s="785" t="s">
        <v>77</v>
      </c>
      <c r="BB28" s="785" t="s">
        <v>77</v>
      </c>
      <c r="BC28" s="785" t="s">
        <v>77</v>
      </c>
    </row>
    <row r="29" spans="1:55">
      <c r="A29" s="772">
        <v>27</v>
      </c>
      <c r="B29" s="782" t="s">
        <v>44</v>
      </c>
      <c r="C29" s="783" t="s">
        <v>235</v>
      </c>
      <c r="D29" s="772" t="s">
        <v>77</v>
      </c>
      <c r="E29" s="772">
        <v>270</v>
      </c>
      <c r="F29" s="772" t="s">
        <v>77</v>
      </c>
      <c r="G29" s="772">
        <v>270</v>
      </c>
      <c r="H29" s="772" t="s">
        <v>77</v>
      </c>
      <c r="I29" s="772" t="s">
        <v>77</v>
      </c>
      <c r="J29" s="772">
        <v>34</v>
      </c>
      <c r="K29" s="772">
        <v>34</v>
      </c>
      <c r="L29" s="772" t="s">
        <v>77</v>
      </c>
      <c r="M29" s="772">
        <v>240</v>
      </c>
      <c r="N29" s="772" t="s">
        <v>77</v>
      </c>
      <c r="O29" s="772">
        <v>240</v>
      </c>
      <c r="P29" s="772" t="s">
        <v>77</v>
      </c>
      <c r="Q29" s="772">
        <v>257</v>
      </c>
      <c r="R29" s="772">
        <v>31</v>
      </c>
      <c r="S29" s="772">
        <v>288</v>
      </c>
      <c r="T29" s="772" t="s">
        <v>77</v>
      </c>
      <c r="U29" s="772">
        <v>262</v>
      </c>
      <c r="V29" s="772">
        <v>15</v>
      </c>
      <c r="W29" s="772">
        <v>277</v>
      </c>
      <c r="X29" s="772" t="s">
        <v>77</v>
      </c>
      <c r="Y29" s="772">
        <v>41</v>
      </c>
      <c r="Z29" s="772">
        <v>12</v>
      </c>
      <c r="AA29" s="772">
        <v>53</v>
      </c>
      <c r="AB29" s="781" t="s">
        <v>77</v>
      </c>
      <c r="AC29" s="772">
        <v>19</v>
      </c>
      <c r="AD29" s="772">
        <v>4</v>
      </c>
      <c r="AE29" s="772">
        <v>23</v>
      </c>
      <c r="AF29" s="785" t="s">
        <v>77</v>
      </c>
      <c r="AG29" s="785" t="s">
        <v>77</v>
      </c>
      <c r="AH29" s="785" t="s">
        <v>77</v>
      </c>
      <c r="AI29" s="785" t="s">
        <v>77</v>
      </c>
      <c r="AJ29" s="772"/>
      <c r="AK29" s="772">
        <v>299</v>
      </c>
      <c r="AL29" s="772">
        <v>6</v>
      </c>
      <c r="AM29" s="772">
        <v>305</v>
      </c>
      <c r="AN29" s="781" t="s">
        <v>77</v>
      </c>
      <c r="AO29" s="772">
        <v>25</v>
      </c>
      <c r="AP29" s="772">
        <v>33</v>
      </c>
      <c r="AQ29" s="772">
        <v>58</v>
      </c>
      <c r="AR29" s="781" t="s">
        <v>77</v>
      </c>
      <c r="AS29" s="772">
        <v>249</v>
      </c>
      <c r="AT29" s="772">
        <v>44</v>
      </c>
      <c r="AU29" s="772">
        <v>293</v>
      </c>
      <c r="AV29" s="781" t="s">
        <v>77</v>
      </c>
      <c r="AW29" s="772">
        <v>352</v>
      </c>
      <c r="AX29" s="772">
        <v>73</v>
      </c>
      <c r="AY29" s="772">
        <v>425</v>
      </c>
      <c r="AZ29" s="789" t="s">
        <v>77</v>
      </c>
      <c r="BA29" s="787">
        <f>E29+M29+Q29+U29+Y29+AC29+AK29+AO29+AS29+AW29</f>
        <v>2014</v>
      </c>
      <c r="BB29" s="787">
        <f>J29+R29+V29+Z29+AD29+AL29+AP29+AT29+AX29</f>
        <v>252</v>
      </c>
      <c r="BC29" s="787">
        <f>G29+K29+S29+O29+W29+AA29+AE29+AM29+AQ29+AU29+AY29</f>
        <v>2266</v>
      </c>
    </row>
    <row r="30" spans="1:55">
      <c r="A30" s="650">
        <v>28</v>
      </c>
      <c r="B30" s="782" t="s">
        <v>46</v>
      </c>
      <c r="C30" s="783" t="s">
        <v>1812</v>
      </c>
      <c r="D30" s="772" t="s">
        <v>77</v>
      </c>
      <c r="E30" s="772" t="s">
        <v>77</v>
      </c>
      <c r="F30" s="772" t="s">
        <v>77</v>
      </c>
      <c r="G30" s="772" t="s">
        <v>77</v>
      </c>
      <c r="H30" s="772" t="s">
        <v>77</v>
      </c>
      <c r="I30" s="772" t="s">
        <v>77</v>
      </c>
      <c r="J30" s="772" t="s">
        <v>77</v>
      </c>
      <c r="K30" s="772" t="s">
        <v>77</v>
      </c>
      <c r="L30" s="772" t="s">
        <v>77</v>
      </c>
      <c r="M30" s="772" t="s">
        <v>77</v>
      </c>
      <c r="N30" s="772" t="s">
        <v>77</v>
      </c>
      <c r="O30" s="772" t="s">
        <v>77</v>
      </c>
      <c r="P30" s="772" t="s">
        <v>77</v>
      </c>
      <c r="Q30" s="772" t="s">
        <v>77</v>
      </c>
      <c r="R30" s="772" t="s">
        <v>77</v>
      </c>
      <c r="S30" s="772" t="s">
        <v>77</v>
      </c>
      <c r="T30" s="772" t="s">
        <v>77</v>
      </c>
      <c r="U30" s="772" t="s">
        <v>77</v>
      </c>
      <c r="V30" s="772" t="s">
        <v>77</v>
      </c>
      <c r="W30" s="772" t="s">
        <v>77</v>
      </c>
      <c r="X30" s="772" t="s">
        <v>77</v>
      </c>
      <c r="Y30" s="772" t="s">
        <v>77</v>
      </c>
      <c r="Z30" s="772" t="s">
        <v>77</v>
      </c>
      <c r="AA30" s="772" t="s">
        <v>77</v>
      </c>
      <c r="AB30" s="785" t="s">
        <v>77</v>
      </c>
      <c r="AC30" s="785" t="s">
        <v>77</v>
      </c>
      <c r="AD30" s="785" t="s">
        <v>77</v>
      </c>
      <c r="AE30" s="785" t="s">
        <v>77</v>
      </c>
      <c r="AF30" s="785" t="s">
        <v>77</v>
      </c>
      <c r="AG30" s="785" t="s">
        <v>77</v>
      </c>
      <c r="AH30" s="785" t="s">
        <v>77</v>
      </c>
      <c r="AI30" s="785" t="s">
        <v>77</v>
      </c>
      <c r="AJ30" s="785" t="s">
        <v>77</v>
      </c>
      <c r="AK30" s="785" t="s">
        <v>77</v>
      </c>
      <c r="AL30" s="785" t="s">
        <v>77</v>
      </c>
      <c r="AM30" s="785" t="s">
        <v>77</v>
      </c>
      <c r="AN30" s="785" t="s">
        <v>77</v>
      </c>
      <c r="AO30" s="785" t="s">
        <v>77</v>
      </c>
      <c r="AP30" s="785" t="s">
        <v>77</v>
      </c>
      <c r="AQ30" s="785" t="s">
        <v>77</v>
      </c>
      <c r="AR30" s="785" t="s">
        <v>77</v>
      </c>
      <c r="AS30" s="785" t="s">
        <v>77</v>
      </c>
      <c r="AT30" s="785" t="s">
        <v>77</v>
      </c>
      <c r="AU30" s="785" t="s">
        <v>77</v>
      </c>
      <c r="AV30" s="785" t="s">
        <v>77</v>
      </c>
      <c r="AW30" s="785" t="s">
        <v>77</v>
      </c>
      <c r="AX30" s="785" t="s">
        <v>77</v>
      </c>
      <c r="AY30" s="785" t="s">
        <v>77</v>
      </c>
      <c r="AZ30" s="785" t="s">
        <v>77</v>
      </c>
      <c r="BA30" s="785" t="s">
        <v>77</v>
      </c>
      <c r="BB30" s="785" t="s">
        <v>77</v>
      </c>
      <c r="BC30" s="785" t="s">
        <v>77</v>
      </c>
    </row>
    <row r="31" spans="1:55">
      <c r="A31" s="772">
        <v>29</v>
      </c>
      <c r="B31" s="782" t="s">
        <v>48</v>
      </c>
      <c r="C31" s="783" t="s">
        <v>244</v>
      </c>
      <c r="D31" s="772" t="s">
        <v>77</v>
      </c>
      <c r="E31" s="772" t="s">
        <v>77</v>
      </c>
      <c r="F31" s="772" t="s">
        <v>77</v>
      </c>
      <c r="G31" s="772" t="s">
        <v>77</v>
      </c>
      <c r="H31" s="772" t="s">
        <v>77</v>
      </c>
      <c r="I31" s="772" t="s">
        <v>77</v>
      </c>
      <c r="J31" s="772">
        <v>46</v>
      </c>
      <c r="K31" s="772">
        <v>46</v>
      </c>
      <c r="L31" s="772" t="s">
        <v>77</v>
      </c>
      <c r="M31" s="772" t="s">
        <v>77</v>
      </c>
      <c r="N31" s="772" t="s">
        <v>77</v>
      </c>
      <c r="O31" s="772" t="s">
        <v>77</v>
      </c>
      <c r="P31" s="772" t="s">
        <v>77</v>
      </c>
      <c r="Q31" s="772" t="s">
        <v>77</v>
      </c>
      <c r="R31" s="772">
        <v>43</v>
      </c>
      <c r="S31" s="772">
        <v>43</v>
      </c>
      <c r="T31" s="772" t="s">
        <v>77</v>
      </c>
      <c r="U31" s="772" t="s">
        <v>77</v>
      </c>
      <c r="V31" s="772">
        <v>35</v>
      </c>
      <c r="W31" s="772">
        <v>35</v>
      </c>
      <c r="X31" s="772" t="s">
        <v>77</v>
      </c>
      <c r="Y31" s="772" t="s">
        <v>77</v>
      </c>
      <c r="Z31" s="772">
        <v>43</v>
      </c>
      <c r="AA31" s="772">
        <v>43</v>
      </c>
      <c r="AB31" s="785" t="s">
        <v>77</v>
      </c>
      <c r="AC31" s="785" t="s">
        <v>77</v>
      </c>
      <c r="AD31" s="785" t="s">
        <v>77</v>
      </c>
      <c r="AE31" s="785" t="s">
        <v>77</v>
      </c>
      <c r="AF31" s="772"/>
      <c r="AG31" s="772"/>
      <c r="AH31" s="772">
        <v>57</v>
      </c>
      <c r="AI31" s="772">
        <v>57</v>
      </c>
      <c r="AJ31" s="785" t="s">
        <v>77</v>
      </c>
      <c r="AK31" s="785" t="s">
        <v>77</v>
      </c>
      <c r="AL31" s="785" t="s">
        <v>77</v>
      </c>
      <c r="AM31" s="785" t="s">
        <v>77</v>
      </c>
      <c r="AN31" s="785" t="s">
        <v>77</v>
      </c>
      <c r="AO31" s="781" t="s">
        <v>77</v>
      </c>
      <c r="AP31" s="772">
        <v>27</v>
      </c>
      <c r="AQ31" s="772">
        <v>27</v>
      </c>
      <c r="AR31" s="781" t="s">
        <v>77</v>
      </c>
      <c r="AS31" s="781" t="s">
        <v>77</v>
      </c>
      <c r="AT31" s="772">
        <v>14</v>
      </c>
      <c r="AU31" s="772">
        <v>14</v>
      </c>
      <c r="AV31" s="785" t="s">
        <v>77</v>
      </c>
      <c r="AW31" s="785" t="s">
        <v>77</v>
      </c>
      <c r="AX31" s="785" t="s">
        <v>77</v>
      </c>
      <c r="AY31" s="785" t="s">
        <v>77</v>
      </c>
      <c r="AZ31" s="785" t="s">
        <v>77</v>
      </c>
      <c r="BA31" s="785" t="s">
        <v>77</v>
      </c>
      <c r="BB31" s="787">
        <f>J31+R31+V31+Z31+AH31+AP31+AT31</f>
        <v>265</v>
      </c>
      <c r="BC31" s="787">
        <v>265</v>
      </c>
    </row>
    <row r="32" spans="1:55">
      <c r="A32" s="772">
        <v>30</v>
      </c>
      <c r="B32" s="782" t="s">
        <v>50</v>
      </c>
      <c r="C32" s="783" t="s">
        <v>249</v>
      </c>
      <c r="D32" s="772" t="s">
        <v>77</v>
      </c>
      <c r="E32" s="772" t="s">
        <v>77</v>
      </c>
      <c r="F32" s="772" t="s">
        <v>77</v>
      </c>
      <c r="G32" s="772" t="s">
        <v>77</v>
      </c>
      <c r="H32" s="772" t="s">
        <v>77</v>
      </c>
      <c r="I32" s="772" t="s">
        <v>77</v>
      </c>
      <c r="J32" s="772" t="s">
        <v>77</v>
      </c>
      <c r="K32" s="772" t="s">
        <v>77</v>
      </c>
      <c r="L32" s="772" t="s">
        <v>77</v>
      </c>
      <c r="M32" s="772" t="s">
        <v>77</v>
      </c>
      <c r="N32" s="772" t="s">
        <v>77</v>
      </c>
      <c r="O32" s="772" t="s">
        <v>77</v>
      </c>
      <c r="P32" s="772" t="s">
        <v>77</v>
      </c>
      <c r="Q32" s="772" t="s">
        <v>77</v>
      </c>
      <c r="R32" s="772" t="s">
        <v>77</v>
      </c>
      <c r="S32" s="772" t="s">
        <v>77</v>
      </c>
      <c r="T32" s="772" t="s">
        <v>77</v>
      </c>
      <c r="U32" s="772" t="s">
        <v>77</v>
      </c>
      <c r="V32" s="772" t="s">
        <v>77</v>
      </c>
      <c r="W32" s="772" t="s">
        <v>77</v>
      </c>
      <c r="X32" s="772" t="s">
        <v>77</v>
      </c>
      <c r="Y32" s="772" t="s">
        <v>77</v>
      </c>
      <c r="Z32" s="772" t="s">
        <v>77</v>
      </c>
      <c r="AA32" s="772" t="s">
        <v>77</v>
      </c>
      <c r="AB32" s="785" t="s">
        <v>77</v>
      </c>
      <c r="AC32" s="785" t="s">
        <v>77</v>
      </c>
      <c r="AD32" s="785" t="s">
        <v>77</v>
      </c>
      <c r="AE32" s="785" t="s">
        <v>77</v>
      </c>
      <c r="AF32" s="785" t="s">
        <v>77</v>
      </c>
      <c r="AG32" s="785" t="s">
        <v>77</v>
      </c>
      <c r="AH32" s="785" t="s">
        <v>77</v>
      </c>
      <c r="AI32" s="785" t="s">
        <v>77</v>
      </c>
      <c r="AJ32" s="785" t="s">
        <v>77</v>
      </c>
      <c r="AK32" s="785" t="s">
        <v>77</v>
      </c>
      <c r="AL32" s="785" t="s">
        <v>77</v>
      </c>
      <c r="AM32" s="785" t="s">
        <v>77</v>
      </c>
      <c r="AN32" s="785" t="s">
        <v>77</v>
      </c>
      <c r="AO32" s="785" t="s">
        <v>77</v>
      </c>
      <c r="AP32" s="785" t="s">
        <v>77</v>
      </c>
      <c r="AQ32" s="785" t="s">
        <v>77</v>
      </c>
      <c r="AR32" s="785" t="s">
        <v>77</v>
      </c>
      <c r="AS32" s="785" t="s">
        <v>77</v>
      </c>
      <c r="AT32" s="785" t="s">
        <v>77</v>
      </c>
      <c r="AU32" s="785" t="s">
        <v>77</v>
      </c>
      <c r="AV32" s="785" t="s">
        <v>77</v>
      </c>
      <c r="AW32" s="785" t="s">
        <v>77</v>
      </c>
      <c r="AX32" s="785" t="s">
        <v>77</v>
      </c>
      <c r="AY32" s="785" t="s">
        <v>77</v>
      </c>
      <c r="AZ32" s="785" t="s">
        <v>77</v>
      </c>
      <c r="BA32" s="785" t="s">
        <v>77</v>
      </c>
      <c r="BB32" s="785" t="s">
        <v>77</v>
      </c>
      <c r="BC32" s="785" t="s">
        <v>77</v>
      </c>
    </row>
    <row r="33" spans="1:55">
      <c r="A33" s="650">
        <v>31</v>
      </c>
      <c r="B33" s="782" t="s">
        <v>52</v>
      </c>
      <c r="C33" s="783" t="s">
        <v>1813</v>
      </c>
      <c r="D33" s="790" t="s">
        <v>77</v>
      </c>
      <c r="E33" s="790" t="s">
        <v>77</v>
      </c>
      <c r="F33" s="790" t="s">
        <v>77</v>
      </c>
      <c r="G33" s="790" t="s">
        <v>77</v>
      </c>
      <c r="H33" s="780"/>
      <c r="I33" s="780"/>
      <c r="J33" s="780"/>
      <c r="K33" s="780"/>
      <c r="L33" s="780"/>
      <c r="M33" s="780"/>
      <c r="N33" s="780"/>
      <c r="O33" s="780"/>
      <c r="P33" s="780"/>
      <c r="Q33" s="780"/>
      <c r="R33" s="780"/>
      <c r="S33" s="780"/>
      <c r="T33" s="780"/>
      <c r="U33" s="780"/>
      <c r="V33" s="780"/>
      <c r="W33" s="780"/>
      <c r="X33" s="780"/>
      <c r="Y33" s="780"/>
      <c r="Z33" s="780"/>
      <c r="AA33" s="780"/>
      <c r="AB33" s="778" t="s">
        <v>77</v>
      </c>
      <c r="AC33" s="778" t="s">
        <v>77</v>
      </c>
      <c r="AD33" s="778" t="s">
        <v>77</v>
      </c>
      <c r="AE33" s="778" t="s">
        <v>77</v>
      </c>
      <c r="AF33" s="772">
        <v>6</v>
      </c>
      <c r="AG33" s="781" t="s">
        <v>77</v>
      </c>
      <c r="AH33" s="781" t="s">
        <v>77</v>
      </c>
      <c r="AI33" s="781" t="s">
        <v>77</v>
      </c>
      <c r="AJ33" s="772">
        <v>1</v>
      </c>
      <c r="AK33" s="772">
        <v>134</v>
      </c>
      <c r="AL33" s="772">
        <v>490</v>
      </c>
      <c r="AM33" s="772">
        <v>624</v>
      </c>
      <c r="AN33" s="772">
        <v>1</v>
      </c>
      <c r="AO33" s="772">
        <v>72</v>
      </c>
      <c r="AP33" s="772">
        <v>14</v>
      </c>
      <c r="AQ33" s="772">
        <v>86</v>
      </c>
      <c r="AR33" s="772">
        <v>2</v>
      </c>
      <c r="AS33" s="772">
        <v>393</v>
      </c>
      <c r="AT33" s="772">
        <v>767</v>
      </c>
      <c r="AU33" s="772">
        <v>1160</v>
      </c>
      <c r="AV33" s="772">
        <v>2</v>
      </c>
      <c r="AW33" s="772">
        <v>143</v>
      </c>
      <c r="AX33" s="772">
        <v>33</v>
      </c>
      <c r="AY33" s="772">
        <v>176</v>
      </c>
      <c r="AZ33" s="772">
        <f>AF33+AJ33+AN33+AR33+AV33</f>
        <v>12</v>
      </c>
      <c r="BA33" s="772">
        <f>AK33+AO33+AS33</f>
        <v>599</v>
      </c>
      <c r="BB33" s="772">
        <f>AL33+AP33+AT33</f>
        <v>1271</v>
      </c>
      <c r="BC33" s="772">
        <f>AM33+AQ33+AU33</f>
        <v>1870</v>
      </c>
    </row>
    <row r="34" spans="1:55">
      <c r="A34" s="772">
        <v>32</v>
      </c>
      <c r="B34" s="782" t="s">
        <v>54</v>
      </c>
      <c r="C34" s="783" t="s">
        <v>1814</v>
      </c>
      <c r="D34" s="790" t="s">
        <v>77</v>
      </c>
      <c r="E34" s="790" t="s">
        <v>77</v>
      </c>
      <c r="F34" s="790" t="s">
        <v>77</v>
      </c>
      <c r="G34" s="790" t="s">
        <v>77</v>
      </c>
      <c r="H34" s="780"/>
      <c r="I34" s="780"/>
      <c r="J34" s="780"/>
      <c r="K34" s="780"/>
      <c r="L34" s="780"/>
      <c r="M34" s="780"/>
      <c r="N34" s="780"/>
      <c r="O34" s="780"/>
      <c r="P34" s="780"/>
      <c r="Q34" s="780"/>
      <c r="R34" s="780"/>
      <c r="S34" s="780"/>
      <c r="T34" s="780"/>
      <c r="U34" s="780"/>
      <c r="V34" s="780"/>
      <c r="W34" s="780"/>
      <c r="X34" s="780"/>
      <c r="Y34" s="780"/>
      <c r="Z34" s="780"/>
      <c r="AA34" s="780"/>
      <c r="AB34" s="778" t="s">
        <v>77</v>
      </c>
      <c r="AC34" s="778" t="s">
        <v>77</v>
      </c>
      <c r="AD34" s="778" t="s">
        <v>77</v>
      </c>
      <c r="AE34" s="778" t="s">
        <v>77</v>
      </c>
      <c r="AF34" s="785" t="s">
        <v>77</v>
      </c>
      <c r="AG34" s="785" t="s">
        <v>77</v>
      </c>
      <c r="AH34" s="785" t="s">
        <v>77</v>
      </c>
      <c r="AI34" s="785" t="s">
        <v>77</v>
      </c>
      <c r="AJ34" s="785" t="s">
        <v>77</v>
      </c>
      <c r="AK34" s="785" t="s">
        <v>77</v>
      </c>
      <c r="AL34" s="785" t="s">
        <v>77</v>
      </c>
      <c r="AM34" s="785" t="s">
        <v>77</v>
      </c>
      <c r="AN34" s="785" t="s">
        <v>77</v>
      </c>
      <c r="AO34" s="785" t="s">
        <v>77</v>
      </c>
      <c r="AP34" s="785" t="s">
        <v>77</v>
      </c>
      <c r="AQ34" s="785" t="s">
        <v>77</v>
      </c>
      <c r="AR34" s="785" t="s">
        <v>77</v>
      </c>
      <c r="AS34" s="785" t="s">
        <v>77</v>
      </c>
      <c r="AT34" s="785" t="s">
        <v>77</v>
      </c>
      <c r="AU34" s="785" t="s">
        <v>77</v>
      </c>
      <c r="AV34" s="785" t="s">
        <v>77</v>
      </c>
      <c r="AW34" s="785" t="s">
        <v>77</v>
      </c>
      <c r="AX34" s="785" t="s">
        <v>77</v>
      </c>
      <c r="AY34" s="785" t="s">
        <v>77</v>
      </c>
      <c r="AZ34" s="785" t="s">
        <v>77</v>
      </c>
      <c r="BA34" s="785" t="s">
        <v>77</v>
      </c>
      <c r="BB34" s="785" t="s">
        <v>77</v>
      </c>
      <c r="BC34" s="785" t="s">
        <v>77</v>
      </c>
    </row>
    <row r="35" spans="1:55">
      <c r="A35" s="772">
        <v>33</v>
      </c>
      <c r="B35" s="782" t="s">
        <v>56</v>
      </c>
      <c r="C35" s="783" t="s">
        <v>1844</v>
      </c>
      <c r="D35" s="790" t="s">
        <v>77</v>
      </c>
      <c r="E35" s="790" t="s">
        <v>77</v>
      </c>
      <c r="F35" s="790" t="s">
        <v>77</v>
      </c>
      <c r="G35" s="790" t="s">
        <v>77</v>
      </c>
      <c r="H35" s="780"/>
      <c r="I35" s="780"/>
      <c r="J35" s="780"/>
      <c r="K35" s="780"/>
      <c r="L35" s="780"/>
      <c r="M35" s="780"/>
      <c r="N35" s="780"/>
      <c r="O35" s="780"/>
      <c r="P35" s="780"/>
      <c r="Q35" s="780"/>
      <c r="R35" s="780"/>
      <c r="S35" s="780"/>
      <c r="T35" s="780"/>
      <c r="U35" s="780"/>
      <c r="V35" s="780"/>
      <c r="W35" s="780"/>
      <c r="X35" s="780"/>
      <c r="Y35" s="780"/>
      <c r="Z35" s="780"/>
      <c r="AA35" s="780"/>
      <c r="AB35" s="778" t="s">
        <v>77</v>
      </c>
      <c r="AC35" s="778" t="s">
        <v>77</v>
      </c>
      <c r="AD35" s="778" t="s">
        <v>77</v>
      </c>
      <c r="AE35" s="778" t="s">
        <v>77</v>
      </c>
      <c r="AF35" s="785" t="s">
        <v>77</v>
      </c>
      <c r="AG35" s="785" t="s">
        <v>77</v>
      </c>
      <c r="AH35" s="785" t="s">
        <v>77</v>
      </c>
      <c r="AI35" s="785" t="s">
        <v>77</v>
      </c>
      <c r="AJ35" s="785" t="s">
        <v>77</v>
      </c>
      <c r="AK35" s="785" t="s">
        <v>77</v>
      </c>
      <c r="AL35" s="785" t="s">
        <v>77</v>
      </c>
      <c r="AM35" s="785" t="s">
        <v>77</v>
      </c>
      <c r="AN35" s="785" t="s">
        <v>77</v>
      </c>
      <c r="AO35" s="785" t="s">
        <v>77</v>
      </c>
      <c r="AP35" s="785" t="s">
        <v>77</v>
      </c>
      <c r="AQ35" s="785" t="s">
        <v>77</v>
      </c>
      <c r="AR35" s="785" t="s">
        <v>77</v>
      </c>
      <c r="AS35" s="785" t="s">
        <v>77</v>
      </c>
      <c r="AT35" s="785" t="s">
        <v>77</v>
      </c>
      <c r="AU35" s="785" t="s">
        <v>77</v>
      </c>
      <c r="AV35" s="785" t="s">
        <v>77</v>
      </c>
      <c r="AW35" s="785" t="s">
        <v>77</v>
      </c>
      <c r="AX35" s="785" t="s">
        <v>77</v>
      </c>
      <c r="AY35" s="785" t="s">
        <v>77</v>
      </c>
      <c r="AZ35" s="785" t="s">
        <v>77</v>
      </c>
      <c r="BA35" s="785" t="s">
        <v>77</v>
      </c>
      <c r="BB35" s="785" t="s">
        <v>77</v>
      </c>
      <c r="BC35" s="785" t="s">
        <v>77</v>
      </c>
    </row>
    <row r="36" spans="1:55">
      <c r="A36" s="650">
        <v>34</v>
      </c>
      <c r="B36" s="782" t="s">
        <v>237</v>
      </c>
      <c r="C36" s="786" t="s">
        <v>238</v>
      </c>
      <c r="D36" s="772" t="s">
        <v>77</v>
      </c>
      <c r="E36" s="772">
        <v>582</v>
      </c>
      <c r="F36" s="772">
        <v>360</v>
      </c>
      <c r="G36" s="772">
        <v>942</v>
      </c>
      <c r="H36" s="772" t="s">
        <v>77</v>
      </c>
      <c r="I36" s="772" t="s">
        <v>77</v>
      </c>
      <c r="J36" s="772" t="s">
        <v>77</v>
      </c>
      <c r="K36" s="772" t="s">
        <v>77</v>
      </c>
      <c r="L36" s="772" t="s">
        <v>77</v>
      </c>
      <c r="M36" s="772" t="s">
        <v>77</v>
      </c>
      <c r="N36" s="772" t="s">
        <v>77</v>
      </c>
      <c r="O36" s="772" t="s">
        <v>77</v>
      </c>
      <c r="P36" s="772" t="s">
        <v>77</v>
      </c>
      <c r="Q36" s="772" t="s">
        <v>77</v>
      </c>
      <c r="R36" s="772" t="s">
        <v>77</v>
      </c>
      <c r="S36" s="772" t="s">
        <v>77</v>
      </c>
      <c r="T36" s="772" t="s">
        <v>77</v>
      </c>
      <c r="U36" s="772" t="s">
        <v>77</v>
      </c>
      <c r="V36" s="772" t="s">
        <v>77</v>
      </c>
      <c r="W36" s="772" t="s">
        <v>77</v>
      </c>
      <c r="X36" s="772" t="s">
        <v>77</v>
      </c>
      <c r="Y36" s="772" t="s">
        <v>77</v>
      </c>
      <c r="Z36" s="772" t="s">
        <v>77</v>
      </c>
      <c r="AA36" s="772" t="s">
        <v>77</v>
      </c>
      <c r="AB36" s="785" t="s">
        <v>77</v>
      </c>
      <c r="AC36" s="785" t="s">
        <v>77</v>
      </c>
      <c r="AD36" s="785" t="s">
        <v>77</v>
      </c>
      <c r="AE36" s="785" t="s">
        <v>77</v>
      </c>
      <c r="AF36" s="785" t="s">
        <v>77</v>
      </c>
      <c r="AG36" s="785" t="s">
        <v>77</v>
      </c>
      <c r="AH36" s="785" t="s">
        <v>77</v>
      </c>
      <c r="AI36" s="785" t="s">
        <v>77</v>
      </c>
      <c r="AJ36" s="785" t="s">
        <v>77</v>
      </c>
      <c r="AK36" s="785" t="s">
        <v>77</v>
      </c>
      <c r="AL36" s="785" t="s">
        <v>77</v>
      </c>
      <c r="AM36" s="785" t="s">
        <v>77</v>
      </c>
      <c r="AN36" s="785" t="s">
        <v>77</v>
      </c>
      <c r="AO36" s="785" t="s">
        <v>77</v>
      </c>
      <c r="AP36" s="785" t="s">
        <v>77</v>
      </c>
      <c r="AQ36" s="785" t="s">
        <v>77</v>
      </c>
      <c r="AR36" s="785" t="s">
        <v>77</v>
      </c>
      <c r="AS36" s="785" t="s">
        <v>77</v>
      </c>
      <c r="AT36" s="785" t="s">
        <v>77</v>
      </c>
      <c r="AU36" s="785" t="s">
        <v>77</v>
      </c>
      <c r="AV36" s="785" t="s">
        <v>77</v>
      </c>
      <c r="AW36" s="785" t="s">
        <v>77</v>
      </c>
      <c r="AX36" s="785" t="s">
        <v>77</v>
      </c>
      <c r="AY36" s="785" t="s">
        <v>77</v>
      </c>
      <c r="AZ36" s="785" t="s">
        <v>77</v>
      </c>
      <c r="BA36" s="772">
        <f>E36</f>
        <v>582</v>
      </c>
      <c r="BB36" s="772">
        <f>F36</f>
        <v>360</v>
      </c>
      <c r="BC36" s="772">
        <f>G36</f>
        <v>942</v>
      </c>
    </row>
    <row r="37" spans="1:55">
      <c r="A37" s="772">
        <v>35</v>
      </c>
      <c r="B37" s="782" t="s">
        <v>154</v>
      </c>
      <c r="C37" s="786" t="s">
        <v>155</v>
      </c>
      <c r="D37" s="772">
        <v>2</v>
      </c>
      <c r="E37" s="772">
        <v>2</v>
      </c>
      <c r="F37" s="772">
        <v>364</v>
      </c>
      <c r="G37" s="772">
        <v>366</v>
      </c>
      <c r="H37" s="772" t="s">
        <v>77</v>
      </c>
      <c r="I37" s="772">
        <v>28</v>
      </c>
      <c r="J37" s="772">
        <v>148</v>
      </c>
      <c r="K37" s="772">
        <v>176</v>
      </c>
      <c r="L37" s="772" t="s">
        <v>77</v>
      </c>
      <c r="M37" s="772">
        <v>15</v>
      </c>
      <c r="N37" s="772">
        <v>15</v>
      </c>
      <c r="O37" s="772">
        <v>30</v>
      </c>
      <c r="P37" s="772" t="s">
        <v>77</v>
      </c>
      <c r="Q37" s="772">
        <v>8</v>
      </c>
      <c r="R37" s="772">
        <v>135</v>
      </c>
      <c r="S37" s="772">
        <v>143</v>
      </c>
      <c r="T37" s="772" t="s">
        <v>77</v>
      </c>
      <c r="U37" s="772">
        <v>67</v>
      </c>
      <c r="V37" s="772">
        <v>136</v>
      </c>
      <c r="W37" s="772">
        <v>203</v>
      </c>
      <c r="X37" s="772" t="s">
        <v>77</v>
      </c>
      <c r="Y37" s="772" t="s">
        <v>77</v>
      </c>
      <c r="Z37" s="772">
        <v>58</v>
      </c>
      <c r="AA37" s="772">
        <v>58</v>
      </c>
      <c r="AB37" s="781" t="s">
        <v>77</v>
      </c>
      <c r="AC37" s="781" t="s">
        <v>77</v>
      </c>
      <c r="AD37" s="772">
        <v>84</v>
      </c>
      <c r="AE37" s="772">
        <v>84</v>
      </c>
      <c r="AF37" s="772"/>
      <c r="AG37" s="772">
        <v>82</v>
      </c>
      <c r="AH37" s="772">
        <v>40</v>
      </c>
      <c r="AI37" s="772">
        <v>122</v>
      </c>
      <c r="AJ37" s="772">
        <v>1</v>
      </c>
      <c r="AK37" s="772"/>
      <c r="AL37" s="772">
        <v>7</v>
      </c>
      <c r="AM37" s="772">
        <v>7</v>
      </c>
      <c r="AN37" s="785" t="s">
        <v>77</v>
      </c>
      <c r="AO37" s="785" t="s">
        <v>77</v>
      </c>
      <c r="AP37" s="785" t="s">
        <v>77</v>
      </c>
      <c r="AQ37" s="785" t="s">
        <v>77</v>
      </c>
      <c r="AR37" s="785" t="s">
        <v>77</v>
      </c>
      <c r="AS37" s="785" t="s">
        <v>77</v>
      </c>
      <c r="AT37" s="785" t="s">
        <v>77</v>
      </c>
      <c r="AU37" s="785" t="s">
        <v>77</v>
      </c>
      <c r="AV37" s="785" t="s">
        <v>77</v>
      </c>
      <c r="AW37" s="785" t="s">
        <v>77</v>
      </c>
      <c r="AX37" s="785" t="s">
        <v>77</v>
      </c>
      <c r="AY37" s="785" t="s">
        <v>77</v>
      </c>
      <c r="AZ37" s="772">
        <f>D37+AJ37</f>
        <v>3</v>
      </c>
      <c r="BA37" s="772">
        <f>E37+I37+M37+Q37+U37+AG37</f>
        <v>202</v>
      </c>
      <c r="BB37" s="772">
        <f>F37+J37+N37+R37+V37+Z37+AD37+AH37+AL37</f>
        <v>987</v>
      </c>
      <c r="BC37" s="772">
        <f>G37+K37+O37+S37+W37+AA37+AE37+AI37+AM37</f>
        <v>1189</v>
      </c>
    </row>
    <row r="38" spans="1:55">
      <c r="A38" s="772">
        <v>36</v>
      </c>
      <c r="B38" s="782" t="s">
        <v>2461</v>
      </c>
      <c r="C38" s="786" t="s">
        <v>252</v>
      </c>
      <c r="D38" s="772" t="s">
        <v>77</v>
      </c>
      <c r="E38" s="772" t="s">
        <v>77</v>
      </c>
      <c r="F38" s="772" t="s">
        <v>77</v>
      </c>
      <c r="G38" s="772" t="s">
        <v>77</v>
      </c>
      <c r="H38" s="772">
        <v>1</v>
      </c>
      <c r="I38" s="772" t="s">
        <v>77</v>
      </c>
      <c r="J38" s="772" t="s">
        <v>77</v>
      </c>
      <c r="K38" s="772" t="s">
        <v>77</v>
      </c>
      <c r="L38" s="772" t="s">
        <v>77</v>
      </c>
      <c r="M38" s="772" t="s">
        <v>77</v>
      </c>
      <c r="N38" s="772" t="s">
        <v>77</v>
      </c>
      <c r="O38" s="772" t="s">
        <v>77</v>
      </c>
      <c r="P38" s="772" t="s">
        <v>77</v>
      </c>
      <c r="Q38" s="772" t="s">
        <v>77</v>
      </c>
      <c r="R38" s="772" t="s">
        <v>77</v>
      </c>
      <c r="S38" s="772" t="s">
        <v>77</v>
      </c>
      <c r="T38" s="772" t="s">
        <v>77</v>
      </c>
      <c r="U38" s="772" t="s">
        <v>77</v>
      </c>
      <c r="V38" s="772" t="s">
        <v>77</v>
      </c>
      <c r="W38" s="772" t="s">
        <v>77</v>
      </c>
      <c r="X38" s="772" t="s">
        <v>77</v>
      </c>
      <c r="Y38" s="772" t="s">
        <v>77</v>
      </c>
      <c r="Z38" s="772" t="s">
        <v>77</v>
      </c>
      <c r="AA38" s="772" t="s">
        <v>77</v>
      </c>
      <c r="AB38" s="785" t="s">
        <v>77</v>
      </c>
      <c r="AC38" s="785" t="s">
        <v>77</v>
      </c>
      <c r="AD38" s="785" t="s">
        <v>77</v>
      </c>
      <c r="AE38" s="785" t="s">
        <v>77</v>
      </c>
      <c r="AF38" s="785" t="s">
        <v>77</v>
      </c>
      <c r="AG38" s="785" t="s">
        <v>77</v>
      </c>
      <c r="AH38" s="785" t="s">
        <v>77</v>
      </c>
      <c r="AI38" s="785" t="s">
        <v>77</v>
      </c>
      <c r="AJ38" s="785" t="s">
        <v>77</v>
      </c>
      <c r="AK38" s="785" t="s">
        <v>77</v>
      </c>
      <c r="AL38" s="785" t="s">
        <v>77</v>
      </c>
      <c r="AM38" s="785" t="s">
        <v>77</v>
      </c>
      <c r="AN38" s="785" t="s">
        <v>77</v>
      </c>
      <c r="AO38" s="785" t="s">
        <v>77</v>
      </c>
      <c r="AP38" s="785" t="s">
        <v>77</v>
      </c>
      <c r="AQ38" s="785" t="s">
        <v>77</v>
      </c>
      <c r="AR38" s="785" t="s">
        <v>77</v>
      </c>
      <c r="AS38" s="785" t="s">
        <v>77</v>
      </c>
      <c r="AT38" s="785" t="s">
        <v>77</v>
      </c>
      <c r="AU38" s="785" t="s">
        <v>77</v>
      </c>
      <c r="AV38" s="785" t="s">
        <v>77</v>
      </c>
      <c r="AW38" s="785" t="s">
        <v>77</v>
      </c>
      <c r="AX38" s="785" t="s">
        <v>77</v>
      </c>
      <c r="AY38" s="785" t="s">
        <v>77</v>
      </c>
      <c r="AZ38" s="785" t="s">
        <v>77</v>
      </c>
      <c r="BA38" s="785" t="s">
        <v>77</v>
      </c>
      <c r="BB38" s="785" t="s">
        <v>77</v>
      </c>
      <c r="BC38" s="785" t="s">
        <v>77</v>
      </c>
    </row>
    <row r="39" spans="1:55">
      <c r="A39" s="650">
        <v>37</v>
      </c>
      <c r="B39" s="782" t="s">
        <v>246</v>
      </c>
      <c r="C39" s="786" t="s">
        <v>247</v>
      </c>
      <c r="D39" s="772" t="s">
        <v>77</v>
      </c>
      <c r="E39" s="772" t="s">
        <v>77</v>
      </c>
      <c r="F39" s="772" t="s">
        <v>77</v>
      </c>
      <c r="G39" s="772" t="s">
        <v>77</v>
      </c>
      <c r="H39" s="772" t="s">
        <v>77</v>
      </c>
      <c r="I39" s="772">
        <v>270</v>
      </c>
      <c r="J39" s="772" t="s">
        <v>77</v>
      </c>
      <c r="K39" s="772">
        <v>270</v>
      </c>
      <c r="L39" s="772" t="s">
        <v>77</v>
      </c>
      <c r="M39" s="772" t="s">
        <v>77</v>
      </c>
      <c r="N39" s="772" t="s">
        <v>77</v>
      </c>
      <c r="O39" s="772" t="s">
        <v>77</v>
      </c>
      <c r="P39" s="772" t="s">
        <v>77</v>
      </c>
      <c r="Q39" s="772" t="s">
        <v>77</v>
      </c>
      <c r="R39" s="772" t="s">
        <v>77</v>
      </c>
      <c r="S39" s="772" t="s">
        <v>77</v>
      </c>
      <c r="T39" s="772" t="s">
        <v>77</v>
      </c>
      <c r="U39" s="772" t="s">
        <v>77</v>
      </c>
      <c r="V39" s="772" t="s">
        <v>77</v>
      </c>
      <c r="W39" s="772" t="s">
        <v>77</v>
      </c>
      <c r="X39" s="772" t="s">
        <v>77</v>
      </c>
      <c r="Y39" s="772" t="s">
        <v>77</v>
      </c>
      <c r="Z39" s="772" t="s">
        <v>77</v>
      </c>
      <c r="AA39" s="772" t="s">
        <v>77</v>
      </c>
      <c r="AB39" s="785" t="s">
        <v>77</v>
      </c>
      <c r="AC39" s="785" t="s">
        <v>77</v>
      </c>
      <c r="AD39" s="785" t="s">
        <v>77</v>
      </c>
      <c r="AE39" s="785" t="s">
        <v>77</v>
      </c>
      <c r="AF39" s="785" t="s">
        <v>77</v>
      </c>
      <c r="AG39" s="785" t="s">
        <v>77</v>
      </c>
      <c r="AH39" s="785" t="s">
        <v>77</v>
      </c>
      <c r="AI39" s="785" t="s">
        <v>77</v>
      </c>
      <c r="AJ39" s="785" t="s">
        <v>77</v>
      </c>
      <c r="AK39" s="785" t="s">
        <v>77</v>
      </c>
      <c r="AL39" s="785" t="s">
        <v>77</v>
      </c>
      <c r="AM39" s="785" t="s">
        <v>77</v>
      </c>
      <c r="AN39" s="785" t="s">
        <v>77</v>
      </c>
      <c r="AO39" s="785" t="s">
        <v>77</v>
      </c>
      <c r="AP39" s="785" t="s">
        <v>77</v>
      </c>
      <c r="AQ39" s="785" t="s">
        <v>77</v>
      </c>
      <c r="AR39" s="785" t="s">
        <v>77</v>
      </c>
      <c r="AS39" s="785" t="s">
        <v>77</v>
      </c>
      <c r="AT39" s="785" t="s">
        <v>77</v>
      </c>
      <c r="AU39" s="785" t="s">
        <v>77</v>
      </c>
      <c r="AV39" s="785" t="s">
        <v>77</v>
      </c>
      <c r="AW39" s="785" t="s">
        <v>77</v>
      </c>
      <c r="AX39" s="785" t="s">
        <v>77</v>
      </c>
      <c r="AY39" s="785" t="s">
        <v>77</v>
      </c>
      <c r="AZ39" s="785" t="s">
        <v>77</v>
      </c>
      <c r="BA39" s="772">
        <f>I39</f>
        <v>270</v>
      </c>
      <c r="BB39" s="785" t="s">
        <v>77</v>
      </c>
      <c r="BC39" s="772">
        <f>BA39</f>
        <v>270</v>
      </c>
    </row>
    <row r="40" spans="1:55">
      <c r="A40" s="772">
        <v>38</v>
      </c>
      <c r="B40" s="782" t="s">
        <v>982</v>
      </c>
      <c r="C40" s="783" t="s">
        <v>1820</v>
      </c>
      <c r="D40" s="780"/>
      <c r="E40" s="780"/>
      <c r="F40" s="780"/>
      <c r="G40" s="780"/>
      <c r="H40" s="780"/>
      <c r="I40" s="780"/>
      <c r="J40" s="780"/>
      <c r="K40" s="780"/>
      <c r="L40" s="780"/>
      <c r="M40" s="780"/>
      <c r="N40" s="780"/>
      <c r="O40" s="780"/>
      <c r="P40" s="780"/>
      <c r="Q40" s="780"/>
      <c r="R40" s="780"/>
      <c r="S40" s="780"/>
      <c r="T40" s="780"/>
      <c r="U40" s="780"/>
      <c r="V40" s="780"/>
      <c r="W40" s="780"/>
      <c r="X40" s="780"/>
      <c r="Y40" s="780"/>
      <c r="Z40" s="780"/>
      <c r="AA40" s="780"/>
      <c r="AB40" s="785" t="s">
        <v>77</v>
      </c>
      <c r="AC40" s="785" t="s">
        <v>77</v>
      </c>
      <c r="AD40" s="785" t="s">
        <v>77</v>
      </c>
      <c r="AE40" s="785" t="s">
        <v>77</v>
      </c>
      <c r="AF40" s="785" t="s">
        <v>77</v>
      </c>
      <c r="AG40" s="785" t="s">
        <v>77</v>
      </c>
      <c r="AH40" s="785" t="s">
        <v>77</v>
      </c>
      <c r="AI40" s="785" t="s">
        <v>77</v>
      </c>
      <c r="AJ40" s="785" t="s">
        <v>77</v>
      </c>
      <c r="AK40" s="785" t="s">
        <v>77</v>
      </c>
      <c r="AL40" s="785" t="s">
        <v>77</v>
      </c>
      <c r="AM40" s="785" t="s">
        <v>77</v>
      </c>
      <c r="AN40" s="785" t="s">
        <v>77</v>
      </c>
      <c r="AO40" s="785" t="s">
        <v>77</v>
      </c>
      <c r="AP40" s="785" t="s">
        <v>77</v>
      </c>
      <c r="AQ40" s="785" t="s">
        <v>77</v>
      </c>
      <c r="AR40" s="781" t="s">
        <v>77</v>
      </c>
      <c r="AS40" s="772">
        <v>1</v>
      </c>
      <c r="AT40" s="772">
        <v>23</v>
      </c>
      <c r="AU40" s="772">
        <v>24</v>
      </c>
      <c r="AV40" s="785" t="s">
        <v>77</v>
      </c>
      <c r="AW40" s="785" t="s">
        <v>77</v>
      </c>
      <c r="AX40" s="785" t="s">
        <v>77</v>
      </c>
      <c r="AY40" s="785" t="s">
        <v>77</v>
      </c>
      <c r="AZ40" s="781" t="str">
        <f>AX40</f>
        <v>-</v>
      </c>
      <c r="BA40" s="772">
        <f>AS40</f>
        <v>1</v>
      </c>
      <c r="BB40" s="772">
        <f>AT40</f>
        <v>23</v>
      </c>
      <c r="BC40" s="772">
        <f>AU40</f>
        <v>24</v>
      </c>
    </row>
    <row r="41" spans="1:55">
      <c r="A41" s="772">
        <v>39</v>
      </c>
      <c r="B41" s="782" t="s">
        <v>1002</v>
      </c>
      <c r="C41" s="783" t="s">
        <v>1822</v>
      </c>
      <c r="D41" s="780"/>
      <c r="E41" s="780"/>
      <c r="F41" s="780"/>
      <c r="G41" s="780"/>
      <c r="H41" s="780"/>
      <c r="I41" s="780"/>
      <c r="J41" s="780"/>
      <c r="K41" s="780"/>
      <c r="L41" s="780"/>
      <c r="M41" s="780"/>
      <c r="N41" s="780"/>
      <c r="O41" s="780"/>
      <c r="P41" s="780"/>
      <c r="Q41" s="780"/>
      <c r="R41" s="780"/>
      <c r="S41" s="780"/>
      <c r="T41" s="780"/>
      <c r="U41" s="780"/>
      <c r="V41" s="780"/>
      <c r="W41" s="780"/>
      <c r="X41" s="780"/>
      <c r="Y41" s="780"/>
      <c r="Z41" s="780"/>
      <c r="AA41" s="780"/>
      <c r="AB41" s="781" t="s">
        <v>77</v>
      </c>
      <c r="AC41" s="781" t="s">
        <v>77</v>
      </c>
      <c r="AD41" s="772">
        <v>4</v>
      </c>
      <c r="AE41" s="772">
        <v>4</v>
      </c>
      <c r="AF41" s="785" t="s">
        <v>77</v>
      </c>
      <c r="AG41" s="785" t="s">
        <v>77</v>
      </c>
      <c r="AH41" s="785" t="s">
        <v>77</v>
      </c>
      <c r="AI41" s="785" t="s">
        <v>77</v>
      </c>
      <c r="AJ41" s="785" t="s">
        <v>77</v>
      </c>
      <c r="AK41" s="785" t="s">
        <v>77</v>
      </c>
      <c r="AL41" s="785" t="s">
        <v>77</v>
      </c>
      <c r="AM41" s="785" t="s">
        <v>77</v>
      </c>
      <c r="AN41" s="785" t="s">
        <v>77</v>
      </c>
      <c r="AO41" s="785" t="s">
        <v>77</v>
      </c>
      <c r="AP41" s="785" t="s">
        <v>77</v>
      </c>
      <c r="AQ41" s="785" t="s">
        <v>77</v>
      </c>
      <c r="AR41" s="785" t="s">
        <v>77</v>
      </c>
      <c r="AS41" s="785" t="s">
        <v>77</v>
      </c>
      <c r="AT41" s="785" t="s">
        <v>77</v>
      </c>
      <c r="AU41" s="785" t="s">
        <v>77</v>
      </c>
      <c r="AV41" s="785" t="s">
        <v>77</v>
      </c>
      <c r="AW41" s="785" t="s">
        <v>77</v>
      </c>
      <c r="AX41" s="785" t="s">
        <v>77</v>
      </c>
      <c r="AY41" s="785" t="s">
        <v>77</v>
      </c>
      <c r="AZ41" s="785" t="s">
        <v>77</v>
      </c>
      <c r="BA41" s="785" t="s">
        <v>77</v>
      </c>
      <c r="BB41" s="787">
        <f>AD41</f>
        <v>4</v>
      </c>
      <c r="BC41" s="787">
        <f>AE41</f>
        <v>4</v>
      </c>
    </row>
    <row r="42" spans="1:55">
      <c r="A42" s="650">
        <v>40</v>
      </c>
      <c r="B42" s="782" t="s">
        <v>1016</v>
      </c>
      <c r="C42" s="783" t="s">
        <v>1824</v>
      </c>
      <c r="D42" s="780"/>
      <c r="E42" s="780"/>
      <c r="F42" s="780"/>
      <c r="G42" s="780"/>
      <c r="H42" s="780"/>
      <c r="I42" s="780"/>
      <c r="J42" s="780"/>
      <c r="K42" s="780"/>
      <c r="L42" s="780"/>
      <c r="M42" s="780"/>
      <c r="N42" s="780"/>
      <c r="O42" s="780"/>
      <c r="P42" s="780"/>
      <c r="Q42" s="780"/>
      <c r="R42" s="780"/>
      <c r="S42" s="780"/>
      <c r="T42" s="780"/>
      <c r="U42" s="780"/>
      <c r="V42" s="780"/>
      <c r="W42" s="780"/>
      <c r="X42" s="780"/>
      <c r="Y42" s="780"/>
      <c r="Z42" s="780"/>
      <c r="AA42" s="780"/>
      <c r="AB42" s="785" t="s">
        <v>77</v>
      </c>
      <c r="AC42" s="785" t="s">
        <v>77</v>
      </c>
      <c r="AD42" s="785" t="s">
        <v>77</v>
      </c>
      <c r="AE42" s="785" t="s">
        <v>77</v>
      </c>
      <c r="AF42" s="785" t="s">
        <v>77</v>
      </c>
      <c r="AG42" s="785" t="s">
        <v>77</v>
      </c>
      <c r="AH42" s="785" t="s">
        <v>77</v>
      </c>
      <c r="AI42" s="785" t="s">
        <v>77</v>
      </c>
      <c r="AJ42" s="785" t="s">
        <v>77</v>
      </c>
      <c r="AK42" s="785" t="s">
        <v>77</v>
      </c>
      <c r="AL42" s="785" t="s">
        <v>77</v>
      </c>
      <c r="AM42" s="785" t="s">
        <v>77</v>
      </c>
      <c r="AN42" s="772">
        <v>1</v>
      </c>
      <c r="AO42" s="781" t="s">
        <v>77</v>
      </c>
      <c r="AP42" s="772">
        <v>97</v>
      </c>
      <c r="AQ42" s="772">
        <v>97</v>
      </c>
      <c r="AR42" s="781" t="s">
        <v>77</v>
      </c>
      <c r="AS42" s="781" t="s">
        <v>77</v>
      </c>
      <c r="AT42" s="772">
        <v>9</v>
      </c>
      <c r="AU42" s="772">
        <v>9</v>
      </c>
      <c r="AV42" s="785" t="s">
        <v>77</v>
      </c>
      <c r="AW42" s="785" t="s">
        <v>77</v>
      </c>
      <c r="AX42" s="785" t="s">
        <v>77</v>
      </c>
      <c r="AY42" s="785" t="s">
        <v>77</v>
      </c>
      <c r="AZ42" s="772">
        <f>AN42</f>
        <v>1</v>
      </c>
      <c r="BA42" s="781" t="str">
        <f>AS42</f>
        <v>-</v>
      </c>
      <c r="BB42" s="772">
        <f>AP42+AT42</f>
        <v>106</v>
      </c>
      <c r="BC42" s="772">
        <f>AQ42+AU42</f>
        <v>106</v>
      </c>
    </row>
    <row r="43" spans="1:55">
      <c r="A43" s="772">
        <v>41</v>
      </c>
      <c r="B43" s="782" t="s">
        <v>1023</v>
      </c>
      <c r="C43" s="783" t="s">
        <v>1825</v>
      </c>
      <c r="D43" s="780"/>
      <c r="E43" s="780"/>
      <c r="F43" s="780"/>
      <c r="G43" s="780"/>
      <c r="H43" s="780"/>
      <c r="I43" s="780"/>
      <c r="J43" s="780"/>
      <c r="K43" s="780"/>
      <c r="L43" s="780"/>
      <c r="M43" s="780"/>
      <c r="N43" s="780"/>
      <c r="O43" s="780"/>
      <c r="P43" s="780"/>
      <c r="Q43" s="780"/>
      <c r="R43" s="780"/>
      <c r="S43" s="780"/>
      <c r="T43" s="780"/>
      <c r="U43" s="780"/>
      <c r="V43" s="780"/>
      <c r="W43" s="780"/>
      <c r="X43" s="780"/>
      <c r="Y43" s="780"/>
      <c r="Z43" s="780"/>
      <c r="AA43" s="780"/>
      <c r="AB43" s="785" t="s">
        <v>77</v>
      </c>
      <c r="AC43" s="785" t="s">
        <v>77</v>
      </c>
      <c r="AD43" s="785" t="s">
        <v>77</v>
      </c>
      <c r="AE43" s="785" t="s">
        <v>77</v>
      </c>
      <c r="AF43" s="785" t="s">
        <v>77</v>
      </c>
      <c r="AG43" s="785" t="s">
        <v>77</v>
      </c>
      <c r="AH43" s="785" t="s">
        <v>77</v>
      </c>
      <c r="AI43" s="785" t="s">
        <v>77</v>
      </c>
      <c r="AJ43" s="785" t="s">
        <v>77</v>
      </c>
      <c r="AK43" s="785" t="s">
        <v>77</v>
      </c>
      <c r="AL43" s="785" t="s">
        <v>77</v>
      </c>
      <c r="AM43" s="785" t="s">
        <v>77</v>
      </c>
      <c r="AN43" s="785" t="s">
        <v>77</v>
      </c>
      <c r="AO43" s="785" t="s">
        <v>77</v>
      </c>
      <c r="AP43" s="785" t="s">
        <v>77</v>
      </c>
      <c r="AQ43" s="785" t="s">
        <v>77</v>
      </c>
      <c r="AR43" s="785" t="s">
        <v>77</v>
      </c>
      <c r="AS43" s="785" t="s">
        <v>77</v>
      </c>
      <c r="AT43" s="785" t="s">
        <v>77</v>
      </c>
      <c r="AU43" s="785" t="s">
        <v>77</v>
      </c>
      <c r="AV43" s="785" t="s">
        <v>77</v>
      </c>
      <c r="AW43" s="785" t="s">
        <v>77</v>
      </c>
      <c r="AX43" s="785" t="s">
        <v>77</v>
      </c>
      <c r="AY43" s="785" t="s">
        <v>77</v>
      </c>
      <c r="AZ43" s="785" t="s">
        <v>77</v>
      </c>
      <c r="BA43" s="785" t="s">
        <v>77</v>
      </c>
      <c r="BB43" s="785" t="s">
        <v>77</v>
      </c>
      <c r="BC43" s="785" t="s">
        <v>77</v>
      </c>
    </row>
    <row r="44" spans="1:55">
      <c r="A44" s="772">
        <v>42</v>
      </c>
      <c r="B44" s="782" t="s">
        <v>1036</v>
      </c>
      <c r="C44" s="783" t="s">
        <v>1826</v>
      </c>
      <c r="D44" s="780"/>
      <c r="E44" s="780"/>
      <c r="F44" s="780"/>
      <c r="G44" s="780"/>
      <c r="H44" s="780"/>
      <c r="I44" s="780"/>
      <c r="J44" s="780"/>
      <c r="K44" s="780"/>
      <c r="L44" s="780"/>
      <c r="M44" s="780"/>
      <c r="N44" s="780"/>
      <c r="O44" s="780"/>
      <c r="P44" s="780"/>
      <c r="Q44" s="780"/>
      <c r="R44" s="780"/>
      <c r="S44" s="780"/>
      <c r="T44" s="780"/>
      <c r="U44" s="780"/>
      <c r="V44" s="780"/>
      <c r="W44" s="780"/>
      <c r="X44" s="780"/>
      <c r="Y44" s="780"/>
      <c r="Z44" s="780"/>
      <c r="AA44" s="780"/>
      <c r="AB44" s="785" t="s">
        <v>77</v>
      </c>
      <c r="AC44" s="785" t="s">
        <v>77</v>
      </c>
      <c r="AD44" s="785" t="s">
        <v>77</v>
      </c>
      <c r="AE44" s="785" t="s">
        <v>77</v>
      </c>
      <c r="AF44" s="785" t="s">
        <v>77</v>
      </c>
      <c r="AG44" s="785" t="s">
        <v>77</v>
      </c>
      <c r="AH44" s="785" t="s">
        <v>77</v>
      </c>
      <c r="AI44" s="785" t="s">
        <v>77</v>
      </c>
      <c r="AJ44" s="785" t="s">
        <v>77</v>
      </c>
      <c r="AK44" s="785" t="s">
        <v>77</v>
      </c>
      <c r="AL44" s="785" t="s">
        <v>77</v>
      </c>
      <c r="AM44" s="785" t="s">
        <v>77</v>
      </c>
      <c r="AN44" s="785" t="s">
        <v>77</v>
      </c>
      <c r="AO44" s="785" t="s">
        <v>77</v>
      </c>
      <c r="AP44" s="785" t="s">
        <v>77</v>
      </c>
      <c r="AQ44" s="785" t="s">
        <v>77</v>
      </c>
      <c r="AR44" s="785" t="s">
        <v>77</v>
      </c>
      <c r="AS44" s="785" t="s">
        <v>77</v>
      </c>
      <c r="AT44" s="785" t="s">
        <v>77</v>
      </c>
      <c r="AU44" s="785" t="s">
        <v>77</v>
      </c>
      <c r="AV44" s="785" t="s">
        <v>77</v>
      </c>
      <c r="AW44" s="785" t="s">
        <v>77</v>
      </c>
      <c r="AX44" s="785" t="s">
        <v>77</v>
      </c>
      <c r="AY44" s="785" t="s">
        <v>77</v>
      </c>
      <c r="AZ44" s="785" t="s">
        <v>77</v>
      </c>
      <c r="BA44" s="785" t="s">
        <v>77</v>
      </c>
      <c r="BB44" s="785" t="s">
        <v>77</v>
      </c>
      <c r="BC44" s="785" t="s">
        <v>77</v>
      </c>
    </row>
    <row r="45" spans="1:55">
      <c r="A45" s="650">
        <v>43</v>
      </c>
      <c r="B45" s="782" t="s">
        <v>1043</v>
      </c>
      <c r="C45" s="783" t="s">
        <v>1827</v>
      </c>
      <c r="D45" s="780"/>
      <c r="E45" s="780"/>
      <c r="F45" s="780"/>
      <c r="G45" s="780"/>
      <c r="H45" s="780"/>
      <c r="I45" s="780"/>
      <c r="J45" s="780"/>
      <c r="K45" s="780"/>
      <c r="L45" s="780"/>
      <c r="M45" s="780"/>
      <c r="N45" s="780"/>
      <c r="O45" s="780"/>
      <c r="P45" s="780"/>
      <c r="Q45" s="780"/>
      <c r="R45" s="780"/>
      <c r="S45" s="780"/>
      <c r="T45" s="780"/>
      <c r="U45" s="780"/>
      <c r="V45" s="780"/>
      <c r="W45" s="780"/>
      <c r="X45" s="780"/>
      <c r="Y45" s="780"/>
      <c r="Z45" s="780"/>
      <c r="AA45" s="780"/>
      <c r="AB45" s="785" t="s">
        <v>77</v>
      </c>
      <c r="AC45" s="785" t="s">
        <v>77</v>
      </c>
      <c r="AD45" s="785" t="s">
        <v>77</v>
      </c>
      <c r="AE45" s="785" t="s">
        <v>77</v>
      </c>
      <c r="AF45" s="785" t="s">
        <v>77</v>
      </c>
      <c r="AG45" s="785" t="s">
        <v>77</v>
      </c>
      <c r="AH45" s="785" t="s">
        <v>77</v>
      </c>
      <c r="AI45" s="785" t="s">
        <v>77</v>
      </c>
      <c r="AJ45" s="785" t="s">
        <v>77</v>
      </c>
      <c r="AK45" s="785" t="s">
        <v>77</v>
      </c>
      <c r="AL45" s="785" t="s">
        <v>77</v>
      </c>
      <c r="AM45" s="785" t="s">
        <v>77</v>
      </c>
      <c r="AN45" s="785" t="s">
        <v>77</v>
      </c>
      <c r="AO45" s="785" t="s">
        <v>77</v>
      </c>
      <c r="AP45" s="785" t="s">
        <v>77</v>
      </c>
      <c r="AQ45" s="785" t="s">
        <v>77</v>
      </c>
      <c r="AR45" s="785" t="s">
        <v>77</v>
      </c>
      <c r="AS45" s="785" t="s">
        <v>77</v>
      </c>
      <c r="AT45" s="785" t="s">
        <v>77</v>
      </c>
      <c r="AU45" s="785" t="s">
        <v>77</v>
      </c>
      <c r="AV45" s="785" t="s">
        <v>77</v>
      </c>
      <c r="AW45" s="785" t="s">
        <v>77</v>
      </c>
      <c r="AX45" s="785" t="s">
        <v>77</v>
      </c>
      <c r="AY45" s="785" t="s">
        <v>77</v>
      </c>
      <c r="AZ45" s="785" t="s">
        <v>77</v>
      </c>
      <c r="BA45" s="785" t="s">
        <v>77</v>
      </c>
      <c r="BB45" s="785" t="s">
        <v>77</v>
      </c>
      <c r="BC45" s="785" t="s">
        <v>77</v>
      </c>
    </row>
    <row r="46" spans="1:55">
      <c r="A46" s="772">
        <v>44</v>
      </c>
      <c r="B46" s="782" t="s">
        <v>1050</v>
      </c>
      <c r="C46" s="783" t="s">
        <v>1828</v>
      </c>
      <c r="D46" s="780"/>
      <c r="E46" s="780"/>
      <c r="F46" s="780"/>
      <c r="G46" s="780"/>
      <c r="H46" s="780"/>
      <c r="I46" s="780"/>
      <c r="J46" s="780"/>
      <c r="K46" s="780"/>
      <c r="L46" s="780"/>
      <c r="M46" s="780"/>
      <c r="N46" s="780"/>
      <c r="O46" s="780"/>
      <c r="P46" s="780"/>
      <c r="Q46" s="780"/>
      <c r="R46" s="780"/>
      <c r="S46" s="780"/>
      <c r="T46" s="780"/>
      <c r="U46" s="780"/>
      <c r="V46" s="780"/>
      <c r="W46" s="780"/>
      <c r="X46" s="780"/>
      <c r="Y46" s="780"/>
      <c r="Z46" s="780"/>
      <c r="AA46" s="780"/>
      <c r="AB46" s="785" t="s">
        <v>77</v>
      </c>
      <c r="AC46" s="785" t="s">
        <v>77</v>
      </c>
      <c r="AD46" s="785" t="s">
        <v>77</v>
      </c>
      <c r="AE46" s="785" t="s">
        <v>77</v>
      </c>
      <c r="AF46" s="785" t="s">
        <v>77</v>
      </c>
      <c r="AG46" s="785" t="s">
        <v>77</v>
      </c>
      <c r="AH46" s="772">
        <v>30</v>
      </c>
      <c r="AI46" s="772">
        <v>30</v>
      </c>
      <c r="AJ46" s="785" t="s">
        <v>77</v>
      </c>
      <c r="AK46" s="785" t="s">
        <v>77</v>
      </c>
      <c r="AL46" s="785" t="s">
        <v>77</v>
      </c>
      <c r="AM46" s="785" t="s">
        <v>77</v>
      </c>
      <c r="AN46" s="785" t="s">
        <v>77</v>
      </c>
      <c r="AO46" s="785" t="s">
        <v>77</v>
      </c>
      <c r="AP46" s="785" t="s">
        <v>77</v>
      </c>
      <c r="AQ46" s="785" t="s">
        <v>77</v>
      </c>
      <c r="AR46" s="785" t="s">
        <v>77</v>
      </c>
      <c r="AS46" s="785" t="s">
        <v>77</v>
      </c>
      <c r="AT46" s="785" t="s">
        <v>77</v>
      </c>
      <c r="AU46" s="785" t="s">
        <v>77</v>
      </c>
      <c r="AV46" s="785" t="s">
        <v>77</v>
      </c>
      <c r="AW46" s="785" t="s">
        <v>77</v>
      </c>
      <c r="AX46" s="785" t="s">
        <v>77</v>
      </c>
      <c r="AY46" s="785" t="s">
        <v>77</v>
      </c>
      <c r="AZ46" s="781" t="str">
        <f>AY46</f>
        <v>-</v>
      </c>
      <c r="BA46" s="781" t="str">
        <f>AZ46</f>
        <v>-</v>
      </c>
      <c r="BB46" s="772">
        <f>AH46</f>
        <v>30</v>
      </c>
      <c r="BC46" s="772">
        <f>AI46</f>
        <v>30</v>
      </c>
    </row>
    <row r="47" spans="1:55">
      <c r="A47" s="772">
        <v>45</v>
      </c>
      <c r="B47" s="782" t="s">
        <v>1059</v>
      </c>
      <c r="C47" s="783" t="s">
        <v>1829</v>
      </c>
      <c r="D47" s="780"/>
      <c r="E47" s="780"/>
      <c r="F47" s="780"/>
      <c r="G47" s="780"/>
      <c r="H47" s="780"/>
      <c r="I47" s="780"/>
      <c r="J47" s="780"/>
      <c r="K47" s="780"/>
      <c r="L47" s="780"/>
      <c r="M47" s="780"/>
      <c r="N47" s="780"/>
      <c r="O47" s="780"/>
      <c r="P47" s="780"/>
      <c r="Q47" s="780"/>
      <c r="R47" s="780"/>
      <c r="S47" s="780"/>
      <c r="T47" s="780"/>
      <c r="U47" s="780"/>
      <c r="V47" s="780"/>
      <c r="W47" s="780"/>
      <c r="X47" s="780"/>
      <c r="Y47" s="780"/>
      <c r="Z47" s="780"/>
      <c r="AA47" s="780"/>
      <c r="AB47" s="785" t="s">
        <v>77</v>
      </c>
      <c r="AC47" s="785" t="s">
        <v>77</v>
      </c>
      <c r="AD47" s="785" t="s">
        <v>77</v>
      </c>
      <c r="AE47" s="785" t="s">
        <v>77</v>
      </c>
      <c r="AF47" s="785" t="s">
        <v>77</v>
      </c>
      <c r="AG47" s="785" t="s">
        <v>77</v>
      </c>
      <c r="AH47" s="772">
        <v>75</v>
      </c>
      <c r="AI47" s="772">
        <v>75</v>
      </c>
      <c r="AJ47" s="785" t="s">
        <v>77</v>
      </c>
      <c r="AK47" s="785" t="s">
        <v>77</v>
      </c>
      <c r="AL47" s="785" t="s">
        <v>77</v>
      </c>
      <c r="AM47" s="785" t="s">
        <v>77</v>
      </c>
      <c r="AN47" s="785" t="s">
        <v>77</v>
      </c>
      <c r="AO47" s="785" t="s">
        <v>77</v>
      </c>
      <c r="AP47" s="785" t="s">
        <v>77</v>
      </c>
      <c r="AQ47" s="785" t="s">
        <v>77</v>
      </c>
      <c r="AR47" s="785" t="s">
        <v>77</v>
      </c>
      <c r="AS47" s="785" t="s">
        <v>77</v>
      </c>
      <c r="AT47" s="785" t="s">
        <v>77</v>
      </c>
      <c r="AU47" s="785" t="s">
        <v>77</v>
      </c>
      <c r="AV47" s="781" t="s">
        <v>77</v>
      </c>
      <c r="AW47" s="781" t="s">
        <v>77</v>
      </c>
      <c r="AX47" s="772">
        <v>240</v>
      </c>
      <c r="AY47" s="772">
        <v>240</v>
      </c>
      <c r="AZ47" s="791" t="s">
        <v>77</v>
      </c>
      <c r="BA47" s="777" t="str">
        <f>AZ47</f>
        <v>-</v>
      </c>
      <c r="BB47" s="650">
        <f>AH46+AX47</f>
        <v>270</v>
      </c>
      <c r="BC47" s="650">
        <f>AI46+AY47</f>
        <v>270</v>
      </c>
    </row>
    <row r="48" spans="1:55">
      <c r="A48" s="650">
        <v>46</v>
      </c>
      <c r="B48" s="782" t="s">
        <v>1085</v>
      </c>
      <c r="C48" s="783" t="s">
        <v>1830</v>
      </c>
      <c r="D48" s="780"/>
      <c r="E48" s="780"/>
      <c r="F48" s="780"/>
      <c r="G48" s="780"/>
      <c r="H48" s="780"/>
      <c r="I48" s="780"/>
      <c r="J48" s="780"/>
      <c r="K48" s="780"/>
      <c r="L48" s="780"/>
      <c r="M48" s="780"/>
      <c r="N48" s="780"/>
      <c r="O48" s="780"/>
      <c r="P48" s="780"/>
      <c r="Q48" s="780"/>
      <c r="R48" s="780"/>
      <c r="S48" s="780"/>
      <c r="T48" s="780"/>
      <c r="U48" s="780"/>
      <c r="V48" s="780"/>
      <c r="W48" s="780"/>
      <c r="X48" s="780"/>
      <c r="Y48" s="780"/>
      <c r="Z48" s="780"/>
      <c r="AA48" s="780"/>
      <c r="AB48" s="785" t="s">
        <v>77</v>
      </c>
      <c r="AC48" s="785" t="s">
        <v>77</v>
      </c>
      <c r="AD48" s="785" t="s">
        <v>77</v>
      </c>
      <c r="AE48" s="785" t="s">
        <v>77</v>
      </c>
      <c r="AF48" s="785" t="s">
        <v>77</v>
      </c>
      <c r="AG48" s="785" t="s">
        <v>77</v>
      </c>
      <c r="AH48" s="785" t="s">
        <v>77</v>
      </c>
      <c r="AI48" s="785" t="s">
        <v>77</v>
      </c>
      <c r="AJ48" s="785" t="s">
        <v>77</v>
      </c>
      <c r="AK48" s="785" t="s">
        <v>77</v>
      </c>
      <c r="AL48" s="785" t="s">
        <v>77</v>
      </c>
      <c r="AM48" s="785" t="s">
        <v>77</v>
      </c>
      <c r="AN48" s="785" t="s">
        <v>77</v>
      </c>
      <c r="AO48" s="785" t="s">
        <v>77</v>
      </c>
      <c r="AP48" s="785" t="s">
        <v>77</v>
      </c>
      <c r="AQ48" s="785" t="s">
        <v>77</v>
      </c>
      <c r="AR48" s="785" t="s">
        <v>77</v>
      </c>
      <c r="AS48" s="785" t="s">
        <v>77</v>
      </c>
      <c r="AT48" s="785" t="s">
        <v>77</v>
      </c>
      <c r="AU48" s="785" t="s">
        <v>77</v>
      </c>
      <c r="AV48" s="785" t="s">
        <v>77</v>
      </c>
      <c r="AW48" s="785" t="s">
        <v>77</v>
      </c>
      <c r="AX48" s="785" t="s">
        <v>77</v>
      </c>
      <c r="AY48" s="785" t="s">
        <v>77</v>
      </c>
      <c r="AZ48" s="785" t="s">
        <v>77</v>
      </c>
      <c r="BA48" s="785" t="s">
        <v>77</v>
      </c>
      <c r="BB48" s="785" t="s">
        <v>77</v>
      </c>
      <c r="BC48" s="785" t="s">
        <v>77</v>
      </c>
    </row>
    <row r="49" spans="1:55">
      <c r="A49" s="772">
        <v>47</v>
      </c>
      <c r="B49" s="782" t="s">
        <v>1094</v>
      </c>
      <c r="C49" s="783" t="s">
        <v>1831</v>
      </c>
      <c r="D49" s="780"/>
      <c r="E49" s="780"/>
      <c r="F49" s="780"/>
      <c r="G49" s="780"/>
      <c r="H49" s="780"/>
      <c r="I49" s="780"/>
      <c r="J49" s="780"/>
      <c r="K49" s="780"/>
      <c r="L49" s="780"/>
      <c r="M49" s="780"/>
      <c r="N49" s="780"/>
      <c r="O49" s="780"/>
      <c r="P49" s="780"/>
      <c r="Q49" s="780"/>
      <c r="R49" s="780"/>
      <c r="S49" s="780"/>
      <c r="T49" s="780"/>
      <c r="U49" s="780"/>
      <c r="V49" s="780"/>
      <c r="W49" s="780"/>
      <c r="X49" s="780"/>
      <c r="Y49" s="780"/>
      <c r="Z49" s="780"/>
      <c r="AA49" s="780"/>
      <c r="AB49" s="785" t="s">
        <v>77</v>
      </c>
      <c r="AC49" s="785" t="s">
        <v>77</v>
      </c>
      <c r="AD49" s="785" t="s">
        <v>77</v>
      </c>
      <c r="AE49" s="785" t="s">
        <v>77</v>
      </c>
      <c r="AF49" s="785" t="s">
        <v>77</v>
      </c>
      <c r="AG49" s="785" t="s">
        <v>77</v>
      </c>
      <c r="AH49" s="785" t="s">
        <v>77</v>
      </c>
      <c r="AI49" s="785" t="s">
        <v>77</v>
      </c>
      <c r="AJ49" s="785" t="s">
        <v>77</v>
      </c>
      <c r="AK49" s="785" t="s">
        <v>77</v>
      </c>
      <c r="AL49" s="785" t="s">
        <v>77</v>
      </c>
      <c r="AM49" s="785" t="s">
        <v>77</v>
      </c>
      <c r="AN49" s="785" t="s">
        <v>77</v>
      </c>
      <c r="AO49" s="785" t="s">
        <v>77</v>
      </c>
      <c r="AP49" s="785" t="s">
        <v>77</v>
      </c>
      <c r="AQ49" s="785" t="s">
        <v>77</v>
      </c>
      <c r="AR49" s="785" t="s">
        <v>77</v>
      </c>
      <c r="AS49" s="785" t="s">
        <v>77</v>
      </c>
      <c r="AT49" s="785" t="s">
        <v>77</v>
      </c>
      <c r="AU49" s="785" t="s">
        <v>77</v>
      </c>
      <c r="AV49" s="785" t="s">
        <v>77</v>
      </c>
      <c r="AW49" s="785" t="s">
        <v>77</v>
      </c>
      <c r="AX49" s="785" t="s">
        <v>77</v>
      </c>
      <c r="AY49" s="785" t="s">
        <v>77</v>
      </c>
      <c r="AZ49" s="785" t="s">
        <v>77</v>
      </c>
      <c r="BA49" s="785" t="s">
        <v>77</v>
      </c>
      <c r="BB49" s="785" t="s">
        <v>77</v>
      </c>
      <c r="BC49" s="785" t="s">
        <v>77</v>
      </c>
    </row>
    <row r="50" spans="1:55">
      <c r="A50" s="772">
        <v>48</v>
      </c>
      <c r="B50" s="782" t="s">
        <v>1105</v>
      </c>
      <c r="C50" s="783" t="s">
        <v>1832</v>
      </c>
      <c r="D50" s="780"/>
      <c r="E50" s="780"/>
      <c r="F50" s="780"/>
      <c r="G50" s="780"/>
      <c r="H50" s="780"/>
      <c r="I50" s="780"/>
      <c r="J50" s="780"/>
      <c r="K50" s="780"/>
      <c r="L50" s="780"/>
      <c r="M50" s="780"/>
      <c r="N50" s="780"/>
      <c r="O50" s="780"/>
      <c r="P50" s="780"/>
      <c r="Q50" s="780"/>
      <c r="R50" s="780"/>
      <c r="S50" s="780"/>
      <c r="T50" s="780"/>
      <c r="U50" s="780"/>
      <c r="V50" s="780"/>
      <c r="W50" s="780"/>
      <c r="X50" s="780"/>
      <c r="Y50" s="780"/>
      <c r="Z50" s="780"/>
      <c r="AA50" s="780"/>
      <c r="AB50" s="785" t="s">
        <v>77</v>
      </c>
      <c r="AC50" s="785" t="s">
        <v>77</v>
      </c>
      <c r="AD50" s="785" t="s">
        <v>77</v>
      </c>
      <c r="AE50" s="785" t="s">
        <v>77</v>
      </c>
      <c r="AF50" s="785" t="s">
        <v>77</v>
      </c>
      <c r="AG50" s="785" t="s">
        <v>77</v>
      </c>
      <c r="AH50" s="785" t="s">
        <v>77</v>
      </c>
      <c r="AI50" s="785" t="s">
        <v>77</v>
      </c>
      <c r="AJ50" s="785" t="s">
        <v>77</v>
      </c>
      <c r="AK50" s="785" t="s">
        <v>77</v>
      </c>
      <c r="AL50" s="785" t="s">
        <v>77</v>
      </c>
      <c r="AM50" s="785" t="s">
        <v>77</v>
      </c>
      <c r="AN50" s="785" t="s">
        <v>77</v>
      </c>
      <c r="AO50" s="785" t="s">
        <v>77</v>
      </c>
      <c r="AP50" s="785" t="s">
        <v>77</v>
      </c>
      <c r="AQ50" s="785" t="s">
        <v>77</v>
      </c>
      <c r="AR50" s="785" t="s">
        <v>77</v>
      </c>
      <c r="AS50" s="785" t="s">
        <v>77</v>
      </c>
      <c r="AT50" s="785" t="s">
        <v>77</v>
      </c>
      <c r="AU50" s="785" t="s">
        <v>77</v>
      </c>
      <c r="AV50" s="785" t="s">
        <v>77</v>
      </c>
      <c r="AW50" s="785" t="s">
        <v>77</v>
      </c>
      <c r="AX50" s="785" t="s">
        <v>77</v>
      </c>
      <c r="AY50" s="785" t="s">
        <v>77</v>
      </c>
      <c r="AZ50" s="785" t="s">
        <v>77</v>
      </c>
      <c r="BA50" s="785" t="s">
        <v>77</v>
      </c>
      <c r="BB50" s="785" t="s">
        <v>77</v>
      </c>
      <c r="BC50" s="785" t="s">
        <v>77</v>
      </c>
    </row>
    <row r="51" spans="1:55">
      <c r="A51" s="650">
        <v>49</v>
      </c>
      <c r="B51" s="782" t="s">
        <v>1116</v>
      </c>
      <c r="C51" s="783" t="s">
        <v>1834</v>
      </c>
      <c r="D51" s="780"/>
      <c r="E51" s="780"/>
      <c r="F51" s="780"/>
      <c r="G51" s="780"/>
      <c r="H51" s="780"/>
      <c r="I51" s="780"/>
      <c r="J51" s="780"/>
      <c r="K51" s="780"/>
      <c r="L51" s="780"/>
      <c r="M51" s="780"/>
      <c r="N51" s="780"/>
      <c r="O51" s="780"/>
      <c r="P51" s="780"/>
      <c r="Q51" s="780"/>
      <c r="R51" s="780"/>
      <c r="S51" s="780"/>
      <c r="T51" s="780"/>
      <c r="U51" s="780"/>
      <c r="V51" s="780"/>
      <c r="W51" s="780"/>
      <c r="X51" s="780"/>
      <c r="Y51" s="780"/>
      <c r="Z51" s="780"/>
      <c r="AA51" s="780"/>
      <c r="AB51" s="785" t="s">
        <v>77</v>
      </c>
      <c r="AC51" s="785" t="s">
        <v>77</v>
      </c>
      <c r="AD51" s="785" t="s">
        <v>77</v>
      </c>
      <c r="AE51" s="785" t="s">
        <v>77</v>
      </c>
      <c r="AF51" s="785" t="s">
        <v>77</v>
      </c>
      <c r="AG51" s="785" t="s">
        <v>77</v>
      </c>
      <c r="AH51" s="785" t="s">
        <v>77</v>
      </c>
      <c r="AI51" s="785" t="s">
        <v>77</v>
      </c>
      <c r="AJ51" s="785" t="s">
        <v>77</v>
      </c>
      <c r="AK51" s="785" t="s">
        <v>77</v>
      </c>
      <c r="AL51" s="785" t="s">
        <v>77</v>
      </c>
      <c r="AM51" s="785" t="s">
        <v>77</v>
      </c>
      <c r="AN51" s="785" t="s">
        <v>77</v>
      </c>
      <c r="AO51" s="785" t="s">
        <v>77</v>
      </c>
      <c r="AP51" s="785" t="s">
        <v>77</v>
      </c>
      <c r="AQ51" s="785" t="s">
        <v>77</v>
      </c>
      <c r="AR51" s="785" t="s">
        <v>77</v>
      </c>
      <c r="AS51" s="785" t="s">
        <v>77</v>
      </c>
      <c r="AT51" s="785" t="s">
        <v>77</v>
      </c>
      <c r="AU51" s="785" t="s">
        <v>77</v>
      </c>
      <c r="AV51" s="785" t="s">
        <v>77</v>
      </c>
      <c r="AW51" s="785" t="s">
        <v>77</v>
      </c>
      <c r="AX51" s="785" t="s">
        <v>77</v>
      </c>
      <c r="AY51" s="785" t="s">
        <v>77</v>
      </c>
      <c r="AZ51" s="785" t="s">
        <v>77</v>
      </c>
      <c r="BA51" s="785" t="s">
        <v>77</v>
      </c>
      <c r="BB51" s="785" t="s">
        <v>77</v>
      </c>
      <c r="BC51" s="785" t="s">
        <v>77</v>
      </c>
    </row>
    <row r="52" spans="1:55" ht="18">
      <c r="A52" s="772">
        <v>50</v>
      </c>
      <c r="B52" s="782" t="s">
        <v>1119</v>
      </c>
      <c r="C52" s="792" t="s">
        <v>1836</v>
      </c>
      <c r="D52" s="780"/>
      <c r="E52" s="780"/>
      <c r="F52" s="780"/>
      <c r="G52" s="780"/>
      <c r="H52" s="780"/>
      <c r="I52" s="780"/>
      <c r="J52" s="780"/>
      <c r="K52" s="780"/>
      <c r="L52" s="780"/>
      <c r="M52" s="780"/>
      <c r="N52" s="780"/>
      <c r="O52" s="780"/>
      <c r="P52" s="780"/>
      <c r="Q52" s="780"/>
      <c r="R52" s="780"/>
      <c r="S52" s="780"/>
      <c r="T52" s="780"/>
      <c r="U52" s="780"/>
      <c r="V52" s="780"/>
      <c r="W52" s="780"/>
      <c r="X52" s="780"/>
      <c r="Y52" s="780"/>
      <c r="Z52" s="780"/>
      <c r="AA52" s="780"/>
      <c r="AB52" s="785" t="s">
        <v>77</v>
      </c>
      <c r="AC52" s="785" t="s">
        <v>77</v>
      </c>
      <c r="AD52" s="785" t="s">
        <v>77</v>
      </c>
      <c r="AE52" s="785" t="s">
        <v>77</v>
      </c>
      <c r="AF52" s="785" t="s">
        <v>77</v>
      </c>
      <c r="AG52" s="785" t="s">
        <v>77</v>
      </c>
      <c r="AH52" s="785" t="s">
        <v>77</v>
      </c>
      <c r="AI52" s="785" t="s">
        <v>77</v>
      </c>
      <c r="AJ52" s="785" t="s">
        <v>77</v>
      </c>
      <c r="AK52" s="785" t="s">
        <v>77</v>
      </c>
      <c r="AL52" s="785" t="s">
        <v>77</v>
      </c>
      <c r="AM52" s="785" t="s">
        <v>77</v>
      </c>
      <c r="AN52" s="785" t="s">
        <v>77</v>
      </c>
      <c r="AO52" s="785" t="s">
        <v>77</v>
      </c>
      <c r="AP52" s="785" t="s">
        <v>77</v>
      </c>
      <c r="AQ52" s="785" t="s">
        <v>77</v>
      </c>
      <c r="AR52" s="785" t="s">
        <v>77</v>
      </c>
      <c r="AS52" s="785" t="s">
        <v>77</v>
      </c>
      <c r="AT52" s="785" t="s">
        <v>77</v>
      </c>
      <c r="AU52" s="785" t="s">
        <v>77</v>
      </c>
      <c r="AV52" s="785" t="s">
        <v>77</v>
      </c>
      <c r="AW52" s="785" t="s">
        <v>77</v>
      </c>
      <c r="AX52" s="785" t="s">
        <v>77</v>
      </c>
      <c r="AY52" s="785" t="s">
        <v>77</v>
      </c>
      <c r="AZ52" s="785" t="s">
        <v>77</v>
      </c>
      <c r="BA52" s="785" t="s">
        <v>77</v>
      </c>
      <c r="BB52" s="785" t="s">
        <v>77</v>
      </c>
      <c r="BC52" s="785" t="s">
        <v>77</v>
      </c>
    </row>
    <row r="53" spans="1:55">
      <c r="A53" s="772">
        <v>51</v>
      </c>
      <c r="B53" s="782" t="s">
        <v>1124</v>
      </c>
      <c r="C53" s="783" t="s">
        <v>1837</v>
      </c>
      <c r="D53" s="780"/>
      <c r="E53" s="780"/>
      <c r="F53" s="780"/>
      <c r="G53" s="780"/>
      <c r="H53" s="780"/>
      <c r="I53" s="780"/>
      <c r="J53" s="780"/>
      <c r="K53" s="780"/>
      <c r="L53" s="780"/>
      <c r="M53" s="780"/>
      <c r="N53" s="780"/>
      <c r="O53" s="780"/>
      <c r="P53" s="780"/>
      <c r="Q53" s="780"/>
      <c r="R53" s="780"/>
      <c r="S53" s="780"/>
      <c r="T53" s="780"/>
      <c r="U53" s="780"/>
      <c r="V53" s="780"/>
      <c r="W53" s="780"/>
      <c r="X53" s="780"/>
      <c r="Y53" s="780"/>
      <c r="Z53" s="780"/>
      <c r="AA53" s="780"/>
      <c r="AB53" s="785" t="s">
        <v>77</v>
      </c>
      <c r="AC53" s="785" t="s">
        <v>77</v>
      </c>
      <c r="AD53" s="785" t="s">
        <v>77</v>
      </c>
      <c r="AE53" s="785" t="s">
        <v>77</v>
      </c>
      <c r="AF53" s="785" t="s">
        <v>77</v>
      </c>
      <c r="AG53" s="785" t="s">
        <v>77</v>
      </c>
      <c r="AH53" s="785" t="s">
        <v>77</v>
      </c>
      <c r="AI53" s="785" t="s">
        <v>77</v>
      </c>
      <c r="AJ53" s="785" t="s">
        <v>77</v>
      </c>
      <c r="AK53" s="785" t="s">
        <v>77</v>
      </c>
      <c r="AL53" s="785" t="s">
        <v>77</v>
      </c>
      <c r="AM53" s="785" t="s">
        <v>77</v>
      </c>
      <c r="AN53" s="785" t="s">
        <v>77</v>
      </c>
      <c r="AO53" s="785" t="s">
        <v>77</v>
      </c>
      <c r="AP53" s="785" t="s">
        <v>77</v>
      </c>
      <c r="AQ53" s="785" t="s">
        <v>77</v>
      </c>
      <c r="AR53" s="785" t="s">
        <v>77</v>
      </c>
      <c r="AS53" s="785" t="s">
        <v>77</v>
      </c>
      <c r="AT53" s="785" t="s">
        <v>77</v>
      </c>
      <c r="AU53" s="785" t="s">
        <v>77</v>
      </c>
      <c r="AV53" s="785" t="s">
        <v>77</v>
      </c>
      <c r="AW53" s="785" t="s">
        <v>77</v>
      </c>
      <c r="AX53" s="785" t="s">
        <v>77</v>
      </c>
      <c r="AY53" s="785" t="s">
        <v>77</v>
      </c>
      <c r="AZ53" s="785" t="s">
        <v>77</v>
      </c>
      <c r="BA53" s="785" t="s">
        <v>77</v>
      </c>
      <c r="BB53" s="785" t="s">
        <v>77</v>
      </c>
      <c r="BC53" s="785" t="s">
        <v>77</v>
      </c>
    </row>
    <row r="54" spans="1:55">
      <c r="A54" s="650">
        <v>52</v>
      </c>
      <c r="B54" s="782" t="s">
        <v>1132</v>
      </c>
      <c r="C54" s="783" t="s">
        <v>1838</v>
      </c>
      <c r="D54" s="780"/>
      <c r="E54" s="780"/>
      <c r="F54" s="780"/>
      <c r="G54" s="780"/>
      <c r="H54" s="780"/>
      <c r="I54" s="780"/>
      <c r="J54" s="780"/>
      <c r="K54" s="780"/>
      <c r="L54" s="780"/>
      <c r="M54" s="780"/>
      <c r="N54" s="780"/>
      <c r="O54" s="780"/>
      <c r="P54" s="780"/>
      <c r="Q54" s="780"/>
      <c r="R54" s="780"/>
      <c r="S54" s="780"/>
      <c r="T54" s="780"/>
      <c r="U54" s="780"/>
      <c r="V54" s="780"/>
      <c r="W54" s="780"/>
      <c r="X54" s="780"/>
      <c r="Y54" s="780"/>
      <c r="Z54" s="780"/>
      <c r="AA54" s="780"/>
      <c r="AB54" s="785" t="s">
        <v>77</v>
      </c>
      <c r="AC54" s="785" t="s">
        <v>77</v>
      </c>
      <c r="AD54" s="785" t="s">
        <v>77</v>
      </c>
      <c r="AE54" s="785" t="s">
        <v>77</v>
      </c>
      <c r="AF54" s="785" t="s">
        <v>77</v>
      </c>
      <c r="AG54" s="785" t="s">
        <v>77</v>
      </c>
      <c r="AH54" s="785" t="s">
        <v>77</v>
      </c>
      <c r="AI54" s="785" t="s">
        <v>77</v>
      </c>
      <c r="AJ54" s="785" t="s">
        <v>77</v>
      </c>
      <c r="AK54" s="785" t="s">
        <v>77</v>
      </c>
      <c r="AL54" s="785" t="s">
        <v>77</v>
      </c>
      <c r="AM54" s="785" t="s">
        <v>77</v>
      </c>
      <c r="AN54" s="785" t="s">
        <v>77</v>
      </c>
      <c r="AO54" s="785" t="s">
        <v>77</v>
      </c>
      <c r="AP54" s="785" t="s">
        <v>77</v>
      </c>
      <c r="AQ54" s="785" t="s">
        <v>77</v>
      </c>
      <c r="AR54" s="785" t="s">
        <v>77</v>
      </c>
      <c r="AS54" s="785" t="s">
        <v>77</v>
      </c>
      <c r="AT54" s="785" t="s">
        <v>77</v>
      </c>
      <c r="AU54" s="785" t="s">
        <v>77</v>
      </c>
      <c r="AV54" s="785" t="s">
        <v>77</v>
      </c>
      <c r="AW54" s="785" t="s">
        <v>77</v>
      </c>
      <c r="AX54" s="785" t="s">
        <v>77</v>
      </c>
      <c r="AY54" s="785" t="s">
        <v>77</v>
      </c>
      <c r="AZ54" s="785" t="s">
        <v>77</v>
      </c>
      <c r="BA54" s="785" t="s">
        <v>77</v>
      </c>
      <c r="BB54" s="785" t="s">
        <v>77</v>
      </c>
      <c r="BC54" s="785" t="s">
        <v>77</v>
      </c>
    </row>
    <row r="55" spans="1:55" hidden="1">
      <c r="A55" s="772">
        <v>52</v>
      </c>
      <c r="B55" s="782" t="s">
        <v>337</v>
      </c>
      <c r="C55" s="783" t="s">
        <v>338</v>
      </c>
      <c r="D55" s="787"/>
      <c r="E55" s="787"/>
      <c r="F55" s="787"/>
      <c r="G55" s="787"/>
      <c r="H55" s="787"/>
      <c r="I55" s="787"/>
      <c r="J55" s="787"/>
      <c r="K55" s="787"/>
      <c r="L55" s="787"/>
      <c r="M55" s="787"/>
      <c r="N55" s="787"/>
      <c r="O55" s="787"/>
      <c r="P55" s="787"/>
      <c r="Q55" s="787"/>
      <c r="R55" s="787"/>
      <c r="S55" s="787"/>
      <c r="T55" s="787"/>
      <c r="U55" s="787"/>
      <c r="V55" s="787"/>
      <c r="W55" s="787"/>
      <c r="X55" s="787"/>
      <c r="Y55" s="787"/>
      <c r="Z55" s="787"/>
      <c r="AA55" s="787"/>
      <c r="AB55" s="787"/>
      <c r="AC55" s="787"/>
      <c r="AD55" s="787"/>
      <c r="AE55" s="787"/>
      <c r="AF55" s="785" t="s">
        <v>77</v>
      </c>
      <c r="AG55" s="785" t="s">
        <v>77</v>
      </c>
      <c r="AH55" s="785" t="s">
        <v>77</v>
      </c>
      <c r="AI55" s="785" t="s">
        <v>77</v>
      </c>
      <c r="AJ55" s="787"/>
      <c r="AK55" s="787"/>
      <c r="AL55" s="787"/>
      <c r="AM55" s="787"/>
      <c r="AN55" s="787"/>
      <c r="AO55" s="787"/>
      <c r="AP55" s="787"/>
      <c r="AQ55" s="787"/>
      <c r="AR55" s="787"/>
      <c r="AS55" s="787"/>
      <c r="AT55" s="787"/>
      <c r="AU55" s="787"/>
      <c r="AV55" s="787"/>
      <c r="AW55" s="787"/>
      <c r="AX55" s="787"/>
    </row>
    <row r="56" spans="1:55" hidden="1">
      <c r="A56" s="772">
        <v>53</v>
      </c>
      <c r="B56" s="782" t="s">
        <v>339</v>
      </c>
      <c r="C56" s="783" t="s">
        <v>340</v>
      </c>
      <c r="D56" s="787"/>
      <c r="E56" s="787"/>
      <c r="F56" s="787"/>
      <c r="G56" s="787"/>
      <c r="H56" s="787"/>
      <c r="I56" s="787"/>
      <c r="J56" s="787"/>
      <c r="K56" s="787"/>
      <c r="L56" s="787"/>
      <c r="M56" s="787"/>
      <c r="N56" s="787"/>
      <c r="O56" s="787"/>
      <c r="P56" s="787"/>
      <c r="Q56" s="787"/>
      <c r="R56" s="787"/>
      <c r="S56" s="787"/>
      <c r="T56" s="787"/>
      <c r="U56" s="787"/>
      <c r="V56" s="787"/>
      <c r="W56" s="787"/>
      <c r="X56" s="787"/>
      <c r="Y56" s="787"/>
      <c r="Z56" s="787"/>
      <c r="AA56" s="787"/>
      <c r="AB56" s="787"/>
      <c r="AC56" s="787"/>
      <c r="AD56" s="787"/>
      <c r="AE56" s="787"/>
      <c r="AF56" s="787"/>
      <c r="AG56" s="787"/>
      <c r="AH56" s="787"/>
      <c r="AI56" s="787"/>
      <c r="AJ56" s="787"/>
      <c r="AK56" s="787"/>
      <c r="AL56" s="787"/>
      <c r="AM56" s="787"/>
      <c r="AN56" s="787"/>
      <c r="AO56" s="787"/>
      <c r="AP56" s="787"/>
      <c r="AQ56" s="787"/>
      <c r="AR56" s="787"/>
      <c r="AS56" s="787"/>
      <c r="AT56" s="787"/>
      <c r="AU56" s="787"/>
      <c r="AV56" s="787"/>
      <c r="AW56" s="787"/>
      <c r="AX56" s="787"/>
    </row>
    <row r="57" spans="1:55" hidden="1">
      <c r="A57" s="772">
        <v>54</v>
      </c>
      <c r="B57" s="782" t="s">
        <v>342</v>
      </c>
      <c r="C57" s="783" t="s">
        <v>343</v>
      </c>
      <c r="D57" s="787"/>
      <c r="E57" s="787"/>
      <c r="F57" s="787"/>
      <c r="G57" s="787"/>
      <c r="H57" s="787"/>
      <c r="I57" s="787"/>
      <c r="J57" s="787"/>
      <c r="K57" s="787"/>
      <c r="L57" s="787"/>
      <c r="M57" s="787"/>
      <c r="N57" s="787"/>
      <c r="O57" s="787"/>
      <c r="P57" s="787"/>
      <c r="Q57" s="787"/>
      <c r="R57" s="787"/>
      <c r="S57" s="787"/>
      <c r="T57" s="787"/>
      <c r="U57" s="787"/>
      <c r="V57" s="787"/>
      <c r="W57" s="787"/>
      <c r="X57" s="787"/>
      <c r="Y57" s="787"/>
      <c r="Z57" s="787"/>
      <c r="AA57" s="787"/>
      <c r="AB57" s="787"/>
      <c r="AC57" s="787"/>
      <c r="AD57" s="787"/>
      <c r="AE57" s="787"/>
      <c r="AF57" s="787"/>
      <c r="AG57" s="787"/>
      <c r="AH57" s="787"/>
      <c r="AI57" s="787"/>
      <c r="AJ57" s="787"/>
      <c r="AK57" s="787"/>
      <c r="AL57" s="787"/>
      <c r="AM57" s="787"/>
      <c r="AN57" s="787"/>
      <c r="AO57" s="787"/>
      <c r="AP57" s="787"/>
      <c r="AQ57" s="787"/>
      <c r="AR57" s="787"/>
      <c r="AS57" s="787"/>
      <c r="AT57" s="787"/>
      <c r="AU57" s="787"/>
      <c r="AV57" s="787"/>
      <c r="AW57" s="787"/>
      <c r="AX57" s="787"/>
    </row>
    <row r="58" spans="1:55" hidden="1">
      <c r="A58" s="772">
        <v>55</v>
      </c>
      <c r="B58" s="782" t="s">
        <v>344</v>
      </c>
      <c r="C58" s="783" t="s">
        <v>345</v>
      </c>
      <c r="D58" s="787"/>
      <c r="E58" s="787"/>
      <c r="F58" s="787"/>
      <c r="G58" s="787"/>
      <c r="H58" s="787"/>
      <c r="I58" s="787"/>
      <c r="J58" s="787"/>
      <c r="K58" s="787"/>
      <c r="L58" s="787"/>
      <c r="M58" s="787"/>
      <c r="N58" s="787"/>
      <c r="O58" s="787"/>
      <c r="P58" s="787"/>
      <c r="Q58" s="787"/>
      <c r="R58" s="787"/>
      <c r="S58" s="787"/>
      <c r="T58" s="787"/>
      <c r="U58" s="787"/>
      <c r="V58" s="787"/>
      <c r="W58" s="787"/>
      <c r="X58" s="787"/>
      <c r="Y58" s="787"/>
      <c r="Z58" s="787"/>
      <c r="AA58" s="787"/>
      <c r="AB58" s="787"/>
      <c r="AC58" s="787"/>
      <c r="AD58" s="787"/>
      <c r="AE58" s="787"/>
      <c r="AF58" s="787"/>
      <c r="AG58" s="787"/>
      <c r="AH58" s="787"/>
      <c r="AI58" s="787"/>
      <c r="AJ58" s="787"/>
      <c r="AK58" s="787"/>
      <c r="AL58" s="787"/>
      <c r="AM58" s="787"/>
      <c r="AN58" s="787"/>
      <c r="AO58" s="787"/>
      <c r="AP58" s="787"/>
      <c r="AQ58" s="787"/>
      <c r="AR58" s="787"/>
      <c r="AS58" s="787"/>
      <c r="AT58" s="787"/>
      <c r="AU58" s="787"/>
      <c r="AV58" s="787"/>
      <c r="AW58" s="787"/>
      <c r="AX58" s="787"/>
    </row>
    <row r="59" spans="1:55" hidden="1">
      <c r="A59" s="772">
        <v>56</v>
      </c>
      <c r="B59" s="782" t="s">
        <v>347</v>
      </c>
      <c r="C59" s="783" t="s">
        <v>348</v>
      </c>
      <c r="D59" s="787"/>
      <c r="E59" s="787"/>
      <c r="F59" s="787"/>
      <c r="G59" s="787"/>
      <c r="H59" s="787"/>
      <c r="I59" s="787"/>
      <c r="J59" s="787"/>
      <c r="K59" s="787"/>
      <c r="L59" s="787"/>
      <c r="M59" s="787"/>
      <c r="N59" s="787"/>
      <c r="O59" s="787"/>
      <c r="P59" s="787"/>
      <c r="Q59" s="787"/>
      <c r="R59" s="787"/>
      <c r="S59" s="787"/>
      <c r="T59" s="787"/>
      <c r="U59" s="787"/>
      <c r="V59" s="787"/>
      <c r="W59" s="787"/>
      <c r="X59" s="787"/>
      <c r="Y59" s="787"/>
      <c r="Z59" s="787"/>
      <c r="AA59" s="787"/>
      <c r="AB59" s="787"/>
      <c r="AC59" s="787"/>
      <c r="AD59" s="787"/>
      <c r="AE59" s="787"/>
      <c r="AF59" s="787"/>
      <c r="AG59" s="787"/>
      <c r="AH59" s="787"/>
      <c r="AI59" s="787"/>
      <c r="AJ59" s="787"/>
      <c r="AK59" s="787"/>
      <c r="AL59" s="787"/>
      <c r="AM59" s="787"/>
      <c r="AN59" s="787"/>
      <c r="AO59" s="787"/>
      <c r="AP59" s="787"/>
      <c r="AQ59" s="787"/>
      <c r="AR59" s="787"/>
      <c r="AS59" s="787"/>
      <c r="AT59" s="787"/>
      <c r="AU59" s="787"/>
      <c r="AV59" s="787"/>
      <c r="AW59" s="787"/>
      <c r="AX59" s="787"/>
    </row>
    <row r="60" spans="1:55" hidden="1">
      <c r="A60" s="772">
        <v>57</v>
      </c>
      <c r="B60" s="782" t="s">
        <v>1203</v>
      </c>
      <c r="C60" s="783" t="s">
        <v>351</v>
      </c>
      <c r="D60" s="787"/>
      <c r="E60" s="787"/>
      <c r="F60" s="787"/>
      <c r="G60" s="787"/>
      <c r="H60" s="787"/>
      <c r="I60" s="787"/>
      <c r="J60" s="787"/>
      <c r="K60" s="787"/>
      <c r="L60" s="787"/>
      <c r="M60" s="787"/>
      <c r="N60" s="787"/>
      <c r="O60" s="787"/>
      <c r="P60" s="787"/>
      <c r="Q60" s="787"/>
      <c r="R60" s="787"/>
      <c r="S60" s="787"/>
      <c r="T60" s="787"/>
      <c r="U60" s="787"/>
      <c r="V60" s="787"/>
      <c r="W60" s="787"/>
      <c r="X60" s="787"/>
      <c r="Y60" s="787"/>
      <c r="Z60" s="787"/>
      <c r="AA60" s="787"/>
      <c r="AB60" s="787"/>
      <c r="AC60" s="787"/>
      <c r="AD60" s="787"/>
      <c r="AE60" s="787"/>
      <c r="AF60" s="787"/>
      <c r="AG60" s="787"/>
      <c r="AH60" s="787"/>
      <c r="AI60" s="787"/>
      <c r="AJ60" s="787"/>
      <c r="AK60" s="787"/>
      <c r="AL60" s="787"/>
      <c r="AM60" s="787"/>
      <c r="AN60" s="787"/>
      <c r="AO60" s="787"/>
      <c r="AP60" s="787"/>
      <c r="AQ60" s="787"/>
      <c r="AR60" s="787"/>
      <c r="AS60" s="787"/>
      <c r="AT60" s="787"/>
      <c r="AU60" s="787"/>
      <c r="AV60" s="787"/>
      <c r="AW60" s="787"/>
      <c r="AX60" s="787"/>
    </row>
  </sheetData>
  <mergeCells count="16">
    <mergeCell ref="AN1:AQ1"/>
    <mergeCell ref="AR1:AU1"/>
    <mergeCell ref="AV1:AY1"/>
    <mergeCell ref="AZ1:BC1"/>
    <mergeCell ref="P1:S1"/>
    <mergeCell ref="T1:W1"/>
    <mergeCell ref="X1:AA1"/>
    <mergeCell ref="AB1:AE1"/>
    <mergeCell ref="AF1:AI1"/>
    <mergeCell ref="AJ1:AM1"/>
    <mergeCell ref="L1:O1"/>
    <mergeCell ref="A1:A2"/>
    <mergeCell ref="B1:B2"/>
    <mergeCell ref="C1:C2"/>
    <mergeCell ref="D1:G1"/>
    <mergeCell ref="H1:K1"/>
  </mergeCells>
  <pageMargins left="0.7" right="0.7" top="0.75" bottom="0.75" header="0.3" footer="0.3"/>
  <pageSetup paperSize="9"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8C52A-B366-4946-A72C-5FB4BA988AC4}">
  <dimension ref="A1:C62"/>
  <sheetViews>
    <sheetView workbookViewId="0"/>
  </sheetViews>
  <sheetFormatPr defaultRowHeight="15"/>
  <cols>
    <col min="1" max="1" width="6.5703125" customWidth="1"/>
    <col min="2" max="2" width="35.5703125" customWidth="1"/>
    <col min="3" max="3" width="22.5703125" style="793" customWidth="1"/>
  </cols>
  <sheetData>
    <row r="1" spans="1:3" s="16" customFormat="1" ht="15" customHeight="1">
      <c r="A1" s="1729" t="s">
        <v>2462</v>
      </c>
      <c r="B1" s="1730"/>
      <c r="C1" s="1731"/>
    </row>
    <row r="2" spans="1:3" s="16" customFormat="1" ht="15" customHeight="1">
      <c r="A2" s="1732" t="s">
        <v>61</v>
      </c>
      <c r="B2" s="1733" t="s">
        <v>62</v>
      </c>
      <c r="C2" s="1735" t="s">
        <v>2</v>
      </c>
    </row>
    <row r="3" spans="1:3" s="16" customFormat="1" ht="15" customHeight="1">
      <c r="A3" s="1732"/>
      <c r="B3" s="1734"/>
      <c r="C3" s="1736"/>
    </row>
    <row r="4" spans="1:3" s="16" customFormat="1" ht="15" customHeight="1">
      <c r="A4" s="795">
        <v>1</v>
      </c>
      <c r="B4" s="796" t="s">
        <v>2463</v>
      </c>
      <c r="C4" s="802" t="s">
        <v>155</v>
      </c>
    </row>
    <row r="5" spans="1:3" s="16" customFormat="1" ht="15" customHeight="1">
      <c r="A5" s="795">
        <v>2</v>
      </c>
      <c r="B5" s="796" t="s">
        <v>29</v>
      </c>
      <c r="C5" s="802" t="s">
        <v>196</v>
      </c>
    </row>
    <row r="6" spans="1:3" s="16" customFormat="1" ht="15" customHeight="1">
      <c r="A6" s="795">
        <v>3</v>
      </c>
      <c r="B6" s="796" t="s">
        <v>2270</v>
      </c>
      <c r="C6" s="797" t="s">
        <v>238</v>
      </c>
    </row>
    <row r="7" spans="1:3" s="16" customFormat="1" ht="15" customHeight="1">
      <c r="A7" s="795">
        <v>4</v>
      </c>
      <c r="B7" s="796" t="s">
        <v>2464</v>
      </c>
      <c r="C7" s="802" t="s">
        <v>184</v>
      </c>
    </row>
    <row r="8" spans="1:3" s="16" customFormat="1" ht="15" customHeight="1">
      <c r="A8" s="795">
        <v>5</v>
      </c>
      <c r="B8" s="798" t="s">
        <v>2465</v>
      </c>
      <c r="C8" s="802" t="s">
        <v>2466</v>
      </c>
    </row>
    <row r="9" spans="1:3" s="16" customFormat="1" ht="15" customHeight="1">
      <c r="A9" s="795">
        <v>6</v>
      </c>
      <c r="B9" s="799" t="s">
        <v>19</v>
      </c>
      <c r="C9" s="803" t="s">
        <v>165</v>
      </c>
    </row>
    <row r="10" spans="1:3" s="16" customFormat="1" ht="15" customHeight="1">
      <c r="A10" s="795">
        <v>7</v>
      </c>
      <c r="B10" s="800" t="s">
        <v>2467</v>
      </c>
      <c r="C10" s="804" t="s">
        <v>169</v>
      </c>
    </row>
    <row r="11" spans="1:3" s="16" customFormat="1" ht="15" customHeight="1">
      <c r="A11" s="795">
        <v>8</v>
      </c>
      <c r="B11" s="800" t="s">
        <v>160</v>
      </c>
      <c r="C11" s="804" t="s">
        <v>161</v>
      </c>
    </row>
    <row r="12" spans="1:3" s="16" customFormat="1" ht="15" customHeight="1">
      <c r="A12" s="795">
        <v>9</v>
      </c>
      <c r="B12" s="800" t="s">
        <v>2468</v>
      </c>
      <c r="C12" s="804" t="s">
        <v>2469</v>
      </c>
    </row>
    <row r="13" spans="1:3" s="16" customFormat="1" ht="15" customHeight="1"/>
    <row r="14" spans="1:3" s="16" customFormat="1" ht="15" customHeight="1"/>
    <row r="15" spans="1:3" s="16" customFormat="1" ht="15" customHeight="1"/>
    <row r="16" spans="1:3" s="16" customFormat="1" ht="15" customHeight="1">
      <c r="C16" s="801"/>
    </row>
    <row r="17" spans="3:3" s="16" customFormat="1" ht="15" customHeight="1">
      <c r="C17" s="801"/>
    </row>
    <row r="18" spans="3:3" s="16" customFormat="1" ht="15" customHeight="1">
      <c r="C18" s="801"/>
    </row>
    <row r="19" spans="3:3" s="16" customFormat="1" ht="15" customHeight="1">
      <c r="C19" s="801"/>
    </row>
    <row r="20" spans="3:3" s="16" customFormat="1" ht="15" customHeight="1">
      <c r="C20" s="801"/>
    </row>
    <row r="21" spans="3:3" s="16" customFormat="1" ht="15" customHeight="1">
      <c r="C21" s="801"/>
    </row>
    <row r="22" spans="3:3" s="16" customFormat="1" ht="15" customHeight="1">
      <c r="C22" s="801"/>
    </row>
    <row r="23" spans="3:3" s="16" customFormat="1" ht="15" customHeight="1">
      <c r="C23" s="801"/>
    </row>
    <row r="24" spans="3:3" s="16" customFormat="1" ht="15" customHeight="1">
      <c r="C24" s="801"/>
    </row>
    <row r="25" spans="3:3" s="16" customFormat="1" ht="15" customHeight="1">
      <c r="C25" s="801"/>
    </row>
    <row r="26" spans="3:3" s="16" customFormat="1" ht="15" customHeight="1">
      <c r="C26" s="801"/>
    </row>
    <row r="27" spans="3:3" s="16" customFormat="1" ht="15" customHeight="1">
      <c r="C27" s="801"/>
    </row>
    <row r="28" spans="3:3" s="16" customFormat="1" ht="15" customHeight="1">
      <c r="C28" s="801"/>
    </row>
    <row r="29" spans="3:3" s="16" customFormat="1" ht="15" customHeight="1">
      <c r="C29" s="801"/>
    </row>
    <row r="30" spans="3:3" s="16" customFormat="1" ht="15" customHeight="1">
      <c r="C30" s="801"/>
    </row>
    <row r="31" spans="3:3" s="16" customFormat="1" ht="15" customHeight="1">
      <c r="C31" s="801"/>
    </row>
    <row r="32" spans="3:3" s="16" customFormat="1" ht="15" customHeight="1">
      <c r="C32" s="801"/>
    </row>
    <row r="33" spans="3:3" s="16" customFormat="1" ht="15" customHeight="1">
      <c r="C33" s="801"/>
    </row>
    <row r="34" spans="3:3" s="16" customFormat="1" ht="15" customHeight="1">
      <c r="C34" s="801"/>
    </row>
    <row r="35" spans="3:3" s="16" customFormat="1" ht="15" customHeight="1">
      <c r="C35" s="801"/>
    </row>
    <row r="36" spans="3:3" s="16" customFormat="1" ht="15" customHeight="1">
      <c r="C36" s="801"/>
    </row>
    <row r="37" spans="3:3" s="16" customFormat="1" ht="15" customHeight="1">
      <c r="C37" s="801"/>
    </row>
    <row r="38" spans="3:3" s="16" customFormat="1" ht="15" customHeight="1">
      <c r="C38" s="801"/>
    </row>
    <row r="39" spans="3:3" s="16" customFormat="1" ht="15" customHeight="1">
      <c r="C39" s="801"/>
    </row>
    <row r="40" spans="3:3" s="16" customFormat="1" ht="15" customHeight="1">
      <c r="C40" s="801"/>
    </row>
    <row r="41" spans="3:3" s="16" customFormat="1" ht="15" customHeight="1">
      <c r="C41" s="801"/>
    </row>
    <row r="42" spans="3:3" s="16" customFormat="1" ht="15" customHeight="1">
      <c r="C42" s="801"/>
    </row>
    <row r="43" spans="3:3" s="16" customFormat="1" ht="15" customHeight="1">
      <c r="C43" s="801"/>
    </row>
    <row r="44" spans="3:3" s="16" customFormat="1" ht="15" customHeight="1">
      <c r="C44" s="801"/>
    </row>
    <row r="45" spans="3:3" s="16" customFormat="1" ht="15" customHeight="1">
      <c r="C45" s="801"/>
    </row>
    <row r="46" spans="3:3" s="16" customFormat="1" ht="15" customHeight="1">
      <c r="C46" s="801"/>
    </row>
    <row r="47" spans="3:3" s="16" customFormat="1" ht="15" customHeight="1">
      <c r="C47" s="801"/>
    </row>
    <row r="48" spans="3:3" s="16" customFormat="1" ht="15" customHeight="1">
      <c r="C48" s="801"/>
    </row>
    <row r="49" spans="3:3" s="16" customFormat="1" ht="15" customHeight="1">
      <c r="C49" s="801"/>
    </row>
    <row r="50" spans="3:3" s="16" customFormat="1" ht="15" customHeight="1">
      <c r="C50" s="801"/>
    </row>
    <row r="51" spans="3:3" s="16" customFormat="1" ht="15" customHeight="1">
      <c r="C51" s="801"/>
    </row>
    <row r="52" spans="3:3" s="16" customFormat="1" ht="15" customHeight="1">
      <c r="C52" s="801"/>
    </row>
    <row r="53" spans="3:3" s="16" customFormat="1" ht="15" customHeight="1">
      <c r="C53" s="801"/>
    </row>
    <row r="54" spans="3:3" s="16" customFormat="1" ht="15" customHeight="1">
      <c r="C54" s="801"/>
    </row>
    <row r="55" spans="3:3" s="16" customFormat="1" ht="15" customHeight="1">
      <c r="C55" s="801"/>
    </row>
    <row r="56" spans="3:3" s="16" customFormat="1" ht="15" customHeight="1">
      <c r="C56" s="801"/>
    </row>
    <row r="57" spans="3:3" s="16" customFormat="1" ht="15" customHeight="1">
      <c r="C57" s="801"/>
    </row>
    <row r="58" spans="3:3" s="16" customFormat="1" ht="15" customHeight="1">
      <c r="C58" s="801"/>
    </row>
    <row r="59" spans="3:3" s="16" customFormat="1" ht="15" customHeight="1">
      <c r="C59" s="801"/>
    </row>
    <row r="60" spans="3:3" s="16" customFormat="1" ht="15" customHeight="1">
      <c r="C60" s="801"/>
    </row>
    <row r="61" spans="3:3" s="16" customFormat="1" ht="15" customHeight="1">
      <c r="C61" s="801"/>
    </row>
    <row r="62" spans="3:3" s="16" customFormat="1" ht="15" customHeight="1">
      <c r="C62" s="801"/>
    </row>
  </sheetData>
  <mergeCells count="4">
    <mergeCell ref="A1:C1"/>
    <mergeCell ref="A2:A3"/>
    <mergeCell ref="B2:B3"/>
    <mergeCell ref="C2:C3"/>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74D5D-B611-459B-9B58-D12038280651}">
  <dimension ref="A1:C62"/>
  <sheetViews>
    <sheetView workbookViewId="0"/>
  </sheetViews>
  <sheetFormatPr defaultRowHeight="15"/>
  <cols>
    <col min="1" max="1" width="6.5703125" customWidth="1"/>
    <col min="2" max="2" width="35.5703125" customWidth="1"/>
    <col min="3" max="3" width="22.5703125" style="793" customWidth="1"/>
  </cols>
  <sheetData>
    <row r="1" spans="1:3" s="16" customFormat="1" ht="15" customHeight="1">
      <c r="A1" s="1729" t="s">
        <v>2462</v>
      </c>
      <c r="B1" s="1730"/>
      <c r="C1" s="1731"/>
    </row>
    <row r="2" spans="1:3" s="16" customFormat="1" ht="15" customHeight="1">
      <c r="A2" s="1732" t="s">
        <v>61</v>
      </c>
      <c r="B2" s="1733" t="s">
        <v>62</v>
      </c>
      <c r="C2" s="1735" t="s">
        <v>2</v>
      </c>
    </row>
    <row r="3" spans="1:3" s="16" customFormat="1" ht="15" customHeight="1">
      <c r="A3" s="1732"/>
      <c r="B3" s="1734"/>
      <c r="C3" s="1736"/>
    </row>
    <row r="4" spans="1:3" s="16" customFormat="1" ht="15" customHeight="1">
      <c r="A4" s="795">
        <v>1</v>
      </c>
      <c r="B4" s="796" t="s">
        <v>2463</v>
      </c>
      <c r="C4" s="802" t="s">
        <v>155</v>
      </c>
    </row>
    <row r="5" spans="1:3" s="16" customFormat="1" ht="15" customHeight="1">
      <c r="A5" s="795">
        <v>2</v>
      </c>
      <c r="B5" s="796" t="s">
        <v>29</v>
      </c>
      <c r="C5" s="802" t="s">
        <v>196</v>
      </c>
    </row>
    <row r="6" spans="1:3" s="16" customFormat="1" ht="15" customHeight="1">
      <c r="A6" s="795">
        <v>3</v>
      </c>
      <c r="B6" s="796" t="s">
        <v>2270</v>
      </c>
      <c r="C6" s="797" t="s">
        <v>238</v>
      </c>
    </row>
    <row r="7" spans="1:3" s="16" customFormat="1" ht="15" customHeight="1">
      <c r="A7" s="795">
        <v>4</v>
      </c>
      <c r="B7" s="796" t="s">
        <v>2464</v>
      </c>
      <c r="C7" s="802" t="s">
        <v>184</v>
      </c>
    </row>
    <row r="8" spans="1:3" s="16" customFormat="1" ht="15" customHeight="1">
      <c r="A8" s="795">
        <v>5</v>
      </c>
      <c r="B8" s="799" t="s">
        <v>38</v>
      </c>
      <c r="C8" s="803" t="s">
        <v>218</v>
      </c>
    </row>
    <row r="9" spans="1:3" s="16" customFormat="1" ht="15" customHeight="1">
      <c r="A9" s="795">
        <v>6</v>
      </c>
      <c r="B9" s="799" t="s">
        <v>33</v>
      </c>
      <c r="C9" s="803" t="s">
        <v>209</v>
      </c>
    </row>
    <row r="10" spans="1:3" s="16" customFormat="1" ht="15" customHeight="1">
      <c r="A10" s="795">
        <v>7</v>
      </c>
      <c r="B10" s="799" t="s">
        <v>187</v>
      </c>
      <c r="C10" s="803" t="s">
        <v>188</v>
      </c>
    </row>
    <row r="11" spans="1:3" s="16" customFormat="1" ht="15" customHeight="1">
      <c r="A11" s="795">
        <v>8</v>
      </c>
      <c r="B11" s="798" t="s">
        <v>2465</v>
      </c>
      <c r="C11" s="802" t="s">
        <v>2466</v>
      </c>
    </row>
    <row r="12" spans="1:3" s="16" customFormat="1" ht="15" customHeight="1">
      <c r="A12" s="795">
        <v>9</v>
      </c>
      <c r="B12" s="799" t="s">
        <v>19</v>
      </c>
      <c r="C12" s="803" t="s">
        <v>165</v>
      </c>
    </row>
    <row r="13" spans="1:3" s="16" customFormat="1" ht="15" customHeight="1">
      <c r="C13" s="801"/>
    </row>
    <row r="14" spans="1:3" s="16" customFormat="1" ht="15" customHeight="1">
      <c r="C14" s="801"/>
    </row>
    <row r="15" spans="1:3" s="16" customFormat="1" ht="15" customHeight="1">
      <c r="C15" s="801"/>
    </row>
    <row r="16" spans="1:3" s="16" customFormat="1" ht="15" customHeight="1">
      <c r="C16" s="801"/>
    </row>
    <row r="17" spans="3:3" s="16" customFormat="1" ht="15" customHeight="1">
      <c r="C17" s="801"/>
    </row>
    <row r="18" spans="3:3" s="16" customFormat="1" ht="15" customHeight="1">
      <c r="C18" s="801"/>
    </row>
    <row r="19" spans="3:3" s="16" customFormat="1" ht="15" customHeight="1">
      <c r="C19" s="801"/>
    </row>
    <row r="20" spans="3:3" s="16" customFormat="1" ht="15" customHeight="1">
      <c r="C20" s="801"/>
    </row>
    <row r="21" spans="3:3" s="16" customFormat="1" ht="15" customHeight="1">
      <c r="C21" s="801"/>
    </row>
    <row r="22" spans="3:3" s="16" customFormat="1" ht="15" customHeight="1">
      <c r="C22" s="801"/>
    </row>
    <row r="23" spans="3:3" s="16" customFormat="1" ht="15" customHeight="1">
      <c r="C23" s="801"/>
    </row>
    <row r="24" spans="3:3" s="16" customFormat="1" ht="15" customHeight="1">
      <c r="C24" s="801"/>
    </row>
    <row r="25" spans="3:3" s="16" customFormat="1" ht="15" customHeight="1">
      <c r="C25" s="801"/>
    </row>
    <row r="26" spans="3:3" s="16" customFormat="1" ht="15" customHeight="1">
      <c r="C26" s="801"/>
    </row>
    <row r="27" spans="3:3" s="16" customFormat="1" ht="15" customHeight="1">
      <c r="C27" s="801"/>
    </row>
    <row r="28" spans="3:3" s="16" customFormat="1" ht="15" customHeight="1">
      <c r="C28" s="801"/>
    </row>
    <row r="29" spans="3:3" s="16" customFormat="1" ht="15" customHeight="1">
      <c r="C29" s="801"/>
    </row>
    <row r="30" spans="3:3" s="16" customFormat="1" ht="15" customHeight="1">
      <c r="C30" s="801"/>
    </row>
    <row r="31" spans="3:3" s="16" customFormat="1" ht="15" customHeight="1">
      <c r="C31" s="801"/>
    </row>
    <row r="32" spans="3:3" s="16" customFormat="1" ht="15" customHeight="1">
      <c r="C32" s="801"/>
    </row>
    <row r="33" spans="3:3" s="16" customFormat="1" ht="15" customHeight="1">
      <c r="C33" s="801"/>
    </row>
    <row r="34" spans="3:3" s="16" customFormat="1" ht="15" customHeight="1">
      <c r="C34" s="801"/>
    </row>
    <row r="35" spans="3:3" s="16" customFormat="1" ht="15" customHeight="1">
      <c r="C35" s="801"/>
    </row>
    <row r="36" spans="3:3" s="16" customFormat="1" ht="15" customHeight="1">
      <c r="C36" s="801"/>
    </row>
    <row r="37" spans="3:3" s="16" customFormat="1" ht="15" customHeight="1">
      <c r="C37" s="801"/>
    </row>
    <row r="38" spans="3:3" s="16" customFormat="1" ht="15" customHeight="1">
      <c r="C38" s="801"/>
    </row>
    <row r="39" spans="3:3" s="16" customFormat="1" ht="15" customHeight="1">
      <c r="C39" s="801"/>
    </row>
    <row r="40" spans="3:3" s="16" customFormat="1" ht="15" customHeight="1">
      <c r="C40" s="801"/>
    </row>
    <row r="41" spans="3:3" s="16" customFormat="1" ht="15" customHeight="1">
      <c r="C41" s="801"/>
    </row>
    <row r="42" spans="3:3" s="16" customFormat="1" ht="15" customHeight="1">
      <c r="C42" s="801"/>
    </row>
    <row r="43" spans="3:3" s="16" customFormat="1" ht="15" customHeight="1">
      <c r="C43" s="801"/>
    </row>
    <row r="44" spans="3:3" s="16" customFormat="1" ht="15" customHeight="1">
      <c r="C44" s="801"/>
    </row>
    <row r="45" spans="3:3" s="16" customFormat="1" ht="15" customHeight="1">
      <c r="C45" s="801"/>
    </row>
    <row r="46" spans="3:3" s="16" customFormat="1" ht="15" customHeight="1">
      <c r="C46" s="801"/>
    </row>
    <row r="47" spans="3:3" s="16" customFormat="1" ht="15" customHeight="1">
      <c r="C47" s="801"/>
    </row>
    <row r="48" spans="3:3" s="16" customFormat="1" ht="15" customHeight="1">
      <c r="C48" s="801"/>
    </row>
    <row r="49" spans="3:3" s="16" customFormat="1" ht="15" customHeight="1">
      <c r="C49" s="801"/>
    </row>
    <row r="50" spans="3:3" s="16" customFormat="1" ht="15" customHeight="1">
      <c r="C50" s="801"/>
    </row>
    <row r="51" spans="3:3" s="16" customFormat="1" ht="15" customHeight="1">
      <c r="C51" s="801"/>
    </row>
    <row r="52" spans="3:3" s="16" customFormat="1" ht="15" customHeight="1">
      <c r="C52" s="801"/>
    </row>
    <row r="53" spans="3:3" s="16" customFormat="1" ht="15" customHeight="1">
      <c r="C53" s="801"/>
    </row>
    <row r="54" spans="3:3" s="16" customFormat="1" ht="15" customHeight="1">
      <c r="C54" s="801"/>
    </row>
    <row r="55" spans="3:3" s="16" customFormat="1" ht="15" customHeight="1">
      <c r="C55" s="801"/>
    </row>
    <row r="56" spans="3:3" s="16" customFormat="1" ht="15" customHeight="1">
      <c r="C56" s="801"/>
    </row>
    <row r="57" spans="3:3" s="16" customFormat="1" ht="15" customHeight="1">
      <c r="C57" s="801"/>
    </row>
    <row r="58" spans="3:3" s="16" customFormat="1" ht="15" customHeight="1">
      <c r="C58" s="801"/>
    </row>
    <row r="59" spans="3:3" s="16" customFormat="1" ht="15" customHeight="1">
      <c r="C59" s="801"/>
    </row>
    <row r="60" spans="3:3" s="16" customFormat="1" ht="15" customHeight="1">
      <c r="C60" s="801"/>
    </row>
    <row r="61" spans="3:3" s="16" customFormat="1" ht="15" customHeight="1">
      <c r="C61" s="801"/>
    </row>
    <row r="62" spans="3:3" s="16" customFormat="1" ht="15" customHeight="1">
      <c r="C62" s="801"/>
    </row>
  </sheetData>
  <mergeCells count="4">
    <mergeCell ref="A1:C1"/>
    <mergeCell ref="A2:A3"/>
    <mergeCell ref="B2:B3"/>
    <mergeCell ref="C2:C3"/>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1DE89-CDA8-4524-A76A-34547D55A235}">
  <dimension ref="A1:E70"/>
  <sheetViews>
    <sheetView workbookViewId="0"/>
  </sheetViews>
  <sheetFormatPr defaultRowHeight="15"/>
  <cols>
    <col min="1" max="1" width="6.5703125" customWidth="1"/>
    <col min="2" max="2" width="35.5703125" customWidth="1"/>
    <col min="3" max="3" width="22.5703125" style="793" customWidth="1"/>
    <col min="4" max="4" width="35.5703125" style="805" customWidth="1"/>
    <col min="5" max="5" width="22.5703125" style="600" customWidth="1"/>
  </cols>
  <sheetData>
    <row r="1" spans="1:5" s="16" customFormat="1" ht="15" customHeight="1">
      <c r="A1" s="1732" t="s">
        <v>2462</v>
      </c>
      <c r="B1" s="1732"/>
      <c r="C1" s="1732"/>
      <c r="D1" s="1732"/>
      <c r="E1" s="1732"/>
    </row>
    <row r="2" spans="1:5" s="16" customFormat="1" ht="15" customHeight="1">
      <c r="A2" s="1732" t="s">
        <v>61</v>
      </c>
      <c r="B2" s="794" t="s">
        <v>62</v>
      </c>
      <c r="C2" s="806" t="s">
        <v>2</v>
      </c>
      <c r="D2" s="807" t="s">
        <v>62</v>
      </c>
      <c r="E2" s="794" t="s">
        <v>2</v>
      </c>
    </row>
    <row r="3" spans="1:5" s="16" customFormat="1" ht="15" customHeight="1">
      <c r="A3" s="1732"/>
      <c r="B3" s="1732" t="s">
        <v>2470</v>
      </c>
      <c r="C3" s="1732"/>
      <c r="D3" s="1732" t="s">
        <v>2471</v>
      </c>
      <c r="E3" s="1732"/>
    </row>
    <row r="4" spans="1:5" s="16" customFormat="1" ht="15" customHeight="1">
      <c r="A4" s="795">
        <v>1</v>
      </c>
      <c r="B4" s="796" t="s">
        <v>2463</v>
      </c>
      <c r="C4" s="802" t="s">
        <v>155</v>
      </c>
      <c r="D4" s="799" t="s">
        <v>40</v>
      </c>
      <c r="E4" s="803" t="s">
        <v>230</v>
      </c>
    </row>
    <row r="5" spans="1:5" s="16" customFormat="1" ht="15" customHeight="1">
      <c r="A5" s="795">
        <v>2</v>
      </c>
      <c r="B5" s="796" t="s">
        <v>29</v>
      </c>
      <c r="C5" s="802" t="s">
        <v>196</v>
      </c>
      <c r="D5" s="799" t="s">
        <v>187</v>
      </c>
      <c r="E5" s="803" t="s">
        <v>188</v>
      </c>
    </row>
    <row r="6" spans="1:5" s="16" customFormat="1" ht="15" customHeight="1">
      <c r="A6" s="795">
        <v>3</v>
      </c>
      <c r="B6" s="796" t="s">
        <v>40</v>
      </c>
      <c r="C6" s="802" t="s">
        <v>230</v>
      </c>
      <c r="D6" s="799" t="s">
        <v>27</v>
      </c>
      <c r="E6" s="803" t="s">
        <v>184</v>
      </c>
    </row>
    <row r="7" spans="1:5" s="16" customFormat="1" ht="15" customHeight="1">
      <c r="A7" s="795">
        <v>4</v>
      </c>
      <c r="B7" s="796" t="s">
        <v>2270</v>
      </c>
      <c r="C7" s="797" t="s">
        <v>238</v>
      </c>
      <c r="D7" s="799" t="s">
        <v>10</v>
      </c>
      <c r="E7" s="803" t="s">
        <v>256</v>
      </c>
    </row>
    <row r="8" spans="1:5" s="16" customFormat="1" ht="15" customHeight="1">
      <c r="A8" s="795">
        <v>5</v>
      </c>
      <c r="B8" s="796" t="s">
        <v>226</v>
      </c>
      <c r="C8" s="802" t="s">
        <v>227</v>
      </c>
      <c r="D8" s="799" t="s">
        <v>29</v>
      </c>
      <c r="E8" s="803" t="s">
        <v>196</v>
      </c>
    </row>
    <row r="9" spans="1:5" s="16" customFormat="1" ht="15" customHeight="1">
      <c r="A9" s="795">
        <v>6</v>
      </c>
      <c r="B9" s="796" t="s">
        <v>2246</v>
      </c>
      <c r="C9" s="802" t="s">
        <v>201</v>
      </c>
      <c r="D9" s="799" t="s">
        <v>56</v>
      </c>
      <c r="E9" s="803" t="s">
        <v>1844</v>
      </c>
    </row>
    <row r="10" spans="1:5" s="16" customFormat="1" ht="15" customHeight="1">
      <c r="A10" s="795">
        <v>7</v>
      </c>
      <c r="B10" s="796" t="s">
        <v>2464</v>
      </c>
      <c r="C10" s="802" t="s">
        <v>184</v>
      </c>
      <c r="D10" s="799" t="s">
        <v>19</v>
      </c>
      <c r="E10" s="803" t="s">
        <v>165</v>
      </c>
    </row>
    <row r="11" spans="1:5" s="16" customFormat="1" ht="15" customHeight="1">
      <c r="A11" s="808">
        <v>8</v>
      </c>
      <c r="B11" s="809" t="s">
        <v>2472</v>
      </c>
      <c r="C11" s="811" t="s">
        <v>232</v>
      </c>
      <c r="D11" s="799" t="s">
        <v>48</v>
      </c>
      <c r="E11" s="803" t="s">
        <v>244</v>
      </c>
    </row>
    <row r="12" spans="1:5" s="16" customFormat="1" ht="15" customHeight="1">
      <c r="A12" s="795">
        <v>9</v>
      </c>
      <c r="B12" s="795" t="s">
        <v>77</v>
      </c>
      <c r="C12" s="797" t="s">
        <v>77</v>
      </c>
      <c r="D12" s="799" t="s">
        <v>50</v>
      </c>
      <c r="E12" s="803" t="s">
        <v>249</v>
      </c>
    </row>
    <row r="13" spans="1:5" s="16" customFormat="1" ht="15" customHeight="1">
      <c r="A13" s="795">
        <v>10</v>
      </c>
      <c r="B13" s="795" t="s">
        <v>77</v>
      </c>
      <c r="C13" s="797" t="s">
        <v>77</v>
      </c>
      <c r="D13" s="799" t="s">
        <v>42</v>
      </c>
      <c r="E13" s="803" t="s">
        <v>232</v>
      </c>
    </row>
    <row r="14" spans="1:5" s="16" customFormat="1" ht="15" customHeight="1">
      <c r="A14" s="795">
        <v>11</v>
      </c>
      <c r="B14" s="795" t="s">
        <v>77</v>
      </c>
      <c r="C14" s="797" t="s">
        <v>77</v>
      </c>
      <c r="D14" s="799" t="s">
        <v>44</v>
      </c>
      <c r="E14" s="803" t="s">
        <v>235</v>
      </c>
    </row>
    <row r="15" spans="1:5" s="16" customFormat="1" ht="15" customHeight="1">
      <c r="A15" s="795">
        <v>12</v>
      </c>
      <c r="B15" s="795" t="s">
        <v>77</v>
      </c>
      <c r="C15" s="797" t="s">
        <v>77</v>
      </c>
      <c r="D15" s="799" t="s">
        <v>38</v>
      </c>
      <c r="E15" s="803" t="s">
        <v>218</v>
      </c>
    </row>
    <row r="16" spans="1:5" s="16" customFormat="1" ht="15" customHeight="1">
      <c r="A16" s="795">
        <v>13</v>
      </c>
      <c r="B16" s="795" t="s">
        <v>77</v>
      </c>
      <c r="C16" s="797" t="s">
        <v>77</v>
      </c>
      <c r="D16" s="799" t="s">
        <v>33</v>
      </c>
      <c r="E16" s="803" t="s">
        <v>209</v>
      </c>
    </row>
    <row r="17" spans="1:5" s="16" customFormat="1" ht="15" customHeight="1">
      <c r="A17" s="795">
        <v>14</v>
      </c>
      <c r="B17" s="795" t="s">
        <v>77</v>
      </c>
      <c r="C17" s="797" t="s">
        <v>77</v>
      </c>
      <c r="D17" s="799" t="s">
        <v>2246</v>
      </c>
      <c r="E17" s="802" t="s">
        <v>201</v>
      </c>
    </row>
    <row r="18" spans="1:5" s="16" customFormat="1" ht="15" customHeight="1">
      <c r="A18" s="795">
        <v>15</v>
      </c>
      <c r="B18" s="795" t="s">
        <v>77</v>
      </c>
      <c r="C18" s="797" t="s">
        <v>77</v>
      </c>
      <c r="D18" s="799" t="s">
        <v>46</v>
      </c>
      <c r="E18" s="803" t="s">
        <v>1812</v>
      </c>
    </row>
    <row r="19" spans="1:5" s="16" customFormat="1" ht="15" customHeight="1">
      <c r="A19" s="795">
        <v>16</v>
      </c>
      <c r="B19" s="795" t="s">
        <v>77</v>
      </c>
      <c r="C19" s="797" t="s">
        <v>77</v>
      </c>
      <c r="D19" s="799" t="s">
        <v>2473</v>
      </c>
      <c r="E19" s="803" t="s">
        <v>1813</v>
      </c>
    </row>
    <row r="20" spans="1:5" s="16" customFormat="1" ht="15" customHeight="1">
      <c r="A20" s="795">
        <v>17</v>
      </c>
      <c r="B20" s="795" t="s">
        <v>77</v>
      </c>
      <c r="C20" s="797" t="s">
        <v>77</v>
      </c>
      <c r="D20" s="799" t="s">
        <v>2474</v>
      </c>
      <c r="E20" s="803" t="s">
        <v>1814</v>
      </c>
    </row>
    <row r="21" spans="1:5" s="16" customFormat="1" ht="15" customHeight="1">
      <c r="C21" s="801"/>
      <c r="D21" s="810"/>
      <c r="E21" s="600"/>
    </row>
    <row r="22" spans="1:5" s="16" customFormat="1" ht="15" customHeight="1">
      <c r="C22" s="801"/>
      <c r="D22" s="810"/>
      <c r="E22" s="600"/>
    </row>
    <row r="23" spans="1:5" s="16" customFormat="1" ht="15" customHeight="1">
      <c r="C23" s="801"/>
      <c r="D23" s="810"/>
      <c r="E23" s="600"/>
    </row>
    <row r="24" spans="1:5" s="16" customFormat="1" ht="15" customHeight="1">
      <c r="C24" s="801"/>
      <c r="D24" s="810"/>
      <c r="E24" s="600"/>
    </row>
    <row r="25" spans="1:5" s="16" customFormat="1" ht="15" customHeight="1">
      <c r="C25" s="801"/>
      <c r="D25" s="810"/>
      <c r="E25" s="600"/>
    </row>
    <row r="26" spans="1:5" s="16" customFormat="1" ht="15" customHeight="1">
      <c r="C26" s="801"/>
      <c r="D26" s="810"/>
      <c r="E26" s="600"/>
    </row>
    <row r="27" spans="1:5" s="16" customFormat="1" ht="15" customHeight="1">
      <c r="C27" s="801"/>
      <c r="D27" s="810"/>
      <c r="E27" s="600"/>
    </row>
    <row r="28" spans="1:5" s="16" customFormat="1" ht="15" customHeight="1">
      <c r="C28" s="801"/>
      <c r="D28" s="810"/>
      <c r="E28" s="600"/>
    </row>
    <row r="29" spans="1:5" s="16" customFormat="1" ht="15" customHeight="1">
      <c r="C29" s="801"/>
      <c r="D29" s="810"/>
      <c r="E29" s="600"/>
    </row>
    <row r="30" spans="1:5" s="16" customFormat="1" ht="15" customHeight="1">
      <c r="C30" s="801"/>
      <c r="D30" s="810"/>
      <c r="E30" s="600"/>
    </row>
    <row r="31" spans="1:5" s="16" customFormat="1" ht="15" customHeight="1">
      <c r="C31" s="801"/>
      <c r="D31" s="810"/>
      <c r="E31" s="600"/>
    </row>
    <row r="32" spans="1:5" s="16" customFormat="1" ht="15" customHeight="1">
      <c r="C32" s="801"/>
      <c r="D32" s="810"/>
      <c r="E32" s="600"/>
    </row>
    <row r="33" spans="3:5" s="16" customFormat="1" ht="15" customHeight="1">
      <c r="C33" s="801"/>
      <c r="D33" s="810"/>
      <c r="E33" s="600"/>
    </row>
    <row r="34" spans="3:5" s="16" customFormat="1" ht="15" customHeight="1">
      <c r="C34" s="801"/>
      <c r="D34" s="810"/>
      <c r="E34" s="600"/>
    </row>
    <row r="35" spans="3:5" s="16" customFormat="1" ht="15" customHeight="1">
      <c r="C35" s="801"/>
      <c r="D35" s="810"/>
      <c r="E35" s="600"/>
    </row>
    <row r="36" spans="3:5" s="16" customFormat="1" ht="15" customHeight="1">
      <c r="C36" s="801"/>
      <c r="D36" s="810"/>
      <c r="E36" s="600"/>
    </row>
    <row r="37" spans="3:5" s="16" customFormat="1" ht="15" customHeight="1">
      <c r="C37" s="801"/>
      <c r="D37" s="810"/>
      <c r="E37" s="600"/>
    </row>
    <row r="38" spans="3:5" s="16" customFormat="1" ht="15" customHeight="1">
      <c r="C38" s="801"/>
      <c r="D38" s="810"/>
      <c r="E38" s="600"/>
    </row>
    <row r="39" spans="3:5" s="16" customFormat="1" ht="15" customHeight="1">
      <c r="C39" s="801"/>
      <c r="D39" s="810"/>
      <c r="E39" s="600"/>
    </row>
    <row r="40" spans="3:5" s="16" customFormat="1" ht="15" customHeight="1">
      <c r="C40" s="801"/>
      <c r="D40" s="810"/>
      <c r="E40" s="600"/>
    </row>
    <row r="41" spans="3:5" s="16" customFormat="1" ht="15" customHeight="1">
      <c r="C41" s="801"/>
      <c r="D41" s="810"/>
      <c r="E41" s="600"/>
    </row>
    <row r="42" spans="3:5" s="16" customFormat="1" ht="15" customHeight="1">
      <c r="C42" s="801"/>
      <c r="D42" s="810"/>
      <c r="E42" s="600"/>
    </row>
    <row r="43" spans="3:5" s="16" customFormat="1" ht="15" customHeight="1">
      <c r="C43" s="801"/>
      <c r="D43" s="810"/>
      <c r="E43" s="600"/>
    </row>
    <row r="44" spans="3:5" s="16" customFormat="1" ht="15" customHeight="1">
      <c r="C44" s="801"/>
      <c r="D44" s="810"/>
      <c r="E44" s="600"/>
    </row>
    <row r="45" spans="3:5" s="16" customFormat="1" ht="15" customHeight="1">
      <c r="C45" s="801"/>
      <c r="D45" s="810"/>
      <c r="E45" s="600"/>
    </row>
    <row r="46" spans="3:5" s="16" customFormat="1" ht="15" customHeight="1">
      <c r="C46" s="801"/>
      <c r="D46" s="810"/>
      <c r="E46" s="600"/>
    </row>
    <row r="47" spans="3:5" s="16" customFormat="1" ht="15" customHeight="1">
      <c r="C47" s="801"/>
      <c r="D47" s="810"/>
      <c r="E47" s="600"/>
    </row>
    <row r="48" spans="3:5" s="16" customFormat="1" ht="15" customHeight="1">
      <c r="C48" s="801"/>
      <c r="D48" s="810"/>
      <c r="E48" s="600"/>
    </row>
    <row r="49" spans="3:5" s="16" customFormat="1" ht="15" customHeight="1">
      <c r="C49" s="801"/>
      <c r="D49" s="810"/>
      <c r="E49" s="600"/>
    </row>
    <row r="50" spans="3:5" s="16" customFormat="1" ht="15" customHeight="1">
      <c r="C50" s="801"/>
      <c r="D50" s="810"/>
      <c r="E50" s="600"/>
    </row>
    <row r="51" spans="3:5" s="16" customFormat="1" ht="15" customHeight="1">
      <c r="C51" s="801"/>
      <c r="D51" s="810"/>
      <c r="E51" s="600"/>
    </row>
    <row r="52" spans="3:5" s="16" customFormat="1" ht="15" customHeight="1">
      <c r="C52" s="801"/>
      <c r="D52" s="810"/>
      <c r="E52" s="600"/>
    </row>
    <row r="53" spans="3:5" s="16" customFormat="1" ht="15" customHeight="1">
      <c r="C53" s="801"/>
      <c r="D53" s="810"/>
      <c r="E53" s="600"/>
    </row>
    <row r="54" spans="3:5" s="16" customFormat="1" ht="15" customHeight="1">
      <c r="C54" s="801"/>
      <c r="D54" s="810"/>
      <c r="E54" s="600"/>
    </row>
    <row r="55" spans="3:5" s="16" customFormat="1" ht="15" customHeight="1">
      <c r="C55" s="801"/>
      <c r="D55" s="810"/>
      <c r="E55" s="600"/>
    </row>
    <row r="56" spans="3:5" s="16" customFormat="1" ht="15" customHeight="1">
      <c r="C56" s="801"/>
      <c r="D56" s="810"/>
      <c r="E56" s="600"/>
    </row>
    <row r="57" spans="3:5" s="16" customFormat="1" ht="15" customHeight="1">
      <c r="C57" s="801"/>
      <c r="D57" s="810"/>
      <c r="E57" s="600"/>
    </row>
    <row r="58" spans="3:5" s="16" customFormat="1" ht="15" customHeight="1">
      <c r="C58" s="801"/>
      <c r="D58" s="810"/>
      <c r="E58" s="600"/>
    </row>
    <row r="59" spans="3:5" s="16" customFormat="1" ht="15" customHeight="1">
      <c r="C59" s="801"/>
      <c r="D59" s="810"/>
      <c r="E59" s="600"/>
    </row>
    <row r="60" spans="3:5" s="16" customFormat="1" ht="15" customHeight="1">
      <c r="C60" s="801"/>
      <c r="D60" s="810"/>
      <c r="E60" s="600"/>
    </row>
    <row r="61" spans="3:5" s="16" customFormat="1" ht="15" customHeight="1">
      <c r="C61" s="801"/>
      <c r="D61" s="810"/>
      <c r="E61" s="600"/>
    </row>
    <row r="62" spans="3:5" s="16" customFormat="1" ht="15" customHeight="1">
      <c r="C62" s="801"/>
      <c r="D62" s="810"/>
      <c r="E62" s="600"/>
    </row>
    <row r="63" spans="3:5" s="16" customFormat="1" ht="15" customHeight="1">
      <c r="C63" s="801"/>
      <c r="D63" s="810"/>
      <c r="E63" s="600"/>
    </row>
    <row r="64" spans="3:5" s="16" customFormat="1" ht="15" customHeight="1">
      <c r="C64" s="801"/>
      <c r="D64" s="810"/>
      <c r="E64" s="600"/>
    </row>
    <row r="65" spans="3:5" s="16" customFormat="1" ht="15" customHeight="1">
      <c r="C65" s="801"/>
      <c r="D65" s="810"/>
      <c r="E65" s="600"/>
    </row>
    <row r="66" spans="3:5" s="16" customFormat="1" ht="15" customHeight="1">
      <c r="C66" s="801"/>
      <c r="D66" s="810"/>
      <c r="E66" s="600"/>
    </row>
    <row r="67" spans="3:5" s="16" customFormat="1" ht="15" customHeight="1">
      <c r="C67" s="801"/>
      <c r="D67" s="810"/>
      <c r="E67" s="600"/>
    </row>
    <row r="68" spans="3:5" s="16" customFormat="1" ht="15" customHeight="1">
      <c r="C68" s="801"/>
      <c r="D68" s="810"/>
      <c r="E68" s="600"/>
    </row>
    <row r="69" spans="3:5" s="16" customFormat="1" ht="15" customHeight="1">
      <c r="C69" s="801"/>
      <c r="D69" s="810"/>
      <c r="E69" s="600"/>
    </row>
    <row r="70" spans="3:5" s="16" customFormat="1" ht="15" customHeight="1">
      <c r="C70" s="801"/>
      <c r="D70" s="810"/>
      <c r="E70" s="600"/>
    </row>
  </sheetData>
  <mergeCells count="4">
    <mergeCell ref="A1:E1"/>
    <mergeCell ref="A2:A3"/>
    <mergeCell ref="B3:C3"/>
    <mergeCell ref="D3:E3"/>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20E1B-C95B-4ABF-9E19-4289D33AB11C}">
  <dimension ref="A1:E70"/>
  <sheetViews>
    <sheetView workbookViewId="0"/>
  </sheetViews>
  <sheetFormatPr defaultRowHeight="15"/>
  <cols>
    <col min="1" max="1" width="6.5703125" style="16" customWidth="1"/>
    <col min="2" max="2" width="35.5703125" style="16" customWidth="1"/>
    <col min="3" max="3" width="22.5703125" style="801" customWidth="1"/>
    <col min="4" max="4" width="35.5703125" style="810" customWidth="1"/>
    <col min="5" max="5" width="22.5703125" style="600" customWidth="1"/>
  </cols>
  <sheetData>
    <row r="1" spans="1:5" s="16" customFormat="1" ht="15" customHeight="1">
      <c r="A1" s="1732" t="s">
        <v>2475</v>
      </c>
      <c r="B1" s="1732"/>
      <c r="C1" s="1732"/>
      <c r="D1" s="1732"/>
      <c r="E1" s="1732"/>
    </row>
    <row r="2" spans="1:5" s="16" customFormat="1" ht="15" customHeight="1">
      <c r="A2" s="1732" t="s">
        <v>61</v>
      </c>
      <c r="B2" s="794" t="s">
        <v>62</v>
      </c>
      <c r="C2" s="806" t="s">
        <v>2</v>
      </c>
      <c r="D2" s="807" t="s">
        <v>62</v>
      </c>
      <c r="E2" s="794" t="s">
        <v>2</v>
      </c>
    </row>
    <row r="3" spans="1:5" s="16" customFormat="1" ht="15" customHeight="1">
      <c r="A3" s="1732"/>
      <c r="B3" s="1732" t="s">
        <v>2470</v>
      </c>
      <c r="C3" s="1732"/>
      <c r="D3" s="1732" t="s">
        <v>2471</v>
      </c>
      <c r="E3" s="1732"/>
    </row>
    <row r="4" spans="1:5" s="16" customFormat="1" ht="15" customHeight="1">
      <c r="A4" s="795">
        <v>1</v>
      </c>
      <c r="B4" s="799" t="s">
        <v>40</v>
      </c>
      <c r="C4" s="803" t="s">
        <v>230</v>
      </c>
      <c r="D4" s="799" t="s">
        <v>40</v>
      </c>
      <c r="E4" s="803" t="s">
        <v>230</v>
      </c>
    </row>
    <row r="5" spans="1:5" s="16" customFormat="1" ht="15" customHeight="1">
      <c r="A5" s="795">
        <v>2</v>
      </c>
      <c r="B5" s="799" t="s">
        <v>187</v>
      </c>
      <c r="C5" s="803" t="s">
        <v>188</v>
      </c>
      <c r="D5" s="799" t="s">
        <v>10</v>
      </c>
      <c r="E5" s="803" t="s">
        <v>256</v>
      </c>
    </row>
    <row r="6" spans="1:5" s="16" customFormat="1" ht="15" customHeight="1">
      <c r="A6" s="795">
        <v>3</v>
      </c>
      <c r="B6" s="799" t="s">
        <v>27</v>
      </c>
      <c r="C6" s="803" t="s">
        <v>184</v>
      </c>
      <c r="D6" s="799" t="s">
        <v>29</v>
      </c>
      <c r="E6" s="803" t="s">
        <v>196</v>
      </c>
    </row>
    <row r="7" spans="1:5" s="16" customFormat="1" ht="15" customHeight="1">
      <c r="A7" s="795">
        <v>4</v>
      </c>
      <c r="B7" s="799" t="s">
        <v>10</v>
      </c>
      <c r="C7" s="803" t="s">
        <v>256</v>
      </c>
      <c r="D7" s="799" t="s">
        <v>56</v>
      </c>
      <c r="E7" s="803" t="s">
        <v>1844</v>
      </c>
    </row>
    <row r="8" spans="1:5" s="16" customFormat="1" ht="15" customHeight="1">
      <c r="A8" s="795">
        <v>5</v>
      </c>
      <c r="B8" s="799" t="s">
        <v>29</v>
      </c>
      <c r="C8" s="803" t="s">
        <v>196</v>
      </c>
      <c r="D8" s="799" t="s">
        <v>19</v>
      </c>
      <c r="E8" s="803" t="s">
        <v>165</v>
      </c>
    </row>
    <row r="9" spans="1:5" s="16" customFormat="1" ht="15" customHeight="1">
      <c r="A9" s="795">
        <v>6</v>
      </c>
      <c r="B9" s="799" t="s">
        <v>56</v>
      </c>
      <c r="C9" s="803" t="s">
        <v>1844</v>
      </c>
      <c r="D9" s="799" t="s">
        <v>48</v>
      </c>
      <c r="E9" s="803" t="s">
        <v>244</v>
      </c>
    </row>
    <row r="10" spans="1:5" s="16" customFormat="1" ht="15" customHeight="1">
      <c r="A10" s="795">
        <v>7</v>
      </c>
      <c r="B10" s="799" t="s">
        <v>19</v>
      </c>
      <c r="C10" s="803" t="s">
        <v>165</v>
      </c>
      <c r="D10" s="799" t="s">
        <v>50</v>
      </c>
      <c r="E10" s="803" t="s">
        <v>249</v>
      </c>
    </row>
    <row r="11" spans="1:5" s="16" customFormat="1" ht="15" customHeight="1">
      <c r="A11" s="795">
        <v>8</v>
      </c>
      <c r="B11" s="799" t="s">
        <v>48</v>
      </c>
      <c r="C11" s="803" t="s">
        <v>244</v>
      </c>
      <c r="D11" s="799" t="s">
        <v>42</v>
      </c>
      <c r="E11" s="803" t="s">
        <v>232</v>
      </c>
    </row>
    <row r="12" spans="1:5" s="16" customFormat="1" ht="15" customHeight="1">
      <c r="A12" s="795">
        <v>9</v>
      </c>
      <c r="B12" s="799" t="s">
        <v>50</v>
      </c>
      <c r="C12" s="803" t="s">
        <v>249</v>
      </c>
      <c r="D12" s="799" t="s">
        <v>44</v>
      </c>
      <c r="E12" s="803" t="s">
        <v>235</v>
      </c>
    </row>
    <row r="13" spans="1:5" s="16" customFormat="1" ht="15" customHeight="1">
      <c r="A13" s="795">
        <v>10</v>
      </c>
      <c r="B13" s="799" t="s">
        <v>42</v>
      </c>
      <c r="C13" s="803" t="s">
        <v>232</v>
      </c>
      <c r="D13" s="799" t="s">
        <v>38</v>
      </c>
      <c r="E13" s="803" t="s">
        <v>218</v>
      </c>
    </row>
    <row r="14" spans="1:5" s="16" customFormat="1" ht="15" customHeight="1">
      <c r="A14" s="795">
        <v>11</v>
      </c>
      <c r="B14" s="799" t="s">
        <v>44</v>
      </c>
      <c r="C14" s="803" t="s">
        <v>235</v>
      </c>
      <c r="D14" s="799" t="s">
        <v>33</v>
      </c>
      <c r="E14" s="803" t="s">
        <v>209</v>
      </c>
    </row>
    <row r="15" spans="1:5" s="16" customFormat="1" ht="15" customHeight="1">
      <c r="A15" s="795">
        <v>12</v>
      </c>
      <c r="B15" s="799" t="s">
        <v>38</v>
      </c>
      <c r="C15" s="803" t="s">
        <v>218</v>
      </c>
      <c r="D15" s="799" t="s">
        <v>2246</v>
      </c>
      <c r="E15" s="802" t="s">
        <v>201</v>
      </c>
    </row>
    <row r="16" spans="1:5" s="16" customFormat="1" ht="15" customHeight="1">
      <c r="A16" s="795">
        <v>13</v>
      </c>
      <c r="B16" s="799" t="s">
        <v>33</v>
      </c>
      <c r="C16" s="803" t="s">
        <v>209</v>
      </c>
      <c r="D16" s="799" t="s">
        <v>46</v>
      </c>
      <c r="E16" s="803" t="s">
        <v>1812</v>
      </c>
    </row>
    <row r="17" spans="1:5" s="16" customFormat="1" ht="15" customHeight="1">
      <c r="A17" s="795">
        <v>14</v>
      </c>
      <c r="B17" s="799" t="s">
        <v>2246</v>
      </c>
      <c r="C17" s="802" t="s">
        <v>201</v>
      </c>
      <c r="D17" s="799" t="s">
        <v>2473</v>
      </c>
      <c r="E17" s="803" t="s">
        <v>1813</v>
      </c>
    </row>
    <row r="18" spans="1:5" s="16" customFormat="1" ht="15" customHeight="1">
      <c r="A18" s="795">
        <v>15</v>
      </c>
      <c r="B18" s="799" t="s">
        <v>46</v>
      </c>
      <c r="C18" s="803" t="s">
        <v>1812</v>
      </c>
      <c r="D18" s="799" t="s">
        <v>2474</v>
      </c>
      <c r="E18" s="803" t="s">
        <v>1814</v>
      </c>
    </row>
    <row r="19" spans="1:5" s="16" customFormat="1" ht="15" customHeight="1">
      <c r="A19" s="795">
        <v>16</v>
      </c>
      <c r="B19" s="799" t="s">
        <v>2473</v>
      </c>
      <c r="C19" s="803" t="s">
        <v>1813</v>
      </c>
      <c r="D19" s="796" t="s">
        <v>58</v>
      </c>
      <c r="E19" s="803" t="s">
        <v>2476</v>
      </c>
    </row>
    <row r="20" spans="1:5" s="16" customFormat="1" ht="15" customHeight="1">
      <c r="A20" s="795">
        <v>17</v>
      </c>
      <c r="B20" s="799" t="s">
        <v>2474</v>
      </c>
      <c r="C20" s="803" t="s">
        <v>1814</v>
      </c>
      <c r="D20" s="796" t="s">
        <v>2477</v>
      </c>
      <c r="E20" s="803" t="s">
        <v>2478</v>
      </c>
    </row>
    <row r="21" spans="1:5" s="16" customFormat="1" ht="15" customHeight="1">
      <c r="C21" s="801"/>
      <c r="D21" s="810"/>
      <c r="E21" s="600"/>
    </row>
    <row r="22" spans="1:5" s="16" customFormat="1" ht="15" customHeight="1">
      <c r="C22" s="801"/>
      <c r="D22" s="810"/>
      <c r="E22" s="600"/>
    </row>
    <row r="23" spans="1:5" s="16" customFormat="1" ht="15" customHeight="1">
      <c r="C23" s="801"/>
      <c r="D23" s="810"/>
      <c r="E23" s="600"/>
    </row>
    <row r="24" spans="1:5" s="16" customFormat="1" ht="15" customHeight="1">
      <c r="C24" s="801"/>
      <c r="D24" s="810"/>
      <c r="E24" s="600"/>
    </row>
    <row r="25" spans="1:5" s="16" customFormat="1" ht="15" customHeight="1">
      <c r="C25" s="801"/>
      <c r="D25" s="810"/>
      <c r="E25" s="600"/>
    </row>
    <row r="26" spans="1:5" s="16" customFormat="1" ht="15" customHeight="1">
      <c r="C26" s="801"/>
      <c r="D26" s="810"/>
      <c r="E26" s="600"/>
    </row>
    <row r="27" spans="1:5" s="16" customFormat="1" ht="15" customHeight="1">
      <c r="C27" s="801"/>
      <c r="D27" s="810"/>
      <c r="E27" s="600"/>
    </row>
    <row r="28" spans="1:5" s="16" customFormat="1" ht="15" customHeight="1">
      <c r="C28" s="801"/>
      <c r="D28" s="810"/>
      <c r="E28" s="600"/>
    </row>
    <row r="29" spans="1:5" s="16" customFormat="1" ht="15" customHeight="1">
      <c r="C29" s="801"/>
      <c r="D29" s="810"/>
      <c r="E29" s="600"/>
    </row>
    <row r="30" spans="1:5" s="16" customFormat="1" ht="15" customHeight="1">
      <c r="C30" s="801"/>
      <c r="D30" s="810"/>
      <c r="E30" s="600"/>
    </row>
    <row r="31" spans="1:5" s="16" customFormat="1" ht="15" customHeight="1">
      <c r="C31" s="801"/>
      <c r="D31" s="810"/>
      <c r="E31" s="600"/>
    </row>
    <row r="32" spans="1:5" s="16" customFormat="1" ht="15" customHeight="1">
      <c r="C32" s="801"/>
      <c r="D32" s="810"/>
      <c r="E32" s="600"/>
    </row>
    <row r="33" spans="3:5" s="16" customFormat="1" ht="15" customHeight="1">
      <c r="C33" s="801"/>
      <c r="D33" s="810"/>
      <c r="E33" s="600"/>
    </row>
    <row r="34" spans="3:5" s="16" customFormat="1" ht="15" customHeight="1">
      <c r="C34" s="801"/>
      <c r="D34" s="810"/>
      <c r="E34" s="600"/>
    </row>
    <row r="35" spans="3:5" s="16" customFormat="1" ht="15" customHeight="1">
      <c r="C35" s="801"/>
      <c r="D35" s="810"/>
      <c r="E35" s="600"/>
    </row>
    <row r="36" spans="3:5" s="16" customFormat="1" ht="15" customHeight="1">
      <c r="C36" s="801"/>
      <c r="D36" s="810"/>
      <c r="E36" s="600"/>
    </row>
    <row r="37" spans="3:5" s="16" customFormat="1" ht="15" customHeight="1">
      <c r="C37" s="801"/>
      <c r="D37" s="810"/>
      <c r="E37" s="600"/>
    </row>
    <row r="38" spans="3:5" s="16" customFormat="1" ht="15" customHeight="1">
      <c r="C38" s="801"/>
      <c r="D38" s="810"/>
      <c r="E38" s="600"/>
    </row>
    <row r="39" spans="3:5" s="16" customFormat="1" ht="15" customHeight="1">
      <c r="C39" s="801"/>
      <c r="D39" s="810"/>
      <c r="E39" s="600"/>
    </row>
    <row r="40" spans="3:5" s="16" customFormat="1" ht="15" customHeight="1">
      <c r="C40" s="801"/>
      <c r="D40" s="810"/>
      <c r="E40" s="600"/>
    </row>
    <row r="41" spans="3:5" s="16" customFormat="1" ht="15" customHeight="1">
      <c r="C41" s="801"/>
      <c r="D41" s="810"/>
      <c r="E41" s="600"/>
    </row>
    <row r="42" spans="3:5" s="16" customFormat="1" ht="15" customHeight="1">
      <c r="C42" s="801"/>
      <c r="D42" s="810"/>
      <c r="E42" s="600"/>
    </row>
    <row r="43" spans="3:5" s="16" customFormat="1" ht="15" customHeight="1">
      <c r="C43" s="801"/>
      <c r="D43" s="810"/>
      <c r="E43" s="600"/>
    </row>
    <row r="44" spans="3:5" s="16" customFormat="1" ht="15" customHeight="1">
      <c r="C44" s="801"/>
      <c r="D44" s="810"/>
      <c r="E44" s="600"/>
    </row>
    <row r="45" spans="3:5" s="16" customFormat="1" ht="15" customHeight="1">
      <c r="C45" s="801"/>
      <c r="D45" s="810"/>
      <c r="E45" s="600"/>
    </row>
    <row r="46" spans="3:5" s="16" customFormat="1" ht="15" customHeight="1">
      <c r="C46" s="801"/>
      <c r="D46" s="810"/>
      <c r="E46" s="600"/>
    </row>
    <row r="47" spans="3:5" s="16" customFormat="1" ht="15" customHeight="1">
      <c r="C47" s="801"/>
      <c r="D47" s="810"/>
      <c r="E47" s="600"/>
    </row>
    <row r="48" spans="3:5" s="16" customFormat="1" ht="15" customHeight="1">
      <c r="C48" s="801"/>
      <c r="D48" s="810"/>
      <c r="E48" s="600"/>
    </row>
    <row r="49" spans="3:5" s="16" customFormat="1" ht="15" customHeight="1">
      <c r="C49" s="801"/>
      <c r="D49" s="810"/>
      <c r="E49" s="600"/>
    </row>
    <row r="50" spans="3:5" s="16" customFormat="1" ht="15" customHeight="1">
      <c r="C50" s="801"/>
      <c r="D50" s="810"/>
      <c r="E50" s="600"/>
    </row>
    <row r="51" spans="3:5" s="16" customFormat="1" ht="15" customHeight="1">
      <c r="C51" s="801"/>
      <c r="D51" s="810"/>
      <c r="E51" s="600"/>
    </row>
    <row r="52" spans="3:5" s="16" customFormat="1" ht="15" customHeight="1">
      <c r="C52" s="801"/>
      <c r="D52" s="810"/>
      <c r="E52" s="600"/>
    </row>
    <row r="53" spans="3:5" s="16" customFormat="1" ht="15" customHeight="1">
      <c r="C53" s="801"/>
      <c r="D53" s="810"/>
      <c r="E53" s="600"/>
    </row>
    <row r="54" spans="3:5" s="16" customFormat="1" ht="15" customHeight="1">
      <c r="C54" s="801"/>
      <c r="D54" s="810"/>
      <c r="E54" s="600"/>
    </row>
    <row r="55" spans="3:5" s="16" customFormat="1" ht="15" customHeight="1">
      <c r="C55" s="801"/>
      <c r="D55" s="810"/>
      <c r="E55" s="600"/>
    </row>
    <row r="56" spans="3:5" s="16" customFormat="1" ht="15" customHeight="1">
      <c r="C56" s="801"/>
      <c r="D56" s="810"/>
      <c r="E56" s="600"/>
    </row>
    <row r="57" spans="3:5" s="16" customFormat="1" ht="15" customHeight="1">
      <c r="C57" s="801"/>
      <c r="D57" s="810"/>
      <c r="E57" s="600"/>
    </row>
    <row r="58" spans="3:5" s="16" customFormat="1" ht="15" customHeight="1">
      <c r="C58" s="801"/>
      <c r="D58" s="810"/>
      <c r="E58" s="600"/>
    </row>
    <row r="59" spans="3:5" s="16" customFormat="1" ht="15" customHeight="1">
      <c r="C59" s="801"/>
      <c r="D59" s="810"/>
      <c r="E59" s="600"/>
    </row>
    <row r="60" spans="3:5" s="16" customFormat="1" ht="15" customHeight="1">
      <c r="C60" s="801"/>
      <c r="D60" s="810"/>
      <c r="E60" s="600"/>
    </row>
    <row r="61" spans="3:5" s="16" customFormat="1" ht="15" customHeight="1">
      <c r="C61" s="801"/>
      <c r="D61" s="810"/>
      <c r="E61" s="600"/>
    </row>
    <row r="62" spans="3:5" s="16" customFormat="1" ht="15" customHeight="1">
      <c r="C62" s="801"/>
      <c r="D62" s="810"/>
      <c r="E62" s="600"/>
    </row>
    <row r="63" spans="3:5" s="16" customFormat="1" ht="15" customHeight="1">
      <c r="C63" s="801"/>
      <c r="D63" s="810"/>
      <c r="E63" s="600"/>
    </row>
    <row r="64" spans="3:5" s="16" customFormat="1" ht="15" customHeight="1">
      <c r="C64" s="801"/>
      <c r="D64" s="810"/>
      <c r="E64" s="600"/>
    </row>
    <row r="65" spans="3:5" s="16" customFormat="1" ht="15" customHeight="1">
      <c r="C65" s="801"/>
      <c r="D65" s="810"/>
      <c r="E65" s="600"/>
    </row>
    <row r="66" spans="3:5" s="16" customFormat="1" ht="15" customHeight="1">
      <c r="C66" s="801"/>
      <c r="D66" s="810"/>
      <c r="E66" s="600"/>
    </row>
    <row r="67" spans="3:5" s="16" customFormat="1" ht="15" customHeight="1">
      <c r="C67" s="801"/>
      <c r="D67" s="810"/>
      <c r="E67" s="600"/>
    </row>
    <row r="68" spans="3:5" s="16" customFormat="1" ht="15" customHeight="1">
      <c r="C68" s="801"/>
      <c r="D68" s="810"/>
      <c r="E68" s="600"/>
    </row>
    <row r="69" spans="3:5" s="16" customFormat="1" ht="15" customHeight="1">
      <c r="C69" s="801"/>
      <c r="D69" s="810"/>
      <c r="E69" s="600"/>
    </row>
    <row r="70" spans="3:5" s="16" customFormat="1" ht="15" customHeight="1">
      <c r="C70" s="801"/>
      <c r="D70" s="810"/>
      <c r="E70" s="600"/>
    </row>
  </sheetData>
  <mergeCells count="4">
    <mergeCell ref="A1:E1"/>
    <mergeCell ref="A2:A3"/>
    <mergeCell ref="B3:C3"/>
    <mergeCell ref="D3:E3"/>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8771A-75F1-4E4D-A878-482F82F26F95}">
  <sheetPr>
    <pageSetUpPr fitToPage="1"/>
  </sheetPr>
  <dimension ref="A1:BG111"/>
  <sheetViews>
    <sheetView workbookViewId="0">
      <pane xSplit="2" ySplit="2" topLeftCell="E12" activePane="bottomRight" state="frozen"/>
      <selection pane="bottomRight" activeCell="BV106" sqref="BV106"/>
      <selection pane="bottomLeft"/>
      <selection pane="topRight"/>
    </sheetView>
  </sheetViews>
  <sheetFormatPr defaultRowHeight="15.75"/>
  <cols>
    <col min="1" max="1" width="7.7109375" style="7" customWidth="1"/>
    <col min="2" max="2" width="40.85546875" customWidth="1"/>
    <col min="3" max="3" width="9" hidden="1" customWidth="1"/>
    <col min="4" max="4" width="22.85546875" style="907" hidden="1" customWidth="1"/>
    <col min="5" max="5" width="19.7109375" style="907" customWidth="1"/>
    <col min="6" max="8" width="12.42578125" customWidth="1"/>
    <col min="9" max="9" width="19.85546875" style="593" hidden="1" customWidth="1"/>
    <col min="10" max="10" width="14.5703125" hidden="1" customWidth="1"/>
    <col min="11" max="11" width="31.140625" style="693" customWidth="1"/>
    <col min="12" max="12" width="29.140625" hidden="1" customWidth="1"/>
    <col min="13" max="13" width="27.28515625" hidden="1" customWidth="1"/>
    <col min="14" max="14" width="14.140625" hidden="1" customWidth="1"/>
    <col min="15" max="15" width="13.42578125" hidden="1" customWidth="1"/>
    <col min="16" max="16" width="10.28515625" hidden="1" customWidth="1"/>
    <col min="17" max="17" width="12.5703125" hidden="1" customWidth="1"/>
    <col min="18" max="18" width="11.5703125" hidden="1" customWidth="1"/>
    <col min="19" max="19" width="15.85546875" hidden="1" customWidth="1"/>
    <col min="20" max="20" width="17.140625" style="908" hidden="1" customWidth="1"/>
    <col min="21" max="21" width="18.28515625" hidden="1" customWidth="1"/>
    <col min="22" max="22" width="13.140625" hidden="1" customWidth="1"/>
    <col min="23" max="23" width="13.42578125" hidden="1" customWidth="1"/>
    <col min="24" max="24" width="11" hidden="1" customWidth="1"/>
    <col min="25" max="25" width="12.7109375" customWidth="1"/>
    <col min="26" max="26" width="18" hidden="1" customWidth="1"/>
    <col min="27" max="27" width="180.85546875" hidden="1" customWidth="1"/>
    <col min="28" max="28" width="118.28515625" hidden="1" customWidth="1"/>
    <col min="29" max="29" width="25.28515625" customWidth="1"/>
    <col min="30" max="30" width="18" customWidth="1"/>
    <col min="31" max="32" width="18.85546875" hidden="1" customWidth="1"/>
    <col min="33" max="34" width="26.5703125" hidden="1" customWidth="1"/>
    <col min="35" max="35" width="33" hidden="1" customWidth="1"/>
    <col min="36" max="37" width="27.85546875" hidden="1" customWidth="1"/>
    <col min="38" max="39" width="30.140625" hidden="1" customWidth="1"/>
    <col min="40" max="41" width="14.42578125" hidden="1" customWidth="1"/>
    <col min="42" max="42" width="24.140625" style="910" hidden="1" customWidth="1"/>
    <col min="43" max="43" width="16.42578125" hidden="1" customWidth="1"/>
    <col min="44" max="44" width="16.28515625" style="911" hidden="1" customWidth="1"/>
    <col min="45" max="45" width="20.85546875" hidden="1" customWidth="1"/>
    <col min="46" max="46" width="32.5703125" hidden="1" customWidth="1"/>
    <col min="47" max="47" width="32.42578125" hidden="1" customWidth="1"/>
    <col min="48" max="48" width="20.140625" hidden="1" customWidth="1"/>
    <col min="49" max="49" width="26.85546875" hidden="1" customWidth="1"/>
    <col min="50" max="50" width="0" hidden="1" customWidth="1"/>
    <col min="51" max="51" width="18.85546875" hidden="1" customWidth="1"/>
    <col min="52" max="71" width="0" hidden="1" customWidth="1"/>
  </cols>
  <sheetData>
    <row r="1" spans="1:59" ht="42.75" customHeight="1">
      <c r="A1" s="1432" t="s">
        <v>2479</v>
      </c>
      <c r="B1" s="906"/>
      <c r="AG1" s="1737" t="s">
        <v>2480</v>
      </c>
      <c r="AH1" s="1737"/>
      <c r="AI1" s="1737"/>
      <c r="AJ1" s="1737"/>
      <c r="AK1" s="1737"/>
      <c r="AL1" s="1737"/>
      <c r="AM1" s="1737"/>
      <c r="AN1" s="1737"/>
      <c r="AO1" s="909"/>
    </row>
    <row r="2" spans="1:59" ht="76.5">
      <c r="A2" s="912" t="s">
        <v>0</v>
      </c>
      <c r="B2" s="912" t="s">
        <v>2481</v>
      </c>
      <c r="C2" s="912" t="s">
        <v>2482</v>
      </c>
      <c r="D2" s="913" t="s">
        <v>2483</v>
      </c>
      <c r="E2" s="913" t="s">
        <v>2484</v>
      </c>
      <c r="F2" s="914" t="s">
        <v>2485</v>
      </c>
      <c r="G2" s="914" t="s">
        <v>2486</v>
      </c>
      <c r="H2" s="914" t="s">
        <v>2487</v>
      </c>
      <c r="I2" s="915" t="s">
        <v>2488</v>
      </c>
      <c r="J2" s="912" t="s">
        <v>2489</v>
      </c>
      <c r="K2" s="916" t="s">
        <v>2490</v>
      </c>
      <c r="L2" s="917" t="s">
        <v>2491</v>
      </c>
      <c r="M2" s="917" t="s">
        <v>2492</v>
      </c>
      <c r="N2" s="914" t="s">
        <v>2493</v>
      </c>
      <c r="O2" s="912" t="s">
        <v>2494</v>
      </c>
      <c r="P2" s="914" t="s">
        <v>2495</v>
      </c>
      <c r="Q2" s="912" t="s">
        <v>2496</v>
      </c>
      <c r="R2" s="918" t="s">
        <v>2497</v>
      </c>
      <c r="S2" s="918" t="s">
        <v>2498</v>
      </c>
      <c r="T2" s="912" t="s">
        <v>2499</v>
      </c>
      <c r="U2" s="914" t="s">
        <v>2500</v>
      </c>
      <c r="V2" s="912" t="s">
        <v>2501</v>
      </c>
      <c r="W2" s="912" t="s">
        <v>2502</v>
      </c>
      <c r="X2" s="914" t="s">
        <v>2503</v>
      </c>
      <c r="Y2" s="914" t="s">
        <v>2504</v>
      </c>
      <c r="Z2" s="919" t="s">
        <v>2505</v>
      </c>
      <c r="AA2" s="920" t="s">
        <v>2506</v>
      </c>
      <c r="AB2" s="920" t="s">
        <v>2507</v>
      </c>
      <c r="AC2" s="918" t="s">
        <v>2508</v>
      </c>
      <c r="AD2" s="914" t="s">
        <v>2509</v>
      </c>
      <c r="AE2" s="914" t="s">
        <v>2510</v>
      </c>
      <c r="AF2" s="915" t="s">
        <v>2511</v>
      </c>
      <c r="AG2" s="921" t="s">
        <v>2512</v>
      </c>
      <c r="AH2" s="921" t="s">
        <v>2513</v>
      </c>
      <c r="AI2" s="921" t="s">
        <v>2514</v>
      </c>
      <c r="AJ2" s="921" t="s">
        <v>2515</v>
      </c>
      <c r="AK2" s="921" t="s">
        <v>2516</v>
      </c>
      <c r="AL2" s="921" t="s">
        <v>2517</v>
      </c>
      <c r="AM2" s="922" t="s">
        <v>2518</v>
      </c>
      <c r="AN2" s="922" t="s">
        <v>2519</v>
      </c>
      <c r="AO2" s="922" t="s">
        <v>2520</v>
      </c>
      <c r="AP2" s="923" t="s">
        <v>2521</v>
      </c>
      <c r="AQ2" s="912" t="s">
        <v>2522</v>
      </c>
      <c r="AR2" s="912" t="s">
        <v>2523</v>
      </c>
      <c r="AS2" t="s">
        <v>2524</v>
      </c>
      <c r="AT2" t="s">
        <v>2525</v>
      </c>
      <c r="AU2" t="s">
        <v>2526</v>
      </c>
      <c r="AV2" t="s">
        <v>2527</v>
      </c>
      <c r="AW2" t="s">
        <v>2528</v>
      </c>
      <c r="AX2" t="s">
        <v>2529</v>
      </c>
      <c r="AY2" t="s">
        <v>2530</v>
      </c>
      <c r="AZ2" s="924" t="s">
        <v>2531</v>
      </c>
      <c r="BA2" s="924" t="s">
        <v>2532</v>
      </c>
      <c r="BB2" s="924" t="s">
        <v>2533</v>
      </c>
      <c r="BC2" s="924" t="s">
        <v>2534</v>
      </c>
      <c r="BD2" s="924" t="s">
        <v>2535</v>
      </c>
      <c r="BE2" t="s">
        <v>2536</v>
      </c>
      <c r="BG2" t="s">
        <v>2537</v>
      </c>
    </row>
    <row r="3" spans="1:59" ht="41.25" customHeight="1">
      <c r="A3" s="925" t="s">
        <v>2538</v>
      </c>
      <c r="B3" s="926"/>
      <c r="C3" s="926"/>
      <c r="D3" s="927"/>
      <c r="E3" s="927"/>
      <c r="F3" s="926"/>
      <c r="G3" s="926"/>
      <c r="H3" s="926"/>
      <c r="I3" s="928"/>
      <c r="J3" s="926"/>
      <c r="K3" s="929"/>
      <c r="L3" s="926"/>
      <c r="M3" s="926"/>
      <c r="N3" s="926"/>
      <c r="O3" s="926"/>
      <c r="P3" s="926"/>
      <c r="Q3" s="926"/>
      <c r="R3" s="926"/>
      <c r="S3" s="926"/>
      <c r="T3" s="926"/>
      <c r="U3" s="926"/>
      <c r="V3" s="930"/>
      <c r="W3" s="930"/>
      <c r="X3" s="930"/>
      <c r="Y3" s="930"/>
      <c r="Z3" s="931"/>
      <c r="AA3" s="926"/>
      <c r="AB3" s="926"/>
      <c r="AC3" s="926"/>
      <c r="AD3" s="926"/>
      <c r="AE3" s="926"/>
      <c r="AF3" s="932"/>
      <c r="AG3" s="933"/>
      <c r="AH3" s="933"/>
      <c r="AI3" s="934"/>
      <c r="AJ3" s="934"/>
      <c r="AK3" s="934"/>
      <c r="AL3" s="933"/>
      <c r="AM3" s="933"/>
      <c r="AN3" s="933"/>
      <c r="AO3" s="933"/>
      <c r="AP3" s="935"/>
      <c r="AR3" s="936"/>
      <c r="AZ3" s="924"/>
      <c r="BA3" s="924"/>
      <c r="BB3" s="924"/>
      <c r="BC3" s="924"/>
      <c r="BD3" s="924"/>
    </row>
    <row r="4" spans="1:59" s="17" customFormat="1" ht="34.5">
      <c r="A4" s="937" t="s">
        <v>2539</v>
      </c>
      <c r="B4" s="938" t="s">
        <v>2540</v>
      </c>
      <c r="C4" s="939" t="s">
        <v>2541</v>
      </c>
      <c r="D4" s="940">
        <v>3000000</v>
      </c>
      <c r="E4" s="940">
        <v>3000000</v>
      </c>
      <c r="F4" s="941" t="s">
        <v>1949</v>
      </c>
      <c r="G4" s="941" t="s">
        <v>2542</v>
      </c>
      <c r="H4" s="941" t="s">
        <v>2543</v>
      </c>
      <c r="I4" s="942" t="s">
        <v>2544</v>
      </c>
      <c r="J4" s="943" t="s">
        <v>2545</v>
      </c>
      <c r="K4" s="944" t="s">
        <v>2546</v>
      </c>
      <c r="L4" s="945" t="s">
        <v>2547</v>
      </c>
      <c r="M4" s="945" t="s">
        <v>2548</v>
      </c>
      <c r="N4" s="946">
        <v>45670</v>
      </c>
      <c r="O4" s="947">
        <v>45701</v>
      </c>
      <c r="P4" s="948">
        <f>O4-N4</f>
        <v>31</v>
      </c>
      <c r="Q4" s="949">
        <f ca="1">IF(N4="",0,TODAY()-N4)</f>
        <v>497</v>
      </c>
      <c r="R4" s="950">
        <v>45701</v>
      </c>
      <c r="S4" s="951">
        <f>R4-N4</f>
        <v>31</v>
      </c>
      <c r="T4" s="952" t="str">
        <f>IF(F4="JK",IF(S4&lt;=45,"Belum Terlambat (JK)","Terlambat &gt; 45HK(JK)"),IF(F4="PK",IF(S4&lt;=35,"Belum Terlambat (PK)","Terlambat&gt;35(PK)")))</f>
        <v>Belum Terlambat (JK)</v>
      </c>
      <c r="U4" s="953">
        <f ca="1">IF(I4="JK",60-Q4,45-Q4)</f>
        <v>-452</v>
      </c>
      <c r="V4" s="954">
        <v>45681</v>
      </c>
      <c r="W4" s="954">
        <v>45701</v>
      </c>
      <c r="X4" s="955">
        <f ca="1">IF(V4="",0,TODAY()-V4)</f>
        <v>486</v>
      </c>
      <c r="Y4" s="956">
        <f>W4-V4</f>
        <v>20</v>
      </c>
      <c r="Z4" s="956"/>
      <c r="AA4" s="957" t="s">
        <v>2549</v>
      </c>
      <c r="AB4" s="958" t="s">
        <v>2550</v>
      </c>
      <c r="AC4" s="959" t="str">
        <f>IF(AD4&lt;60,"Paket Tepat Waktu/kurang dari 60HK","Tidak Tepat Waktu")</f>
        <v>Paket Tepat Waktu/kurang dari 60HK</v>
      </c>
      <c r="AD4" s="165">
        <f>S4-3</f>
        <v>28</v>
      </c>
      <c r="AE4" s="960">
        <f>IF(F4="JK",60-AD4,45-AD4)</f>
        <v>32</v>
      </c>
      <c r="AF4" s="961" t="s">
        <v>2529</v>
      </c>
      <c r="AG4" s="962" t="s">
        <v>2551</v>
      </c>
      <c r="AH4" s="962" t="s">
        <v>2552</v>
      </c>
      <c r="AI4" s="23" t="s">
        <v>2553</v>
      </c>
      <c r="AJ4" s="963" t="s">
        <v>2554</v>
      </c>
      <c r="AK4" s="963" t="s">
        <v>2555</v>
      </c>
      <c r="AL4" s="964" t="s">
        <v>2556</v>
      </c>
      <c r="AM4" s="965">
        <v>2908743.9</v>
      </c>
      <c r="AN4" s="966" t="s">
        <v>2557</v>
      </c>
      <c r="AO4" s="967">
        <f>AM4/E4*100</f>
        <v>96.958129999999997</v>
      </c>
      <c r="AP4" s="968" t="s">
        <v>77</v>
      </c>
      <c r="AQ4" s="969" t="str">
        <f>IF(OR(AF4="Kontrak",AF4="BAHP",AF4="SPPBJ"),"SUDAH",IF(J4="03 Sudah Usul SIPBJ (Dok. dlm Reviu)","BELUM TAYANG",IF(AF4="PROSES","PROSES")))</f>
        <v>SUDAH</v>
      </c>
      <c r="AR4" s="970" t="s">
        <v>2558</v>
      </c>
      <c r="AS4" s="971">
        <f>COUNTIFS($N$4:$N$88,"&gt;=01/01/2025",$O$4:$O$88,"&lt;=31/03/2025")</f>
        <v>5</v>
      </c>
      <c r="AT4" s="971">
        <f>COUNTIFS($N$4:$N$88,"&gt;=01/04/2025",$O$4:$O$88,"&lt;=30/06/2025")</f>
        <v>27</v>
      </c>
      <c r="AU4" s="17">
        <f>AS4+AT4</f>
        <v>32</v>
      </c>
      <c r="AV4" s="971">
        <f>COUNTIFS($R$4:$R$88,"&lt;=01/04/2025")</f>
        <v>5</v>
      </c>
      <c r="AW4" s="971">
        <f>COUNTIFS($R$4:$R$88,"&gt;=01/04/2025",$R$4:$R$88,"&lt;=30/06/2025")</f>
        <v>30</v>
      </c>
      <c r="AX4" s="17">
        <f>AV4+AW4+11+5</f>
        <v>51</v>
      </c>
      <c r="AY4" s="971">
        <f>COUNTIFS($N$4:$N$88,"&lt;=01/04/2025")</f>
        <v>10</v>
      </c>
      <c r="AZ4" s="924">
        <f>COUNTIF(C4:C274,"DJSDA")</f>
        <v>32</v>
      </c>
      <c r="BA4" s="924">
        <f>COUNTIF(C4:C274,"DJBM")</f>
        <v>40</v>
      </c>
      <c r="BB4" s="924">
        <f>COUNTIF(C4:C274,"DJck")</f>
        <v>7</v>
      </c>
      <c r="BC4" s="924">
        <f>COUNTIF(C4:C274,"DJPS")</f>
        <v>24</v>
      </c>
      <c r="BD4" s="924">
        <f>AZ4+BA4+BB4+BC4</f>
        <v>103</v>
      </c>
    </row>
    <row r="5" spans="1:59" s="17" customFormat="1" ht="45.75">
      <c r="A5" s="937" t="s">
        <v>2559</v>
      </c>
      <c r="B5" s="938" t="s">
        <v>2560</v>
      </c>
      <c r="C5" s="939" t="s">
        <v>2561</v>
      </c>
      <c r="D5" s="940">
        <v>5000000</v>
      </c>
      <c r="E5" s="940">
        <v>5000000</v>
      </c>
      <c r="F5" s="941" t="s">
        <v>1949</v>
      </c>
      <c r="G5" s="941" t="s">
        <v>2542</v>
      </c>
      <c r="H5" s="941" t="s">
        <v>2543</v>
      </c>
      <c r="I5" s="942" t="s">
        <v>2562</v>
      </c>
      <c r="J5" s="943" t="s">
        <v>2545</v>
      </c>
      <c r="K5" s="944" t="s">
        <v>2563</v>
      </c>
      <c r="L5" s="945" t="s">
        <v>2564</v>
      </c>
      <c r="M5" s="945" t="s">
        <v>2565</v>
      </c>
      <c r="N5" s="946">
        <v>45671</v>
      </c>
      <c r="O5" s="947">
        <v>45730</v>
      </c>
      <c r="P5" s="948">
        <f>O5-N5</f>
        <v>59</v>
      </c>
      <c r="Q5" s="949">
        <f ca="1">IF(N5="",0,TODAY()-N5)</f>
        <v>496</v>
      </c>
      <c r="R5" s="950">
        <v>45730</v>
      </c>
      <c r="S5" s="951">
        <f>R5-N5</f>
        <v>59</v>
      </c>
      <c r="T5" s="952" t="str">
        <f>IF(F5="JK",IF(S5&lt;=45,"Belum Terlambat (JK)","Terlambat &gt; 45HK(JK)"),IF(F5="PK",IF(S5&lt;=35,"Belum Terlambat (PK)","Terlambat&gt;35(PK)")))</f>
        <v>Terlambat &gt; 45HK(JK)</v>
      </c>
      <c r="U5" s="953">
        <f ca="1">IF(I5="JK",60-Q5,45-Q5)</f>
        <v>-451</v>
      </c>
      <c r="V5" s="954">
        <v>45720</v>
      </c>
      <c r="W5" s="954">
        <v>45730</v>
      </c>
      <c r="X5" s="955">
        <f ca="1">IF(V5="",0,TODAY()-V5)</f>
        <v>447</v>
      </c>
      <c r="Y5" s="956">
        <f>W5-V5</f>
        <v>10</v>
      </c>
      <c r="Z5" s="956"/>
      <c r="AA5" s="957" t="s">
        <v>2549</v>
      </c>
      <c r="AB5" s="972" t="s">
        <v>2566</v>
      </c>
      <c r="AC5" s="959" t="str">
        <f>IF(AD5&lt;=60,"Paket Tepat Waktu/kurang dari 60HK","Tidak Tepat Waktu")</f>
        <v>Paket Tepat Waktu/kurang dari 60HK</v>
      </c>
      <c r="AD5" s="165">
        <f>S5-3-5-2</f>
        <v>49</v>
      </c>
      <c r="AE5" s="960">
        <f>IF(F5="JK",60-AD5,45-AD5)</f>
        <v>11</v>
      </c>
      <c r="AF5" s="961" t="s">
        <v>2529</v>
      </c>
      <c r="AG5" s="962" t="s">
        <v>2567</v>
      </c>
      <c r="AH5" s="962" t="s">
        <v>2568</v>
      </c>
      <c r="AI5" s="23" t="s">
        <v>2569</v>
      </c>
      <c r="AJ5" s="963" t="s">
        <v>2570</v>
      </c>
      <c r="AK5" s="963" t="s">
        <v>2571</v>
      </c>
      <c r="AL5" s="963" t="s">
        <v>2572</v>
      </c>
      <c r="AM5" s="965">
        <v>4032467.7119999998</v>
      </c>
      <c r="AN5" s="966" t="s">
        <v>2573</v>
      </c>
      <c r="AO5" s="967">
        <f>AM5/E5*100</f>
        <v>80.649354239999994</v>
      </c>
      <c r="AP5" s="973" t="s">
        <v>2574</v>
      </c>
      <c r="AQ5" s="969" t="str">
        <f>IF(OR(AF5="Kontrak",AF5="BAHP",AF5="SPPBJ"),"SUDAH",IF(J5="03 Sudah Usul SIPBJ (Dok. dlm Reviu)","BELUM TAYANG",IF(AF5="PROSES","PROSES")))</f>
        <v>SUDAH</v>
      </c>
      <c r="AR5" s="974" t="s">
        <v>2575</v>
      </c>
    </row>
    <row r="6" spans="1:59" s="17" customFormat="1" ht="61.5">
      <c r="A6" s="937" t="s">
        <v>2576</v>
      </c>
      <c r="B6" s="938" t="s">
        <v>2577</v>
      </c>
      <c r="C6" s="939" t="s">
        <v>2561</v>
      </c>
      <c r="D6" s="940">
        <v>2000000</v>
      </c>
      <c r="E6" s="940">
        <v>2000000</v>
      </c>
      <c r="F6" s="941" t="s">
        <v>1949</v>
      </c>
      <c r="G6" s="941" t="s">
        <v>2542</v>
      </c>
      <c r="H6" s="941" t="s">
        <v>2578</v>
      </c>
      <c r="I6" s="942" t="s">
        <v>2562</v>
      </c>
      <c r="J6" s="943" t="s">
        <v>2545</v>
      </c>
      <c r="K6" s="944" t="s">
        <v>2579</v>
      </c>
      <c r="L6" s="939" t="s">
        <v>2580</v>
      </c>
      <c r="M6" s="939" t="s">
        <v>2581</v>
      </c>
      <c r="N6" s="947">
        <v>45672</v>
      </c>
      <c r="O6" s="947">
        <v>45737</v>
      </c>
      <c r="P6" s="948">
        <f>O6-N6</f>
        <v>65</v>
      </c>
      <c r="Q6" s="949">
        <f ca="1">IF(N6="",0,TODAY()-N6)</f>
        <v>495</v>
      </c>
      <c r="R6" s="950">
        <v>45737</v>
      </c>
      <c r="S6" s="951">
        <f>R6-N6</f>
        <v>65</v>
      </c>
      <c r="T6" s="952" t="str">
        <f>IF(F6="JK",IF(S6&lt;=45,"Belum Terlambat (JK)","Terlambat &gt; 45HK(JK)"),IF(F6="PK",IF(S6&lt;=35,"Belum Terlambat (PK)","Terlambat&gt;35(PK)")))</f>
        <v>Terlambat &gt; 45HK(JK)</v>
      </c>
      <c r="U6" s="953">
        <f ca="1">IF(I6="JK",60-Q6,45-Q6)</f>
        <v>-450</v>
      </c>
      <c r="V6" s="954">
        <v>45726</v>
      </c>
      <c r="W6" s="954">
        <v>45737</v>
      </c>
      <c r="X6" s="955">
        <f ca="1">IF(V6="",0,TODAY()-V6)</f>
        <v>441</v>
      </c>
      <c r="Y6" s="956">
        <f>W6-V6</f>
        <v>11</v>
      </c>
      <c r="Z6" s="956"/>
      <c r="AA6" s="957" t="s">
        <v>2549</v>
      </c>
      <c r="AB6" s="975" t="s">
        <v>2582</v>
      </c>
      <c r="AC6" s="959" t="str">
        <f>IF(AD6&lt;60,"Paket Tepat Waktu/kurang dari 60HK","Tidak Tepat Waktu")</f>
        <v>Paket Tepat Waktu/kurang dari 60HK</v>
      </c>
      <c r="AD6" s="165">
        <f>S6-5-2-3</f>
        <v>55</v>
      </c>
      <c r="AE6" s="960">
        <f>IF(F6="JK",60-AD6,45-AD6)</f>
        <v>5</v>
      </c>
      <c r="AF6" s="961" t="s">
        <v>2529</v>
      </c>
      <c r="AG6" s="962" t="s">
        <v>2583</v>
      </c>
      <c r="AH6" s="962" t="s">
        <v>2584</v>
      </c>
      <c r="AI6" s="15" t="s">
        <v>2585</v>
      </c>
      <c r="AJ6" s="976" t="s">
        <v>2586</v>
      </c>
      <c r="AK6" s="976" t="s">
        <v>2587</v>
      </c>
      <c r="AL6" s="976" t="s">
        <v>2588</v>
      </c>
      <c r="AM6" s="965">
        <v>1749852.1599999999</v>
      </c>
      <c r="AN6" s="966" t="s">
        <v>2557</v>
      </c>
      <c r="AO6" s="967">
        <f>AM6/E6*100</f>
        <v>87.49260799999999</v>
      </c>
      <c r="AP6" s="973" t="s">
        <v>2574</v>
      </c>
      <c r="AQ6" s="969" t="str">
        <f>IF(OR(AF6="Kontrak",AF6="BAHP",AF6="SPPBJ"),"SUDAH",IF(J6="03 Sudah Usul SIPBJ (Dok. dlm Reviu)","BELUM TAYANG",IF(AF6="PROSES","PROSES")))</f>
        <v>SUDAH</v>
      </c>
      <c r="AR6" s="974" t="s">
        <v>2575</v>
      </c>
    </row>
    <row r="7" spans="1:59" s="17" customFormat="1" ht="61.5">
      <c r="A7" s="937" t="s">
        <v>2589</v>
      </c>
      <c r="B7" s="938" t="s">
        <v>2590</v>
      </c>
      <c r="C7" s="939" t="s">
        <v>2561</v>
      </c>
      <c r="D7" s="940">
        <v>2000000</v>
      </c>
      <c r="E7" s="940">
        <v>2000000</v>
      </c>
      <c r="F7" s="941" t="s">
        <v>1949</v>
      </c>
      <c r="G7" s="941" t="s">
        <v>2542</v>
      </c>
      <c r="H7" s="941" t="s">
        <v>2578</v>
      </c>
      <c r="I7" s="942" t="s">
        <v>2562</v>
      </c>
      <c r="J7" s="943" t="s">
        <v>2545</v>
      </c>
      <c r="K7" s="944" t="s">
        <v>2546</v>
      </c>
      <c r="L7" s="939" t="s">
        <v>2591</v>
      </c>
      <c r="M7" s="939" t="s">
        <v>2592</v>
      </c>
      <c r="N7" s="947">
        <v>45672</v>
      </c>
      <c r="O7" s="947">
        <v>45735</v>
      </c>
      <c r="P7" s="948">
        <f>O7-N7</f>
        <v>63</v>
      </c>
      <c r="Q7" s="949">
        <f ca="1">IF(N7="",0,TODAY()-N7)</f>
        <v>495</v>
      </c>
      <c r="R7" s="950">
        <v>45735</v>
      </c>
      <c r="S7" s="951">
        <f>R7-N7</f>
        <v>63</v>
      </c>
      <c r="T7" s="952" t="str">
        <f>IF(F7="JK",IF(S7&lt;=45,"Belum Terlambat (JK)","Terlambat &gt; 45HK(JK)"),IF(F7="PK",IF(S7&lt;=35,"Belum Terlambat (PK)","Terlambat&gt;35(PK)")))</f>
        <v>Terlambat &gt; 45HK(JK)</v>
      </c>
      <c r="U7" s="953">
        <f ca="1">IF(I7="JK",60-Q7,45-Q7)</f>
        <v>-450</v>
      </c>
      <c r="V7" s="954">
        <v>45722</v>
      </c>
      <c r="W7" s="954">
        <v>45735</v>
      </c>
      <c r="X7" s="955">
        <f ca="1">IF(V7="",0,TODAY()-V7)</f>
        <v>445</v>
      </c>
      <c r="Y7" s="956">
        <f>W7-V7</f>
        <v>13</v>
      </c>
      <c r="Z7" s="956"/>
      <c r="AA7" s="957" t="s">
        <v>2549</v>
      </c>
      <c r="AB7" s="975" t="s">
        <v>2593</v>
      </c>
      <c r="AC7" s="959" t="str">
        <f>IF(AD7&lt;60,"Paket Tepat Waktu/kurang dari 60HK","Tidak Tepat Waktu")</f>
        <v>Paket Tepat Waktu/kurang dari 60HK</v>
      </c>
      <c r="AD7" s="977">
        <f>S7-5-2-3</f>
        <v>53</v>
      </c>
      <c r="AE7" s="960">
        <f>IF(F7="JK",60-AD7,45-AD7)</f>
        <v>7</v>
      </c>
      <c r="AF7" s="961" t="s">
        <v>2529</v>
      </c>
      <c r="AG7" s="962" t="s">
        <v>2594</v>
      </c>
      <c r="AH7" s="962" t="s">
        <v>2595</v>
      </c>
      <c r="AI7" s="23" t="s">
        <v>2596</v>
      </c>
      <c r="AJ7" s="976" t="s">
        <v>2597</v>
      </c>
      <c r="AK7" s="976" t="s">
        <v>2598</v>
      </c>
      <c r="AL7" s="976" t="s">
        <v>2599</v>
      </c>
      <c r="AM7" s="965">
        <v>1680000</v>
      </c>
      <c r="AN7" s="966" t="s">
        <v>2573</v>
      </c>
      <c r="AO7" s="967">
        <f>AM7/E7*100</f>
        <v>84</v>
      </c>
      <c r="AP7" s="973" t="s">
        <v>2574</v>
      </c>
      <c r="AQ7" s="969" t="str">
        <f>IF(OR(AF7="Kontrak",AF7="BAHP",AF7="SPPBJ"),"SUDAH",IF(J7="03 Sudah Usul SIPBJ (Dok. dlm Reviu)","BELUM TAYANG",IF(AF7="PROSES","PROSES")))</f>
        <v>SUDAH</v>
      </c>
      <c r="AR7" s="974" t="s">
        <v>2575</v>
      </c>
    </row>
    <row r="8" spans="1:59" s="17" customFormat="1" ht="61.5">
      <c r="A8" s="937" t="s">
        <v>2600</v>
      </c>
      <c r="B8" s="938" t="s">
        <v>2601</v>
      </c>
      <c r="C8" s="939" t="s">
        <v>2561</v>
      </c>
      <c r="D8" s="940">
        <v>5368635</v>
      </c>
      <c r="E8" s="940">
        <v>5368635</v>
      </c>
      <c r="F8" s="941" t="s">
        <v>1949</v>
      </c>
      <c r="G8" s="941" t="s">
        <v>2542</v>
      </c>
      <c r="H8" s="941" t="s">
        <v>2578</v>
      </c>
      <c r="I8" s="942" t="s">
        <v>2562</v>
      </c>
      <c r="J8" s="943" t="s">
        <v>2545</v>
      </c>
      <c r="K8" s="944" t="s">
        <v>2602</v>
      </c>
      <c r="L8" s="945" t="s">
        <v>2603</v>
      </c>
      <c r="M8" s="945" t="s">
        <v>2604</v>
      </c>
      <c r="N8" s="946">
        <v>45674</v>
      </c>
      <c r="O8" s="947">
        <v>45764</v>
      </c>
      <c r="P8" s="948">
        <f>O8-N8</f>
        <v>90</v>
      </c>
      <c r="Q8" s="949">
        <f ca="1">IF(N8="",0,TODAY()-N8)</f>
        <v>493</v>
      </c>
      <c r="R8" s="950">
        <v>45764</v>
      </c>
      <c r="S8" s="951">
        <f>R8-N8</f>
        <v>90</v>
      </c>
      <c r="T8" s="952" t="str">
        <f>IF(F8="JK",IF(S8&lt;=45,"Belum Terlambat (JK)","Terlambat &gt; 45HK(JK)"),IF(F8="PK",IF(S8&lt;=35,"Belum Terlambat (PK)","Terlambat&gt;35(PK)")))</f>
        <v>Terlambat &gt; 45HK(JK)</v>
      </c>
      <c r="U8" s="953">
        <f ca="1">IF(I8="JK",60-Q8,45-Q8)</f>
        <v>-448</v>
      </c>
      <c r="V8" s="954">
        <v>45758</v>
      </c>
      <c r="W8" s="954">
        <v>45764</v>
      </c>
      <c r="X8" s="955">
        <f ca="1">IF(V8="",0,TODAY()-V8)</f>
        <v>409</v>
      </c>
      <c r="Y8" s="956">
        <f>W8-V8</f>
        <v>6</v>
      </c>
      <c r="Z8" s="956"/>
      <c r="AA8" s="957" t="s">
        <v>2549</v>
      </c>
      <c r="AB8" s="975" t="s">
        <v>2605</v>
      </c>
      <c r="AC8" s="978" t="str">
        <f>IF(AD8&lt;60,"Paket Tepat Waktu/kurang dari 60HK","Tidak Tepat Waktu")</f>
        <v>Tidak Tepat Waktu</v>
      </c>
      <c r="AD8" s="979">
        <f>P8-5-3-2-11</f>
        <v>69</v>
      </c>
      <c r="AE8" s="960">
        <f>IF(F8="JK",60-AD8,45-AD8)</f>
        <v>-9</v>
      </c>
      <c r="AF8" s="961" t="s">
        <v>2529</v>
      </c>
      <c r="AG8" s="962" t="s">
        <v>2606</v>
      </c>
      <c r="AH8" s="962" t="s">
        <v>2607</v>
      </c>
      <c r="AI8" s="23" t="s">
        <v>2608</v>
      </c>
      <c r="AJ8" s="976" t="s">
        <v>2609</v>
      </c>
      <c r="AK8" s="976" t="s">
        <v>2610</v>
      </c>
      <c r="AL8" s="976" t="s">
        <v>2611</v>
      </c>
      <c r="AM8" s="965">
        <v>4668096.5640000002</v>
      </c>
      <c r="AN8" s="966" t="s">
        <v>2573</v>
      </c>
      <c r="AO8" s="967">
        <f>AM8/E8*100</f>
        <v>86.951274653613069</v>
      </c>
      <c r="AP8" s="980" t="s">
        <v>2574</v>
      </c>
      <c r="AQ8" s="969" t="str">
        <f>IF(OR(AF8="Kontrak",AF8="BAHP",AF8="SPPBJ"),"SUDAH",IF(J8="03 Sudah Usul SIPBJ (Dok. dlm Reviu)","BELUM TAYANG",IF(AF8="PROSES","PROSES")))</f>
        <v>SUDAH</v>
      </c>
      <c r="AR8" s="974" t="s">
        <v>2575</v>
      </c>
    </row>
    <row r="9" spans="1:59" s="17" customFormat="1" ht="61.5">
      <c r="A9" s="937" t="s">
        <v>2612</v>
      </c>
      <c r="B9" s="938" t="s">
        <v>2613</v>
      </c>
      <c r="C9" s="939" t="s">
        <v>2561</v>
      </c>
      <c r="D9" s="940">
        <v>3429343</v>
      </c>
      <c r="E9" s="940">
        <v>3429343</v>
      </c>
      <c r="F9" s="941" t="s">
        <v>1949</v>
      </c>
      <c r="G9" s="941" t="s">
        <v>2542</v>
      </c>
      <c r="H9" s="941" t="s">
        <v>2578</v>
      </c>
      <c r="I9" s="942" t="s">
        <v>2562</v>
      </c>
      <c r="J9" s="943" t="s">
        <v>2545</v>
      </c>
      <c r="K9" s="944" t="s">
        <v>10</v>
      </c>
      <c r="L9" s="945" t="s">
        <v>2614</v>
      </c>
      <c r="M9" s="945" t="s">
        <v>2581</v>
      </c>
      <c r="N9" s="946">
        <v>45679</v>
      </c>
      <c r="O9" s="947">
        <v>45761</v>
      </c>
      <c r="P9" s="948" t="s">
        <v>2615</v>
      </c>
      <c r="Q9" s="949">
        <f ca="1">IF(N9="",0,TODAY()-N9)</f>
        <v>488</v>
      </c>
      <c r="R9" s="950">
        <v>45761</v>
      </c>
      <c r="S9" s="951">
        <f>R9-N9</f>
        <v>82</v>
      </c>
      <c r="T9" s="952" t="str">
        <f>IF(F9="JK",IF(S9&lt;=45,"Belum Terlambat (JK)","Terlambat &gt; 45HK(JK)"),IF(F9="PK",IF(S9&lt;=35,"Belum Terlambat (PK)","Terlambat&gt;35(PK)")))</f>
        <v>Terlambat &gt; 45HK(JK)</v>
      </c>
      <c r="U9" s="953">
        <f ca="1">IF(I9="JK",60-Q9,45-Q9)</f>
        <v>-443</v>
      </c>
      <c r="V9" s="947">
        <v>45755</v>
      </c>
      <c r="W9" s="947">
        <v>45761</v>
      </c>
      <c r="X9" s="955">
        <f ca="1">IF(V9="",0,TODAY()-V9)</f>
        <v>412</v>
      </c>
      <c r="Y9" s="956">
        <f>W9-V9</f>
        <v>6</v>
      </c>
      <c r="Z9" s="956"/>
      <c r="AA9" s="981" t="s">
        <v>2616</v>
      </c>
      <c r="AB9" s="975" t="s">
        <v>2617</v>
      </c>
      <c r="AC9" s="959" t="str">
        <f>IF(AD9&lt;=60,"Paket Tepat Waktu/kurang dari 60HK","Tidak Tepat Waktu")</f>
        <v>Paket Tepat Waktu/kurang dari 60HK</v>
      </c>
      <c r="AD9" s="165">
        <f>S9-5-3-11-3</f>
        <v>60</v>
      </c>
      <c r="AE9" s="960">
        <f>IF(F9="JK",60-AD9,45-AD9)</f>
        <v>0</v>
      </c>
      <c r="AF9" s="961" t="s">
        <v>2529</v>
      </c>
      <c r="AG9" s="962" t="s">
        <v>2618</v>
      </c>
      <c r="AH9" s="962" t="s">
        <v>2607</v>
      </c>
      <c r="AI9" s="23" t="s">
        <v>2608</v>
      </c>
      <c r="AJ9" s="976" t="s">
        <v>2609</v>
      </c>
      <c r="AK9" s="976" t="s">
        <v>2610</v>
      </c>
      <c r="AL9" s="976" t="s">
        <v>2611</v>
      </c>
      <c r="AM9" s="965">
        <v>2911394.8020000001</v>
      </c>
      <c r="AN9" s="966" t="s">
        <v>2573</v>
      </c>
      <c r="AO9" s="967">
        <f>AM9/E9*100</f>
        <v>84.896576457939616</v>
      </c>
      <c r="AP9" s="980" t="s">
        <v>2574</v>
      </c>
      <c r="AQ9" s="969" t="str">
        <f>IF(OR(AF9="Kontrak",AF9="BAHP",AF9="SPPBJ"),"SUDAH",IF(J9="03 Sudah Usul SIPBJ (Dok. dlm Reviu)","BELUM TAYANG",IF(AF9="PROSES","PROSES")))</f>
        <v>SUDAH</v>
      </c>
      <c r="AR9" s="974" t="s">
        <v>2575</v>
      </c>
    </row>
    <row r="10" spans="1:59" s="17" customFormat="1" ht="45.75">
      <c r="A10" s="937" t="s">
        <v>2619</v>
      </c>
      <c r="B10" s="938" t="s">
        <v>2620</v>
      </c>
      <c r="C10" s="939" t="s">
        <v>2541</v>
      </c>
      <c r="D10" s="940">
        <v>9151350</v>
      </c>
      <c r="E10" s="940">
        <v>8236215</v>
      </c>
      <c r="F10" s="941" t="s">
        <v>1949</v>
      </c>
      <c r="G10" s="941" t="s">
        <v>2542</v>
      </c>
      <c r="H10" s="941" t="s">
        <v>2578</v>
      </c>
      <c r="I10" s="942" t="s">
        <v>2621</v>
      </c>
      <c r="J10" s="943" t="s">
        <v>2545</v>
      </c>
      <c r="K10" s="982" t="s">
        <v>15</v>
      </c>
      <c r="L10" s="983" t="s">
        <v>2622</v>
      </c>
      <c r="M10" s="983" t="s">
        <v>2623</v>
      </c>
      <c r="N10" s="947">
        <v>45720</v>
      </c>
      <c r="O10" s="947">
        <v>45738</v>
      </c>
      <c r="P10" s="948">
        <f>O10-N10</f>
        <v>18</v>
      </c>
      <c r="Q10" s="949">
        <f ca="1">IF(N10="",0,TODAY()-N10)</f>
        <v>447</v>
      </c>
      <c r="R10" s="950">
        <v>45738</v>
      </c>
      <c r="S10" s="951">
        <f>R10-N10</f>
        <v>18</v>
      </c>
      <c r="T10" s="952" t="str">
        <f>IF(F10="JK",IF(S10&lt;=45,"Belum Terlambat (JK)","Terlambat &gt; 45HK(JK)"),IF(F10="PK",IF(S10&lt;=35,"Belum Terlambat (PK)","Terlambat&gt;35(PK)")))</f>
        <v>Belum Terlambat (JK)</v>
      </c>
      <c r="U10" s="953" t="s">
        <v>77</v>
      </c>
      <c r="V10" s="947">
        <v>45726</v>
      </c>
      <c r="W10" s="947">
        <v>45737</v>
      </c>
      <c r="X10" s="955">
        <f ca="1">IF(V10="",0,TODAY()-V10)</f>
        <v>441</v>
      </c>
      <c r="Y10" s="956">
        <f>W10-V10</f>
        <v>11</v>
      </c>
      <c r="Z10" s="956"/>
      <c r="AA10" s="957" t="s">
        <v>2549</v>
      </c>
      <c r="AB10" s="984" t="s">
        <v>2624</v>
      </c>
      <c r="AC10" s="959" t="str">
        <f>IF(AD10&lt;60,"Paket Tepat Waktu/kurang dari 60HK","Tidak Tepat Waktu")</f>
        <v>Paket Tepat Waktu/kurang dari 60HK</v>
      </c>
      <c r="AD10" s="165">
        <f>S10</f>
        <v>18</v>
      </c>
      <c r="AE10" s="960">
        <f>IF(F10="JK",60-AD10,45-AD10)</f>
        <v>42</v>
      </c>
      <c r="AF10" s="961" t="s">
        <v>2529</v>
      </c>
      <c r="AG10" s="962" t="s">
        <v>2625</v>
      </c>
      <c r="AH10" s="962" t="s">
        <v>2626</v>
      </c>
      <c r="AI10" s="23" t="s">
        <v>2627</v>
      </c>
      <c r="AJ10" s="976" t="s">
        <v>2628</v>
      </c>
      <c r="AK10" s="976" t="s">
        <v>2629</v>
      </c>
      <c r="AL10" s="985" t="s">
        <v>2630</v>
      </c>
      <c r="AM10" s="986">
        <v>7860159.75</v>
      </c>
      <c r="AN10" s="966" t="s">
        <v>2573</v>
      </c>
      <c r="AO10" s="967">
        <f>AM10/E10*100</f>
        <v>95.434125384050802</v>
      </c>
      <c r="AP10" s="973"/>
      <c r="AQ10" s="969" t="str">
        <f>IF(OR(AF10="Kontrak",AF10="BAHP",AF10="SPPBJ"),"SUDAH",IF(J10="03 Sudah Usul SIPBJ (Dok. dlm Reviu)","BELUM TAYANG",IF(AF10="PROSES","PROSES")))</f>
        <v>SUDAH</v>
      </c>
      <c r="AR10" s="974" t="s">
        <v>2558</v>
      </c>
    </row>
    <row r="11" spans="1:59" s="17" customFormat="1" ht="45.75">
      <c r="A11" s="937" t="s">
        <v>2631</v>
      </c>
      <c r="B11" s="938" t="s">
        <v>2632</v>
      </c>
      <c r="C11" s="939" t="s">
        <v>2633</v>
      </c>
      <c r="D11" s="940">
        <v>985000</v>
      </c>
      <c r="E11" s="940">
        <v>985000</v>
      </c>
      <c r="F11" s="941" t="s">
        <v>1949</v>
      </c>
      <c r="G11" s="941" t="s">
        <v>2542</v>
      </c>
      <c r="H11" s="941" t="s">
        <v>2578</v>
      </c>
      <c r="I11" s="942" t="s">
        <v>2634</v>
      </c>
      <c r="J11" s="943" t="s">
        <v>2545</v>
      </c>
      <c r="K11" s="982" t="s">
        <v>2635</v>
      </c>
      <c r="L11" s="987" t="s">
        <v>2636</v>
      </c>
      <c r="M11" s="987" t="s">
        <v>2637</v>
      </c>
      <c r="N11" s="988">
        <v>45730</v>
      </c>
      <c r="O11" s="989">
        <v>45793</v>
      </c>
      <c r="P11" s="990">
        <f>O11-N11</f>
        <v>63</v>
      </c>
      <c r="Q11" s="991">
        <f ca="1">IF(N11="",0,TODAY()-N11)</f>
        <v>437</v>
      </c>
      <c r="R11" s="989">
        <v>45793</v>
      </c>
      <c r="S11" s="951">
        <f>R11-N11</f>
        <v>63</v>
      </c>
      <c r="T11" s="952" t="str">
        <f>IF(F11="JK",IF(S11&lt;=45,"Belum Terlambat (JK)","Terlambat &gt; 45HK(JK)"),IF(F11="PK",IF(S11&lt;=35,"Belum Terlambat (PK)","Terlambat&gt;35(PK)")))</f>
        <v>Terlambat &gt; 45HK(JK)</v>
      </c>
      <c r="U11" s="953">
        <f ca="1">IF(I11="JK",60-Q11,45-Q11)</f>
        <v>-392</v>
      </c>
      <c r="V11" s="989">
        <v>45791</v>
      </c>
      <c r="W11" s="989">
        <v>45793</v>
      </c>
      <c r="X11" s="955">
        <f ca="1">IF(V11="",0,TODAY()-V11)</f>
        <v>376</v>
      </c>
      <c r="Y11" s="956">
        <f>W11-V11</f>
        <v>2</v>
      </c>
      <c r="Z11" s="956"/>
      <c r="AA11" s="957" t="s">
        <v>2549</v>
      </c>
      <c r="AB11" s="992" t="s">
        <v>2638</v>
      </c>
      <c r="AC11" s="959" t="str">
        <f>IF(AD11&lt;60,"Paket Tepat Waktu/kurang dari 60HK","Tidak Tepat Waktu")</f>
        <v>Paket Tepat Waktu/kurang dari 60HK</v>
      </c>
      <c r="AD11" s="977">
        <f>S11-11-1-1-2</f>
        <v>48</v>
      </c>
      <c r="AE11" s="960">
        <f>IF(F11="JK",60-AD11,45-AD11)</f>
        <v>12</v>
      </c>
      <c r="AF11" s="961" t="s">
        <v>2529</v>
      </c>
      <c r="AG11" s="962" t="s">
        <v>2639</v>
      </c>
      <c r="AH11" s="962" t="s">
        <v>2640</v>
      </c>
      <c r="AI11" s="349" t="s">
        <v>2641</v>
      </c>
      <c r="AJ11" s="964" t="s">
        <v>2642</v>
      </c>
      <c r="AK11" s="976" t="s">
        <v>2643</v>
      </c>
      <c r="AL11" s="976">
        <v>82241858572</v>
      </c>
      <c r="AM11" s="986">
        <v>837249.95200000005</v>
      </c>
      <c r="AN11" s="966" t="s">
        <v>2573</v>
      </c>
      <c r="AO11" s="967">
        <f>AM11/E11*100</f>
        <v>84.999995126903556</v>
      </c>
      <c r="AP11" s="973"/>
      <c r="AQ11" s="969" t="str">
        <f>IF(OR(AF11="Kontrak",AF11="BAHP",AF11="SPPBJ"),"SUDAH",IF(J11="03 Sudah Usul SIPBJ (Dok. dlm Reviu)","BELUM TAYANG",IF(AF11="PROSES","PROSES")))</f>
        <v>SUDAH</v>
      </c>
      <c r="AR11" s="974" t="s">
        <v>2575</v>
      </c>
    </row>
    <row r="12" spans="1:59" ht="45.75">
      <c r="A12" s="937" t="s">
        <v>2644</v>
      </c>
      <c r="B12" s="938" t="s">
        <v>2645</v>
      </c>
      <c r="C12" s="939" t="s">
        <v>2561</v>
      </c>
      <c r="D12" s="940">
        <v>2000000</v>
      </c>
      <c r="E12" s="940">
        <v>2000000</v>
      </c>
      <c r="F12" s="941" t="s">
        <v>1949</v>
      </c>
      <c r="G12" s="941" t="s">
        <v>2542</v>
      </c>
      <c r="H12" s="941" t="s">
        <v>2578</v>
      </c>
      <c r="I12" s="942" t="s">
        <v>2646</v>
      </c>
      <c r="J12" s="943" t="s">
        <v>2545</v>
      </c>
      <c r="K12" s="982" t="s">
        <v>187</v>
      </c>
      <c r="L12" s="993" t="s">
        <v>2647</v>
      </c>
      <c r="M12" s="993" t="s">
        <v>2648</v>
      </c>
      <c r="N12" s="946">
        <v>45743</v>
      </c>
      <c r="O12" s="947">
        <v>45805</v>
      </c>
      <c r="P12" s="948">
        <f>O12-N12</f>
        <v>62</v>
      </c>
      <c r="Q12" s="949">
        <f ca="1">IF(N12="",0,TODAY()-N12)</f>
        <v>424</v>
      </c>
      <c r="R12" s="947">
        <v>45813</v>
      </c>
      <c r="S12" s="951">
        <f>R12-N12</f>
        <v>70</v>
      </c>
      <c r="T12" s="952" t="str">
        <f>IF(F12="JK",IF(S12&lt;=45,"Belum Terlambat (JK)","Terlambat &gt; 45HK(JK)"),IF(F12="PK",IF(S12&lt;=35,"Belum Terlambat (PK)","Terlambat&gt;35(PK)")))</f>
        <v>Terlambat &gt; 45HK(JK)</v>
      </c>
      <c r="U12" s="953">
        <f ca="1">IF(I12="JK",60-Q12,45-Q12)</f>
        <v>-379</v>
      </c>
      <c r="V12" s="947">
        <v>45799</v>
      </c>
      <c r="W12" s="947">
        <v>45813</v>
      </c>
      <c r="X12" s="955">
        <f ca="1">IF(V12="",0,TODAY()-V12)</f>
        <v>368</v>
      </c>
      <c r="Y12" s="956">
        <f>W12-V12</f>
        <v>14</v>
      </c>
      <c r="Z12" s="956"/>
      <c r="AA12" s="957" t="s">
        <v>2549</v>
      </c>
      <c r="AB12" s="994" t="s">
        <v>2649</v>
      </c>
      <c r="AC12" s="959" t="str">
        <f>IF(AD12&lt;60,"Paket Tepat Waktu/kurang dari 60HK","Tidak Tepat Waktu")</f>
        <v>Paket Tepat Waktu/kurang dari 60HK</v>
      </c>
      <c r="AD12" s="977">
        <f>S12-11-1-2</f>
        <v>56</v>
      </c>
      <c r="AE12" s="960">
        <f>IF(F12="JK",60-AD12,45-AD12)</f>
        <v>4</v>
      </c>
      <c r="AF12" s="961" t="s">
        <v>2529</v>
      </c>
      <c r="AG12" s="962" t="s">
        <v>2650</v>
      </c>
      <c r="AH12" s="962" t="s">
        <v>2651</v>
      </c>
      <c r="AI12" s="349" t="s">
        <v>2652</v>
      </c>
      <c r="AJ12" s="976" t="s">
        <v>2653</v>
      </c>
      <c r="AK12" s="976" t="s">
        <v>2654</v>
      </c>
      <c r="AL12" s="976" t="s">
        <v>2655</v>
      </c>
      <c r="AM12" s="965">
        <v>1457689.629</v>
      </c>
      <c r="AN12" s="995" t="s">
        <v>2557</v>
      </c>
      <c r="AO12" s="967">
        <f>AM12/E12*100</f>
        <v>72.884481449999996</v>
      </c>
      <c r="AP12" s="996"/>
      <c r="AQ12" s="969" t="str">
        <f>IF(OR(AF12="Kontrak",AF12="BAHP",AF12="SPPBJ"),"SUDAH",IF(J12="03 Sudah Usul SIPBJ (Dok. dlm Reviu)","BELUM TAYANG",IF(AF12="PROSES","PROSES")))</f>
        <v>SUDAH</v>
      </c>
      <c r="AR12" s="997" t="s">
        <v>2575</v>
      </c>
    </row>
    <row r="13" spans="1:59" s="17" customFormat="1" ht="45.75">
      <c r="A13" s="937" t="s">
        <v>2656</v>
      </c>
      <c r="B13" s="938" t="s">
        <v>2657</v>
      </c>
      <c r="C13" s="998" t="s">
        <v>2541</v>
      </c>
      <c r="D13" s="940">
        <v>9157217</v>
      </c>
      <c r="E13" s="940">
        <v>4572122</v>
      </c>
      <c r="F13" s="941" t="s">
        <v>1949</v>
      </c>
      <c r="G13" s="999" t="s">
        <v>2542</v>
      </c>
      <c r="H13" s="999" t="s">
        <v>2578</v>
      </c>
      <c r="I13" s="1000" t="s">
        <v>2658</v>
      </c>
      <c r="J13" s="943" t="s">
        <v>2545</v>
      </c>
      <c r="K13" s="982" t="s">
        <v>2659</v>
      </c>
      <c r="L13" s="983" t="s">
        <v>2564</v>
      </c>
      <c r="M13" s="983" t="s">
        <v>2660</v>
      </c>
      <c r="N13" s="947">
        <v>45758</v>
      </c>
      <c r="O13" s="947">
        <v>45772</v>
      </c>
      <c r="P13" s="948">
        <f>O13-N13</f>
        <v>14</v>
      </c>
      <c r="Q13" s="949">
        <f ca="1">IF(N13="",0,TODAY()-N13)</f>
        <v>409</v>
      </c>
      <c r="R13" s="947">
        <v>45772</v>
      </c>
      <c r="S13" s="951">
        <f>R13-N13</f>
        <v>14</v>
      </c>
      <c r="T13" s="952" t="str">
        <f>IF(F13="JK",IF(S13&lt;=45,"Belum Terlambat (JK)","Terlambat &gt; 45HK(JK)"),IF(F13="PK",IF(S13&lt;=35,"Belum Terlambat (PK)","Terlambat&gt;35(PK)")))</f>
        <v>Belum Terlambat (JK)</v>
      </c>
      <c r="U13" s="953">
        <f ca="1">IF(I13="JK",60-Q13,45-Q13)</f>
        <v>-364</v>
      </c>
      <c r="V13" s="947">
        <v>45768</v>
      </c>
      <c r="W13" s="947">
        <v>45770</v>
      </c>
      <c r="X13" s="955">
        <f ca="1">IF(V13="",0,TODAY()-V13)</f>
        <v>399</v>
      </c>
      <c r="Y13" s="956">
        <f>W13-V13</f>
        <v>2</v>
      </c>
      <c r="Z13" s="956"/>
      <c r="AA13" s="957" t="s">
        <v>2549</v>
      </c>
      <c r="AB13" s="984" t="s">
        <v>2624</v>
      </c>
      <c r="AC13" s="959" t="str">
        <f>IF(AD13&lt;60,"Paket Tepat Waktu/kurang dari 60HK","Tidak Tepat Waktu")</f>
        <v>Paket Tepat Waktu/kurang dari 60HK</v>
      </c>
      <c r="AD13" s="165">
        <f>S13</f>
        <v>14</v>
      </c>
      <c r="AE13" s="960">
        <f>IF(F13="JK",60-AD13,45-AD13)</f>
        <v>46</v>
      </c>
      <c r="AF13" s="961" t="s">
        <v>2529</v>
      </c>
      <c r="AG13" s="962" t="s">
        <v>2661</v>
      </c>
      <c r="AH13" s="962" t="s">
        <v>2662</v>
      </c>
      <c r="AI13" s="23" t="s">
        <v>2663</v>
      </c>
      <c r="AJ13" s="976" t="s">
        <v>2664</v>
      </c>
      <c r="AK13" s="976" t="s">
        <v>2665</v>
      </c>
      <c r="AL13" s="976">
        <v>318419514</v>
      </c>
      <c r="AM13" s="965">
        <v>4525700.88</v>
      </c>
      <c r="AN13" s="966" t="s">
        <v>2573</v>
      </c>
      <c r="AO13" s="967">
        <f>AM13/E13*100</f>
        <v>98.984692009530804</v>
      </c>
      <c r="AP13" s="973"/>
      <c r="AQ13" s="969" t="str">
        <f>IF(OR(AF13="Kontrak",AF13="BAHP",AF13="SPPBJ"),"SUDAH",IF(J13="03 Sudah Usul SIPBJ (Dok. dlm Reviu)","BELUM TAYANG",IF(AF13="PROSES","PROSES")))</f>
        <v>SUDAH</v>
      </c>
      <c r="AR13" s="974" t="s">
        <v>2558</v>
      </c>
    </row>
    <row r="14" spans="1:59" s="17" customFormat="1" ht="45.75">
      <c r="A14" s="937" t="s">
        <v>2666</v>
      </c>
      <c r="B14" s="938" t="s">
        <v>2667</v>
      </c>
      <c r="C14" s="939" t="s">
        <v>2561</v>
      </c>
      <c r="D14" s="940">
        <v>5368635</v>
      </c>
      <c r="E14" s="940">
        <v>5368635</v>
      </c>
      <c r="F14" s="941" t="s">
        <v>1949</v>
      </c>
      <c r="G14" s="941" t="s">
        <v>2542</v>
      </c>
      <c r="H14" s="941" t="s">
        <v>2578</v>
      </c>
      <c r="I14" s="942" t="s">
        <v>2562</v>
      </c>
      <c r="J14" s="943" t="s">
        <v>2545</v>
      </c>
      <c r="K14" s="982" t="s">
        <v>2668</v>
      </c>
      <c r="L14" s="1001" t="s">
        <v>2669</v>
      </c>
      <c r="M14" s="1001" t="s">
        <v>2670</v>
      </c>
      <c r="N14" s="1002">
        <v>45758</v>
      </c>
      <c r="O14" s="1003">
        <v>45805</v>
      </c>
      <c r="P14" s="1004">
        <f>O14-N14</f>
        <v>47</v>
      </c>
      <c r="Q14" s="1005">
        <f ca="1">IF(N14="",0,TODAY()-N14)</f>
        <v>409</v>
      </c>
      <c r="R14" s="1003">
        <v>45812</v>
      </c>
      <c r="S14" s="951">
        <f>R14-N14</f>
        <v>54</v>
      </c>
      <c r="T14" s="952" t="str">
        <f>IF(F14="JK",IF(S14&lt;=45,"Belum Terlambat (JK)","Terlambat &gt; 45HK(JK)"),IF(F14="PK",IF(S14&lt;=35,"Belum Terlambat (PK)","Terlambat&gt;35(PK)")))</f>
        <v>Terlambat &gt; 45HK(JK)</v>
      </c>
      <c r="U14" s="953">
        <f ca="1">IF(I14="JK",60-Q14,45-Q14)</f>
        <v>-364</v>
      </c>
      <c r="V14" s="1003">
        <v>45800</v>
      </c>
      <c r="W14" s="1003">
        <v>45812</v>
      </c>
      <c r="X14" s="955">
        <f ca="1">IF(V14="",0,TODAY()-V14)</f>
        <v>367</v>
      </c>
      <c r="Y14" s="956">
        <f>W14-V14</f>
        <v>12</v>
      </c>
      <c r="Z14" s="956"/>
      <c r="AA14" s="1006" t="s">
        <v>2671</v>
      </c>
      <c r="AB14" s="975" t="s">
        <v>2672</v>
      </c>
      <c r="AC14" s="959" t="str">
        <f>IF(AD14&lt;60,"Paket Tepat Waktu/kurang dari 60HK","Tidak Tepat Waktu")</f>
        <v>Paket Tepat Waktu/kurang dari 60HK</v>
      </c>
      <c r="AD14" s="977">
        <f>S14-1-1-2-2</f>
        <v>48</v>
      </c>
      <c r="AE14" s="960">
        <f>IF(F14="JK",60-AD14,45-AD14)</f>
        <v>12</v>
      </c>
      <c r="AF14" s="961" t="s">
        <v>2529</v>
      </c>
      <c r="AG14" s="962" t="s">
        <v>2673</v>
      </c>
      <c r="AH14" s="962" t="s">
        <v>2674</v>
      </c>
      <c r="AI14" s="23" t="s">
        <v>2675</v>
      </c>
      <c r="AJ14" s="976" t="s">
        <v>2676</v>
      </c>
      <c r="AK14" s="1007" t="s">
        <v>2677</v>
      </c>
      <c r="AL14" s="985" t="s">
        <v>2678</v>
      </c>
      <c r="AM14" s="965">
        <v>4516812</v>
      </c>
      <c r="AN14" s="966" t="s">
        <v>2557</v>
      </c>
      <c r="AO14" s="967">
        <f>AM14/E14*100</f>
        <v>84.133341156550969</v>
      </c>
      <c r="AP14" s="973" t="s">
        <v>2574</v>
      </c>
      <c r="AQ14" s="969" t="str">
        <f>IF(OR(AF14="Kontrak",AF14="BAHP",AF14="SPPBJ"),"SUDAH",IF(J14="03 Sudah Usul SIPBJ (Dok. dlm Reviu)","BELUM TAYANG",IF(AF14="PROSES","PROSES")))</f>
        <v>SUDAH</v>
      </c>
      <c r="AR14" s="974" t="s">
        <v>2575</v>
      </c>
    </row>
    <row r="15" spans="1:59" s="17" customFormat="1" ht="30.75">
      <c r="A15" s="937" t="s">
        <v>2679</v>
      </c>
      <c r="B15" s="938" t="s">
        <v>2680</v>
      </c>
      <c r="C15" s="939" t="s">
        <v>2541</v>
      </c>
      <c r="D15" s="940">
        <v>4583375</v>
      </c>
      <c r="E15" s="940">
        <v>2640370</v>
      </c>
      <c r="F15" s="941" t="s">
        <v>1949</v>
      </c>
      <c r="G15" s="941" t="s">
        <v>2542</v>
      </c>
      <c r="H15" s="941" t="s">
        <v>2543</v>
      </c>
      <c r="I15" s="942" t="s">
        <v>2658</v>
      </c>
      <c r="J15" s="943" t="s">
        <v>2545</v>
      </c>
      <c r="K15" s="982" t="s">
        <v>2681</v>
      </c>
      <c r="L15" s="983" t="s">
        <v>2682</v>
      </c>
      <c r="M15" s="983" t="s">
        <v>2683</v>
      </c>
      <c r="N15" s="947">
        <v>45762</v>
      </c>
      <c r="O15" s="947">
        <v>45772</v>
      </c>
      <c r="P15" s="948">
        <f t="shared" ref="P15" si="0">O15-N15</f>
        <v>10</v>
      </c>
      <c r="Q15" s="949">
        <f t="shared" ref="Q15" ca="1" si="1">IF(N15="",0,TODAY()-N15)</f>
        <v>405</v>
      </c>
      <c r="R15" s="947">
        <v>45772</v>
      </c>
      <c r="S15" s="951">
        <f>R15-N15</f>
        <v>10</v>
      </c>
      <c r="T15" s="952" t="str">
        <f>IF(F15="JK",IF(S15&lt;=45,"Belum Terlambat (JK)","Terlambat &gt; 45HK(JK)"),IF(F15="PK",IF(S15&lt;=35,"Belum Terlambat (PK)","Terlambat&gt;35(PK)")))</f>
        <v>Belum Terlambat (JK)</v>
      </c>
      <c r="U15" s="953">
        <f ca="1">IF(I15="JK",60-Q15,45-Q15)</f>
        <v>-360</v>
      </c>
      <c r="V15" s="947">
        <v>45768</v>
      </c>
      <c r="W15" s="947">
        <v>45772</v>
      </c>
      <c r="X15" s="955">
        <f ca="1">IF(V15="",0,TODAY()-V15)</f>
        <v>399</v>
      </c>
      <c r="Y15" s="956">
        <f>W15-V15</f>
        <v>4</v>
      </c>
      <c r="Z15" s="956"/>
      <c r="AA15" s="1006" t="s">
        <v>2684</v>
      </c>
      <c r="AB15" s="1008" t="s">
        <v>2624</v>
      </c>
      <c r="AC15" s="959" t="str">
        <f>IF(AD15&lt;60,"Paket Tepat Waktu/kurang dari 60HK","Tidak Tepat Waktu")</f>
        <v>Paket Tepat Waktu/kurang dari 60HK</v>
      </c>
      <c r="AD15" s="165">
        <f>S15</f>
        <v>10</v>
      </c>
      <c r="AE15" s="960">
        <f>IF(F15="JK",60-AD15,45-AD15)</f>
        <v>50</v>
      </c>
      <c r="AF15" s="961" t="s">
        <v>2529</v>
      </c>
      <c r="AG15" s="962" t="s">
        <v>2685</v>
      </c>
      <c r="AH15" s="962" t="s">
        <v>2686</v>
      </c>
      <c r="AI15" s="23" t="s">
        <v>2687</v>
      </c>
      <c r="AJ15" s="976" t="s">
        <v>2688</v>
      </c>
      <c r="AK15" s="1007" t="s">
        <v>2689</v>
      </c>
      <c r="AL15" s="985" t="s">
        <v>2690</v>
      </c>
      <c r="AM15" s="965">
        <v>2590560.6239999998</v>
      </c>
      <c r="AN15" s="966" t="s">
        <v>2557</v>
      </c>
      <c r="AO15" s="967">
        <f>AM15/E15*100</f>
        <v>98.113545601563416</v>
      </c>
      <c r="AP15" s="973"/>
      <c r="AQ15" s="969" t="str">
        <f>IF(OR(AF15="Kontrak",AF15="BAHP",AF15="SPPBJ"),"SUDAH",IF(J15="03 Sudah Usul SIPBJ (Dok. dlm Reviu)","BELUM TAYANG",IF(AF15="PROSES","PROSES")))</f>
        <v>SUDAH</v>
      </c>
      <c r="AR15" s="974" t="s">
        <v>2558</v>
      </c>
    </row>
    <row r="16" spans="1:59" s="17" customFormat="1" ht="30.75">
      <c r="A16" s="937" t="s">
        <v>2691</v>
      </c>
      <c r="B16" s="938" t="s">
        <v>2692</v>
      </c>
      <c r="C16" s="939" t="s">
        <v>2561</v>
      </c>
      <c r="D16" s="940">
        <v>2363060</v>
      </c>
      <c r="E16" s="940">
        <v>2363060</v>
      </c>
      <c r="F16" s="941" t="s">
        <v>1949</v>
      </c>
      <c r="G16" s="941" t="s">
        <v>2542</v>
      </c>
      <c r="H16" s="941" t="s">
        <v>2578</v>
      </c>
      <c r="I16" s="942" t="s">
        <v>2693</v>
      </c>
      <c r="J16" s="943" t="s">
        <v>2545</v>
      </c>
      <c r="K16" s="982" t="s">
        <v>24</v>
      </c>
      <c r="L16" s="993" t="s">
        <v>2694</v>
      </c>
      <c r="M16" s="993" t="s">
        <v>2695</v>
      </c>
      <c r="N16" s="946">
        <v>45765</v>
      </c>
      <c r="O16" s="947">
        <v>45821</v>
      </c>
      <c r="P16" s="948">
        <f>O16-N16</f>
        <v>56</v>
      </c>
      <c r="Q16" s="949">
        <f ca="1">IF(N16="",0,TODAY()-N16)</f>
        <v>402</v>
      </c>
      <c r="R16" s="947">
        <v>45828</v>
      </c>
      <c r="S16" s="951">
        <f>R16-N16</f>
        <v>63</v>
      </c>
      <c r="T16" s="952" t="str">
        <f>IF(F16="JK",IF(S16&lt;=45,"Belum Terlambat (JK)","Terlambat &gt; 45HK(JK)"),IF(F16="PK",IF(S16&lt;=35,"Belum Terlambat (PK)","Terlambat&gt;35(PK)")))</f>
        <v>Terlambat &gt; 45HK(JK)</v>
      </c>
      <c r="U16" s="953">
        <f ca="1">IF(I16="JK",60-Q16,45-Q16)</f>
        <v>-357</v>
      </c>
      <c r="V16" s="954">
        <v>45821</v>
      </c>
      <c r="W16" s="954">
        <v>45828</v>
      </c>
      <c r="X16" s="955">
        <f ca="1">IF(V16="",0,TODAY()-V16)</f>
        <v>346</v>
      </c>
      <c r="Y16" s="956">
        <f>W16-V16</f>
        <v>7</v>
      </c>
      <c r="Z16" s="956"/>
      <c r="AA16" s="1009" t="s">
        <v>2696</v>
      </c>
      <c r="AB16" s="1010" t="s">
        <v>2697</v>
      </c>
      <c r="AC16" s="959" t="str">
        <f>IF(AD16&lt;60,"Paket Tepat Waktu/kurang dari 60HK","Tidak Tepat Waktu")</f>
        <v>Paket Tepat Waktu/kurang dari 60HK</v>
      </c>
      <c r="AD16" s="977">
        <f>S16-1-2-2-4</f>
        <v>54</v>
      </c>
      <c r="AE16" s="960">
        <f>IF(F16="JK",60-AD16,45-AD16)</f>
        <v>6</v>
      </c>
      <c r="AF16" s="961" t="s">
        <v>2529</v>
      </c>
      <c r="AG16" s="962" t="s">
        <v>2594</v>
      </c>
      <c r="AH16" s="962" t="s">
        <v>2698</v>
      </c>
      <c r="AI16" s="23" t="s">
        <v>2699</v>
      </c>
      <c r="AJ16" s="976" t="s">
        <v>2597</v>
      </c>
      <c r="AK16" s="1011" t="s">
        <v>2598</v>
      </c>
      <c r="AL16" s="985" t="s">
        <v>2599</v>
      </c>
      <c r="AM16" s="1012">
        <v>2009818.6140000001</v>
      </c>
      <c r="AN16" s="966" t="s">
        <v>2573</v>
      </c>
      <c r="AO16" s="967">
        <f>AM16/E16*100</f>
        <v>85.05152700312307</v>
      </c>
      <c r="AP16" s="973"/>
      <c r="AQ16" s="969" t="str">
        <f>IF(OR(AF16="Kontrak",AF16="BAHP",AF16="SPPBJ"),"SUDAH",IF(J16="03 Sudah Usul SIPBJ (Dok. dlm Reviu)","BELUM TAYANG",IF(AF16="PROSES","PROSES")))</f>
        <v>SUDAH</v>
      </c>
      <c r="AR16" s="974" t="s">
        <v>2575</v>
      </c>
    </row>
    <row r="17" spans="1:45" s="17" customFormat="1" ht="30.75">
      <c r="A17" s="937" t="s">
        <v>2700</v>
      </c>
      <c r="B17" s="938" t="s">
        <v>2701</v>
      </c>
      <c r="C17" s="939" t="s">
        <v>2541</v>
      </c>
      <c r="D17" s="940">
        <v>1181231</v>
      </c>
      <c r="E17" s="940">
        <v>1179500</v>
      </c>
      <c r="F17" s="941" t="s">
        <v>1949</v>
      </c>
      <c r="G17" s="941" t="s">
        <v>2542</v>
      </c>
      <c r="H17" s="941" t="s">
        <v>2543</v>
      </c>
      <c r="I17" s="942" t="s">
        <v>2702</v>
      </c>
      <c r="J17" s="943" t="s">
        <v>2545</v>
      </c>
      <c r="K17" s="982" t="s">
        <v>2681</v>
      </c>
      <c r="L17" s="993" t="s">
        <v>2703</v>
      </c>
      <c r="M17" s="993" t="s">
        <v>2704</v>
      </c>
      <c r="N17" s="946">
        <v>45768</v>
      </c>
      <c r="O17" s="947">
        <v>45779</v>
      </c>
      <c r="P17" s="948">
        <f>O17-N17</f>
        <v>11</v>
      </c>
      <c r="Q17" s="949">
        <f ca="1">IF(N17="",0,TODAY()-N17)</f>
        <v>399</v>
      </c>
      <c r="R17" s="947">
        <v>45779</v>
      </c>
      <c r="S17" s="951">
        <f>R17-N17</f>
        <v>11</v>
      </c>
      <c r="T17" s="952" t="str">
        <f>IF(F17="JK",IF(S17&lt;=45,"Belum Terlambat (JK)","Terlambat &gt; 45HK(JK)"),IF(F17="PK",IF(S17&lt;=35,"Belum Terlambat (PK)","Terlambat&gt;35(PK)")))</f>
        <v>Belum Terlambat (JK)</v>
      </c>
      <c r="U17" s="953">
        <f ca="1">IF(I17="JK",60-Q17,45-Q17)</f>
        <v>-354</v>
      </c>
      <c r="V17" s="954">
        <v>45775</v>
      </c>
      <c r="W17" s="954">
        <v>45777</v>
      </c>
      <c r="X17" s="955">
        <f ca="1">IF(V17="",0,TODAY()-V17)</f>
        <v>392</v>
      </c>
      <c r="Y17" s="956">
        <f>W17-V17</f>
        <v>2</v>
      </c>
      <c r="Z17" s="1013"/>
      <c r="AA17" s="1006" t="s">
        <v>2705</v>
      </c>
      <c r="AB17" s="1014" t="s">
        <v>2706</v>
      </c>
      <c r="AC17" s="959" t="str">
        <f>IF(AD17&lt;60,"Paket Tepat Waktu/kurang dari 60HK","Tidak Tepat Waktu")</f>
        <v>Paket Tepat Waktu/kurang dari 60HK</v>
      </c>
      <c r="AD17" s="977">
        <f>S17</f>
        <v>11</v>
      </c>
      <c r="AE17" s="960">
        <f>IF(F17="JK",60-AD17,45-AD17)</f>
        <v>49</v>
      </c>
      <c r="AF17" s="961" t="s">
        <v>2529</v>
      </c>
      <c r="AG17" s="962" t="s">
        <v>2707</v>
      </c>
      <c r="AH17" s="962" t="s">
        <v>2708</v>
      </c>
      <c r="AI17" s="23" t="s">
        <v>2709</v>
      </c>
      <c r="AJ17" s="976" t="s">
        <v>2710</v>
      </c>
      <c r="AK17" s="976" t="s">
        <v>2711</v>
      </c>
      <c r="AL17" s="985" t="s">
        <v>2712</v>
      </c>
      <c r="AM17" s="965">
        <v>1122993.105</v>
      </c>
      <c r="AN17" s="966" t="s">
        <v>2573</v>
      </c>
      <c r="AO17" s="967">
        <f>AM17/E17*100</f>
        <v>95.209250105977105</v>
      </c>
      <c r="AP17" s="973"/>
      <c r="AQ17" s="969" t="str">
        <f>IF(OR(AF17="Kontrak",AF17="BAHP",AF17="SPPBJ"),"SUDAH",IF(J17="03 Sudah Usul SIPBJ (Dok. dlm Reviu)","BELUM TAYANG",IF(AF17="PROSES","PROSES")))</f>
        <v>SUDAH</v>
      </c>
      <c r="AR17" s="974" t="s">
        <v>2558</v>
      </c>
    </row>
    <row r="18" spans="1:45" s="17" customFormat="1" ht="30.75">
      <c r="A18" s="937" t="s">
        <v>2713</v>
      </c>
      <c r="B18" s="938" t="s">
        <v>2714</v>
      </c>
      <c r="C18" s="939" t="s">
        <v>2541</v>
      </c>
      <c r="D18" s="940">
        <v>2190518</v>
      </c>
      <c r="E18" s="940">
        <v>2190130</v>
      </c>
      <c r="F18" s="941" t="s">
        <v>1949</v>
      </c>
      <c r="G18" s="941" t="s">
        <v>2542</v>
      </c>
      <c r="H18" s="941" t="s">
        <v>2543</v>
      </c>
      <c r="I18" s="942" t="s">
        <v>2702</v>
      </c>
      <c r="J18" s="943" t="s">
        <v>2545</v>
      </c>
      <c r="K18" s="982" t="s">
        <v>2563</v>
      </c>
      <c r="L18" s="993" t="s">
        <v>2715</v>
      </c>
      <c r="M18" s="993" t="s">
        <v>2716</v>
      </c>
      <c r="N18" s="946">
        <v>45769</v>
      </c>
      <c r="O18" s="947">
        <v>45782</v>
      </c>
      <c r="P18" s="948">
        <f>O18-N18</f>
        <v>13</v>
      </c>
      <c r="Q18" s="949">
        <f ca="1">IF(N18="",0,TODAY()-N18)</f>
        <v>398</v>
      </c>
      <c r="R18" s="947">
        <v>45782</v>
      </c>
      <c r="S18" s="951">
        <f>R18-N18</f>
        <v>13</v>
      </c>
      <c r="T18" s="952" t="str">
        <f>IF(F18="JK",IF(S18&lt;=45,"Belum Terlambat (JK)","Terlambat &gt; 45HK(JK)"),IF(F18="PK",IF(S18&lt;=35,"Belum Terlambat (PK)","Terlambat&gt;35(PK)")))</f>
        <v>Belum Terlambat (JK)</v>
      </c>
      <c r="U18" s="953">
        <f ca="1">IF(I18="JK",60-Q18,45-Q18)</f>
        <v>-353</v>
      </c>
      <c r="V18" s="954">
        <v>45776</v>
      </c>
      <c r="W18" s="954">
        <v>45779</v>
      </c>
      <c r="X18" s="955">
        <f ca="1">IF(V18="",0,TODAY()-V18)</f>
        <v>391</v>
      </c>
      <c r="Y18" s="956">
        <f>W18-V18</f>
        <v>3</v>
      </c>
      <c r="Z18" s="1015"/>
      <c r="AA18" s="957" t="s">
        <v>2549</v>
      </c>
      <c r="AB18" s="1016" t="s">
        <v>2706</v>
      </c>
      <c r="AC18" s="959" t="str">
        <f>IF(AD18&lt;60,"Paket Tepat Waktu/kurang dari 60HK","Tidak Tepat Waktu")</f>
        <v>Paket Tepat Waktu/kurang dari 60HK</v>
      </c>
      <c r="AD18" s="977">
        <f>S18</f>
        <v>13</v>
      </c>
      <c r="AE18" s="960">
        <f>IF(F18="JK",60-AD18,45-AD18)</f>
        <v>47</v>
      </c>
      <c r="AF18" s="961" t="s">
        <v>2529</v>
      </c>
      <c r="AG18" s="962" t="s">
        <v>2717</v>
      </c>
      <c r="AH18" s="962" t="s">
        <v>2718</v>
      </c>
      <c r="AI18" s="23" t="s">
        <v>2719</v>
      </c>
      <c r="AJ18" s="976" t="s">
        <v>2720</v>
      </c>
      <c r="AK18" s="976" t="s">
        <v>2721</v>
      </c>
      <c r="AL18" s="976" t="s">
        <v>2722</v>
      </c>
      <c r="AM18" s="965">
        <v>2107538.13</v>
      </c>
      <c r="AN18" s="966" t="s">
        <v>2557</v>
      </c>
      <c r="AO18" s="967">
        <f>AM18/E18*100</f>
        <v>96.228905590079123</v>
      </c>
      <c r="AP18" s="973"/>
      <c r="AQ18" s="969" t="str">
        <f>IF(OR(AF18="Kontrak",AF18="BAHP",AF18="SPPBJ"),"SUDAH",IF(J18="03 Sudah Usul SIPBJ (Dok. dlm Reviu)","BELUM TAYANG",IF(AF18="PROSES","PROSES")))</f>
        <v>SUDAH</v>
      </c>
      <c r="AR18" s="974" t="s">
        <v>2558</v>
      </c>
      <c r="AS18" s="17" t="s">
        <v>2723</v>
      </c>
    </row>
    <row r="19" spans="1:45" s="17" customFormat="1" ht="30.75">
      <c r="A19" s="937" t="s">
        <v>2724</v>
      </c>
      <c r="B19" s="938" t="s">
        <v>2725</v>
      </c>
      <c r="C19" s="939" t="s">
        <v>2541</v>
      </c>
      <c r="D19" s="940">
        <v>1687856</v>
      </c>
      <c r="E19" s="940">
        <v>1687508</v>
      </c>
      <c r="F19" s="941" t="s">
        <v>1949</v>
      </c>
      <c r="G19" s="941" t="s">
        <v>2542</v>
      </c>
      <c r="H19" s="941" t="s">
        <v>2543</v>
      </c>
      <c r="I19" s="942" t="s">
        <v>2702</v>
      </c>
      <c r="J19" s="943" t="s">
        <v>2545</v>
      </c>
      <c r="K19" s="982" t="s">
        <v>2726</v>
      </c>
      <c r="L19" s="993" t="s">
        <v>2727</v>
      </c>
      <c r="M19" s="993" t="s">
        <v>2728</v>
      </c>
      <c r="N19" s="946">
        <v>45770</v>
      </c>
      <c r="O19" s="947">
        <v>45786</v>
      </c>
      <c r="P19" s="948">
        <f>O19-N19</f>
        <v>16</v>
      </c>
      <c r="Q19" s="949">
        <f ca="1">IF(N19="",0,TODAY()-N19)</f>
        <v>397</v>
      </c>
      <c r="R19" s="947">
        <v>45786</v>
      </c>
      <c r="S19" s="951">
        <f>R19-N19</f>
        <v>16</v>
      </c>
      <c r="T19" s="952" t="str">
        <f>IF(F19="JK",IF(S19&lt;=45,"Belum Terlambat (JK)","Terlambat &gt; 45HK(JK)"),IF(F19="PK",IF(S19&lt;=35,"Belum Terlambat (PK)","Terlambat&gt;35(PK)")))</f>
        <v>Belum Terlambat (JK)</v>
      </c>
      <c r="U19" s="953">
        <f ca="1">IF(I19="JK",60-Q19,45-Q19)</f>
        <v>-352</v>
      </c>
      <c r="V19" s="954">
        <v>45777</v>
      </c>
      <c r="W19" s="954">
        <v>45784</v>
      </c>
      <c r="X19" s="955">
        <f ca="1">IF(V19="",0,TODAY()-V19)</f>
        <v>390</v>
      </c>
      <c r="Y19" s="956">
        <f>W19-V19</f>
        <v>7</v>
      </c>
      <c r="Z19" s="1015"/>
      <c r="AA19" s="957" t="s">
        <v>2549</v>
      </c>
      <c r="AB19" s="1016" t="s">
        <v>2706</v>
      </c>
      <c r="AC19" s="959" t="str">
        <f>IF(AD19&lt;60,"Paket Tepat Waktu/kurang dari 60HK","Tidak Tepat Waktu")</f>
        <v>Paket Tepat Waktu/kurang dari 60HK</v>
      </c>
      <c r="AD19" s="977">
        <f t="shared" ref="AD19:AD22" si="2">S19</f>
        <v>16</v>
      </c>
      <c r="AE19" s="960">
        <f>IF(F19="JK",60-AD19,45-AD19)</f>
        <v>44</v>
      </c>
      <c r="AF19" s="961" t="s">
        <v>2529</v>
      </c>
      <c r="AG19" s="962" t="s">
        <v>2723</v>
      </c>
      <c r="AH19" s="962" t="s">
        <v>2729</v>
      </c>
      <c r="AI19" s="23" t="s">
        <v>2730</v>
      </c>
      <c r="AJ19" s="976" t="s">
        <v>2731</v>
      </c>
      <c r="AK19" s="1017" t="s">
        <v>2732</v>
      </c>
      <c r="AL19" s="976" t="s">
        <v>2733</v>
      </c>
      <c r="AM19" s="965">
        <v>1616838.5430000001</v>
      </c>
      <c r="AN19" s="966" t="s">
        <v>2557</v>
      </c>
      <c r="AO19" s="967">
        <f>AM19/E19*100</f>
        <v>95.812200179199152</v>
      </c>
      <c r="AP19" s="973" t="s">
        <v>2734</v>
      </c>
      <c r="AQ19" s="969" t="str">
        <f>IF(OR(AF19="Kontrak",AF19="BAHP",AF19="SPPBJ"),"SUDAH",IF(J19="03 Sudah Usul SIPBJ (Dok. dlm Reviu)","BELUM TAYANG",IF(AF19="PROSES","PROSES")))</f>
        <v>SUDAH</v>
      </c>
      <c r="AR19" s="974" t="s">
        <v>2558</v>
      </c>
    </row>
    <row r="20" spans="1:45" s="17" customFormat="1" ht="30.75">
      <c r="A20" s="937" t="s">
        <v>2735</v>
      </c>
      <c r="B20" s="938" t="s">
        <v>2736</v>
      </c>
      <c r="C20" s="939" t="s">
        <v>2541</v>
      </c>
      <c r="D20" s="940">
        <v>2258186</v>
      </c>
      <c r="E20" s="940">
        <v>2255284</v>
      </c>
      <c r="F20" s="941" t="s">
        <v>1949</v>
      </c>
      <c r="G20" s="941" t="s">
        <v>2542</v>
      </c>
      <c r="H20" s="941" t="s">
        <v>2543</v>
      </c>
      <c r="I20" s="942" t="s">
        <v>2702</v>
      </c>
      <c r="J20" s="943" t="s">
        <v>2545</v>
      </c>
      <c r="K20" s="982" t="s">
        <v>2579</v>
      </c>
      <c r="L20" s="993" t="s">
        <v>2737</v>
      </c>
      <c r="M20" s="993" t="s">
        <v>2738</v>
      </c>
      <c r="N20" s="946">
        <v>45771</v>
      </c>
      <c r="O20" s="947">
        <v>45789</v>
      </c>
      <c r="P20" s="948">
        <f>O20-N20</f>
        <v>18</v>
      </c>
      <c r="Q20" s="949">
        <f ca="1">IF(N20="",0,TODAY()-N20)</f>
        <v>396</v>
      </c>
      <c r="R20" s="947">
        <v>45789</v>
      </c>
      <c r="S20" s="951">
        <f>R20-N20</f>
        <v>18</v>
      </c>
      <c r="T20" s="952" t="str">
        <f>IF(F20="JK",IF(S20&lt;=45,"Belum Terlambat (JK)","Terlambat &gt; 45HK(JK)"),IF(F20="PK",IF(S20&lt;=35,"Belum Terlambat (PK)","Terlambat&gt;35(PK)")))</f>
        <v>Belum Terlambat (JK)</v>
      </c>
      <c r="U20" s="953">
        <f ca="1">IF(I20="JK",60-Q20,45-Q20)</f>
        <v>-351</v>
      </c>
      <c r="V20" s="954">
        <v>45782</v>
      </c>
      <c r="W20" s="954">
        <v>45786</v>
      </c>
      <c r="X20" s="955">
        <f ca="1">IF(V20="",0,TODAY()-V20)</f>
        <v>385</v>
      </c>
      <c r="Y20" s="956">
        <f>W20-V20</f>
        <v>4</v>
      </c>
      <c r="Z20" s="1015"/>
      <c r="AA20" s="1018" t="s">
        <v>2549</v>
      </c>
      <c r="AB20" s="1016" t="s">
        <v>2706</v>
      </c>
      <c r="AC20" s="959" t="str">
        <f>IF(AD20&lt;60,"Paket Tepat Waktu/kurang dari 60HK","Tidak Tepat Waktu")</f>
        <v>Paket Tepat Waktu/kurang dari 60HK</v>
      </c>
      <c r="AD20" s="977">
        <f>S20</f>
        <v>18</v>
      </c>
      <c r="AE20" s="960">
        <f>IF(F20="JK",60-AD20,45-AD20)</f>
        <v>42</v>
      </c>
      <c r="AF20" s="961" t="s">
        <v>2529</v>
      </c>
      <c r="AG20" s="962" t="s">
        <v>2739</v>
      </c>
      <c r="AH20" s="962" t="s">
        <v>2740</v>
      </c>
      <c r="AI20" s="23" t="s">
        <v>2741</v>
      </c>
      <c r="AJ20" s="976" t="s">
        <v>2742</v>
      </c>
      <c r="AK20" s="976" t="s">
        <v>2743</v>
      </c>
      <c r="AL20" s="976" t="s">
        <v>2744</v>
      </c>
      <c r="AM20" s="965">
        <v>2141817.15</v>
      </c>
      <c r="AN20" s="966" t="s">
        <v>2573</v>
      </c>
      <c r="AO20" s="967">
        <f>AM20/E20*100</f>
        <v>94.968844278591959</v>
      </c>
      <c r="AP20" s="973"/>
      <c r="AQ20" s="969" t="str">
        <f>IF(OR(AF20="Kontrak",AF20="BAHP",AF20="SPPBJ"),"SUDAH",IF(J20="03 Sudah Usul SIPBJ (Dok. dlm Reviu)","BELUM TAYANG",IF(AF20="PROSES","PROSES")))</f>
        <v>SUDAH</v>
      </c>
      <c r="AR20" s="974" t="s">
        <v>2558</v>
      </c>
    </row>
    <row r="21" spans="1:45" s="17" customFormat="1" ht="30.75">
      <c r="A21" s="937" t="s">
        <v>2745</v>
      </c>
      <c r="B21" s="938" t="s">
        <v>2746</v>
      </c>
      <c r="C21" s="939" t="s">
        <v>2541</v>
      </c>
      <c r="D21" s="940">
        <v>1234088</v>
      </c>
      <c r="E21" s="940">
        <v>1233826</v>
      </c>
      <c r="F21" s="941" t="s">
        <v>1949</v>
      </c>
      <c r="G21" s="941" t="s">
        <v>2542</v>
      </c>
      <c r="H21" s="941" t="s">
        <v>2543</v>
      </c>
      <c r="I21" s="942" t="s">
        <v>2702</v>
      </c>
      <c r="J21" s="943" t="s">
        <v>2545</v>
      </c>
      <c r="K21" s="982" t="s">
        <v>2668</v>
      </c>
      <c r="L21" s="993" t="s">
        <v>2747</v>
      </c>
      <c r="M21" s="993" t="s">
        <v>2748</v>
      </c>
      <c r="N21" s="946">
        <v>45771</v>
      </c>
      <c r="O21" s="947">
        <v>45791</v>
      </c>
      <c r="P21" s="948">
        <f>O21-N21</f>
        <v>20</v>
      </c>
      <c r="Q21" s="949">
        <f ca="1">IF(N21="",0,TODAY()-N21)</f>
        <v>396</v>
      </c>
      <c r="R21" s="947">
        <v>45791</v>
      </c>
      <c r="S21" s="951">
        <f>R21-N21</f>
        <v>20</v>
      </c>
      <c r="T21" s="952" t="e">
        <f>SUMIFS('[1]buat analisa kinerja'!$D$39:$D$107,'[1]buat analisa kinerja'!$C:$C,$R$20,'[1]buat analisa kinerja'!$F:$F,R21)</f>
        <v>#VALUE!</v>
      </c>
      <c r="U21" s="953">
        <f ca="1">IF(I21="JK",60-Q21,45-Q21)</f>
        <v>-351</v>
      </c>
      <c r="V21" s="954">
        <v>45779</v>
      </c>
      <c r="W21" s="954">
        <v>45786</v>
      </c>
      <c r="X21" s="955">
        <f ca="1">IF(V21="",0,TODAY()-V21)</f>
        <v>388</v>
      </c>
      <c r="Y21" s="956">
        <f>W21-V21</f>
        <v>7</v>
      </c>
      <c r="Z21" s="1013"/>
      <c r="AA21" s="1019" t="s">
        <v>2749</v>
      </c>
      <c r="AB21" s="1014" t="s">
        <v>2706</v>
      </c>
      <c r="AC21" s="959" t="str">
        <f>IF(AD21&lt;60,"Paket Tepat Waktu/kurang dari 60HK","Tidak Tepat Waktu")</f>
        <v>Paket Tepat Waktu/kurang dari 60HK</v>
      </c>
      <c r="AD21" s="977">
        <f t="shared" si="2"/>
        <v>20</v>
      </c>
      <c r="AE21" s="960">
        <f>IF(F21="JK",60-AD21,45-AD21)</f>
        <v>40</v>
      </c>
      <c r="AF21" s="961" t="s">
        <v>2529</v>
      </c>
      <c r="AG21" s="962" t="s">
        <v>2750</v>
      </c>
      <c r="AH21" s="962" t="s">
        <v>2751</v>
      </c>
      <c r="AI21" s="23" t="s">
        <v>2752</v>
      </c>
      <c r="AJ21" s="976" t="s">
        <v>2753</v>
      </c>
      <c r="AK21" s="976" t="s">
        <v>2754</v>
      </c>
      <c r="AL21" s="976" t="s">
        <v>2755</v>
      </c>
      <c r="AM21" s="965">
        <v>1167849.426</v>
      </c>
      <c r="AN21" s="966" t="s">
        <v>2557</v>
      </c>
      <c r="AO21" s="967">
        <f>AM21/E21*100</f>
        <v>94.652684089977029</v>
      </c>
      <c r="AP21" s="973"/>
      <c r="AQ21" s="969" t="str">
        <f>IF(OR(AF21="Kontrak",AF21="BAHP",AF21="SPPBJ"),"SUDAH",IF(J21="03 Sudah Usul SIPBJ (Dok. dlm Reviu)","BELUM TAYANG",IF(AF21="PROSES","PROSES")))</f>
        <v>SUDAH</v>
      </c>
      <c r="AR21" s="974" t="s">
        <v>2558</v>
      </c>
    </row>
    <row r="22" spans="1:45" s="17" customFormat="1" ht="30.75">
      <c r="A22" s="937" t="s">
        <v>2756</v>
      </c>
      <c r="B22" s="938" t="s">
        <v>2757</v>
      </c>
      <c r="C22" s="939" t="s">
        <v>2541</v>
      </c>
      <c r="D22" s="940">
        <v>2795529</v>
      </c>
      <c r="E22" s="940">
        <v>2794673</v>
      </c>
      <c r="F22" s="941" t="s">
        <v>1949</v>
      </c>
      <c r="G22" s="941" t="s">
        <v>2542</v>
      </c>
      <c r="H22" s="941" t="s">
        <v>2543</v>
      </c>
      <c r="I22" s="942" t="s">
        <v>2702</v>
      </c>
      <c r="J22" s="943" t="s">
        <v>2545</v>
      </c>
      <c r="K22" s="982" t="s">
        <v>2659</v>
      </c>
      <c r="L22" s="993" t="s">
        <v>2758</v>
      </c>
      <c r="M22" s="993" t="s">
        <v>2759</v>
      </c>
      <c r="N22" s="946">
        <v>45771</v>
      </c>
      <c r="O22" s="947">
        <v>45786</v>
      </c>
      <c r="P22" s="948">
        <f>O22-N22</f>
        <v>15</v>
      </c>
      <c r="Q22" s="949">
        <f ca="1">IF(N22="",0,TODAY()-N22)</f>
        <v>396</v>
      </c>
      <c r="R22" s="947">
        <v>45786</v>
      </c>
      <c r="S22" s="951">
        <f>R22-N22</f>
        <v>15</v>
      </c>
      <c r="T22" s="952" t="str">
        <f>IF(F22="JK",IF(S22&lt;=45,"Belum Terlambat (JK)","Terlambat &gt; 45HK(JK)"),IF(F22="PK",IF(S22&lt;=35,"Belum Terlambat (PK)","Terlambat&gt;35(PK)")))</f>
        <v>Belum Terlambat (JK)</v>
      </c>
      <c r="U22" s="953">
        <f ca="1">IF(I22="JK",60-Q22,45-Q22)</f>
        <v>-351</v>
      </c>
      <c r="V22" s="954">
        <v>45777</v>
      </c>
      <c r="W22" s="954">
        <v>45785</v>
      </c>
      <c r="X22" s="955">
        <f ca="1">IF(V22="",0,TODAY()-V22)</f>
        <v>390</v>
      </c>
      <c r="Y22" s="956">
        <f>W22-V22</f>
        <v>8</v>
      </c>
      <c r="Z22" s="1015"/>
      <c r="AA22" s="957" t="s">
        <v>2549</v>
      </c>
      <c r="AB22" s="1016" t="s">
        <v>2706</v>
      </c>
      <c r="AC22" s="959" t="str">
        <f>IF(AD22&lt;60,"Paket Tepat Waktu/kurang dari 60HK","Tidak Tepat Waktu")</f>
        <v>Paket Tepat Waktu/kurang dari 60HK</v>
      </c>
      <c r="AD22" s="977">
        <f t="shared" si="2"/>
        <v>15</v>
      </c>
      <c r="AE22" s="960">
        <f>IF(F22="JK",60-AD22,45-AD22)</f>
        <v>45</v>
      </c>
      <c r="AF22" s="961" t="s">
        <v>2529</v>
      </c>
      <c r="AG22" s="962" t="s">
        <v>2760</v>
      </c>
      <c r="AH22" s="962" t="s">
        <v>2761</v>
      </c>
      <c r="AI22" s="23" t="s">
        <v>2762</v>
      </c>
      <c r="AJ22" s="976" t="s">
        <v>2763</v>
      </c>
      <c r="AK22" s="976" t="s">
        <v>2764</v>
      </c>
      <c r="AL22" s="976" t="s">
        <v>2765</v>
      </c>
      <c r="AM22" s="965">
        <v>2756524.05</v>
      </c>
      <c r="AN22" s="966" t="s">
        <v>2557</v>
      </c>
      <c r="AO22" s="967">
        <f>AM22/E22*100</f>
        <v>98.634940474252247</v>
      </c>
      <c r="AP22" s="973"/>
      <c r="AQ22" s="969" t="str">
        <f>IF(OR(AF22="Kontrak",AF22="BAHP",AF22="SPPBJ"),"SUDAH",IF(J22="03 Sudah Usul SIPBJ (Dok. dlm Reviu)","BELUM TAYANG",IF(AF22="PROSES","PROSES")))</f>
        <v>SUDAH</v>
      </c>
      <c r="AR22" s="974" t="s">
        <v>2558</v>
      </c>
    </row>
    <row r="23" spans="1:45" s="1023" customFormat="1" ht="45.75">
      <c r="A23" s="937" t="s">
        <v>2766</v>
      </c>
      <c r="B23" s="938" t="s">
        <v>2767</v>
      </c>
      <c r="C23" s="1020" t="s">
        <v>2561</v>
      </c>
      <c r="D23" s="940">
        <v>1500000</v>
      </c>
      <c r="E23" s="940">
        <v>1500000</v>
      </c>
      <c r="F23" s="941" t="s">
        <v>1949</v>
      </c>
      <c r="G23" s="941" t="s">
        <v>2542</v>
      </c>
      <c r="H23" s="941" t="s">
        <v>2578</v>
      </c>
      <c r="I23" s="942" t="s">
        <v>2768</v>
      </c>
      <c r="J23" s="943" t="s">
        <v>2545</v>
      </c>
      <c r="K23" s="982" t="s">
        <v>10</v>
      </c>
      <c r="L23" s="993" t="s">
        <v>2769</v>
      </c>
      <c r="M23" s="993" t="s">
        <v>2770</v>
      </c>
      <c r="N23" s="946">
        <v>45771</v>
      </c>
      <c r="O23" s="947">
        <v>45813</v>
      </c>
      <c r="P23" s="1004">
        <f>O23-N23</f>
        <v>42</v>
      </c>
      <c r="Q23" s="1005">
        <f ca="1">IF(N23="",0,TODAY()-N23)</f>
        <v>396</v>
      </c>
      <c r="R23" s="947">
        <v>45826</v>
      </c>
      <c r="S23" s="951">
        <f>R23-N23</f>
        <v>55</v>
      </c>
      <c r="T23" s="952" t="str">
        <f>IF(F23="JK",IF(S23&lt;=45,"Belum Terlambat (JK)","Terlambat &gt; 45HK(JK)"),IF(F23="PK",IF(S23&lt;=35,"Belum Terlambat (PK)","Terlambat&gt;35(PK)")))</f>
        <v>Terlambat &gt; 45HK(JK)</v>
      </c>
      <c r="U23" s="953">
        <f ca="1">IF(I23="JK",60-Q23,45-Q23)</f>
        <v>-351</v>
      </c>
      <c r="V23" s="947">
        <v>45818</v>
      </c>
      <c r="W23" s="947">
        <v>45826</v>
      </c>
      <c r="X23" s="955">
        <f ca="1">IF(V23="",0,TODAY()-V23)</f>
        <v>349</v>
      </c>
      <c r="Y23" s="956">
        <f>W23-V23</f>
        <v>8</v>
      </c>
      <c r="Z23" s="1015"/>
      <c r="AA23" s="1009" t="s">
        <v>2771</v>
      </c>
      <c r="AB23" s="1010" t="s">
        <v>2772</v>
      </c>
      <c r="AC23" s="959" t="str">
        <f>IF(AD23&lt;60,"Paket Tepat Waktu/kurang dari 60HK","Tidak Tepat Waktu")</f>
        <v>Paket Tepat Waktu/kurang dari 60HK</v>
      </c>
      <c r="AD23" s="977">
        <f>S23-2-1</f>
        <v>52</v>
      </c>
      <c r="AE23" s="960">
        <f>IF(F23="JK",60-AD23,45-AD23)</f>
        <v>8</v>
      </c>
      <c r="AF23" s="961" t="s">
        <v>2529</v>
      </c>
      <c r="AG23" s="962" t="s">
        <v>2773</v>
      </c>
      <c r="AH23" s="962"/>
      <c r="AI23" s="1021" t="s">
        <v>2774</v>
      </c>
      <c r="AJ23" s="976" t="s">
        <v>2775</v>
      </c>
      <c r="AK23" s="976"/>
      <c r="AL23" s="976"/>
      <c r="AM23" s="965">
        <v>1274948.997</v>
      </c>
      <c r="AN23" s="966" t="s">
        <v>2557</v>
      </c>
      <c r="AO23" s="967">
        <f>AM23/E23*100</f>
        <v>84.996599799999998</v>
      </c>
      <c r="AP23" s="1022"/>
      <c r="AQ23" s="969" t="str">
        <f>IF(OR(AF23="Kontrak",AF23="BAHP",AF23="SPPBJ"),"SUDAH",IF(J23="03 Sudah Usul SIPBJ (Dok. dlm Reviu)","BELUM TAYANG",IF(AF23="PROSES","PROSES")))</f>
        <v>SUDAH</v>
      </c>
      <c r="AR23" s="974" t="s">
        <v>2575</v>
      </c>
    </row>
    <row r="24" spans="1:45" s="17" customFormat="1" ht="45.75">
      <c r="A24" s="937" t="s">
        <v>2776</v>
      </c>
      <c r="B24" s="938" t="s">
        <v>2777</v>
      </c>
      <c r="C24" s="1024" t="s">
        <v>2561</v>
      </c>
      <c r="D24" s="940">
        <v>3500000</v>
      </c>
      <c r="E24" s="940">
        <v>3443705</v>
      </c>
      <c r="F24" s="941" t="s">
        <v>1949</v>
      </c>
      <c r="G24" s="941" t="s">
        <v>2542</v>
      </c>
      <c r="H24" s="941" t="s">
        <v>2578</v>
      </c>
      <c r="I24" s="942" t="s">
        <v>2778</v>
      </c>
      <c r="J24" s="943" t="s">
        <v>2545</v>
      </c>
      <c r="K24" s="982" t="s">
        <v>2779</v>
      </c>
      <c r="L24" s="993" t="s">
        <v>2780</v>
      </c>
      <c r="M24" s="993" t="s">
        <v>2781</v>
      </c>
      <c r="N24" s="946">
        <v>45772</v>
      </c>
      <c r="O24" s="947">
        <v>45820</v>
      </c>
      <c r="P24" s="948">
        <f t="shared" ref="P24:P25" si="3">O24-N24</f>
        <v>48</v>
      </c>
      <c r="Q24" s="949">
        <f t="shared" ref="Q24:Q25" ca="1" si="4">IF(N24="",0,TODAY()-N24)</f>
        <v>395</v>
      </c>
      <c r="R24" s="947">
        <v>45826</v>
      </c>
      <c r="S24" s="951">
        <f>R24-N24</f>
        <v>54</v>
      </c>
      <c r="T24" s="952" t="str">
        <f>IF(F24="JK",IF(S24&lt;=45,"Belum Terlambat (JK)","Terlambat &gt; 45HK(JK)"),IF(F24="PK",IF(S24&lt;=35,"Belum Terlambat (PK)","Terlambat&gt;35(PK)")))</f>
        <v>Terlambat &gt; 45HK(JK)</v>
      </c>
      <c r="U24" s="953">
        <f ca="1">IF(I24="JK",60-Q24,45-Q24)</f>
        <v>-350</v>
      </c>
      <c r="V24" s="947">
        <v>45818</v>
      </c>
      <c r="W24" s="947">
        <v>45826</v>
      </c>
      <c r="X24" s="955">
        <f ca="1">IF(V24="",0,TODAY()-V24)</f>
        <v>349</v>
      </c>
      <c r="Y24" s="956">
        <f>W24-V24</f>
        <v>8</v>
      </c>
      <c r="Z24" s="1015"/>
      <c r="AA24" s="1009" t="s">
        <v>2782</v>
      </c>
      <c r="AB24" s="1025" t="s">
        <v>2783</v>
      </c>
      <c r="AC24" s="959" t="str">
        <f>IF(AD24&lt;60,"Paket Tepat Waktu/kurang dari 60HK","Tidak Tepat Waktu")</f>
        <v>Paket Tepat Waktu/kurang dari 60HK</v>
      </c>
      <c r="AD24" s="977">
        <f>S24-2-1</f>
        <v>51</v>
      </c>
      <c r="AE24" s="960">
        <f>IF(F24="JK",60-AD24,45-AD24)</f>
        <v>9</v>
      </c>
      <c r="AF24" s="961" t="s">
        <v>2529</v>
      </c>
      <c r="AG24" s="962" t="s">
        <v>2784</v>
      </c>
      <c r="AH24" s="962" t="s">
        <v>2785</v>
      </c>
      <c r="AI24" s="687" t="s">
        <v>2786</v>
      </c>
      <c r="AJ24" s="985" t="s">
        <v>2787</v>
      </c>
      <c r="AK24" s="1007" t="s">
        <v>2788</v>
      </c>
      <c r="AL24" s="976" t="s">
        <v>2789</v>
      </c>
      <c r="AM24" s="986">
        <v>2860791.1230000001</v>
      </c>
      <c r="AN24" s="966" t="s">
        <v>2557</v>
      </c>
      <c r="AO24" s="967">
        <f>AM24/E24*100</f>
        <v>83.073060061764878</v>
      </c>
      <c r="AP24" s="973"/>
      <c r="AQ24" s="969" t="str">
        <f>IF(OR(AF24="Kontrak",AF24="BAHP",AF24="SPPBJ"),"SUDAH",IF(J24="03 Sudah Usul SIPBJ (Dok. dlm Reviu)","BELUM TAYANG",IF(AF24="PROSES","PROSES")))</f>
        <v>SUDAH</v>
      </c>
      <c r="AR24" s="974" t="s">
        <v>2575</v>
      </c>
      <c r="AS24" s="1026" t="s">
        <v>2790</v>
      </c>
    </row>
    <row r="25" spans="1:45" s="17" customFormat="1" ht="45.75">
      <c r="A25" s="937" t="s">
        <v>2791</v>
      </c>
      <c r="B25" s="938" t="s">
        <v>2792</v>
      </c>
      <c r="C25" s="939" t="s">
        <v>2541</v>
      </c>
      <c r="D25" s="940">
        <v>1525776</v>
      </c>
      <c r="E25" s="940">
        <v>1525409</v>
      </c>
      <c r="F25" s="941" t="s">
        <v>1949</v>
      </c>
      <c r="G25" s="941" t="s">
        <v>2542</v>
      </c>
      <c r="H25" s="941" t="s">
        <v>2543</v>
      </c>
      <c r="I25" s="942" t="s">
        <v>2702</v>
      </c>
      <c r="J25" s="943" t="s">
        <v>2545</v>
      </c>
      <c r="K25" s="982" t="s">
        <v>811</v>
      </c>
      <c r="L25" s="993" t="s">
        <v>2793</v>
      </c>
      <c r="M25" s="993" t="s">
        <v>2794</v>
      </c>
      <c r="N25" s="946">
        <v>45772</v>
      </c>
      <c r="O25" s="947">
        <v>45792</v>
      </c>
      <c r="P25" s="948">
        <f t="shared" si="3"/>
        <v>20</v>
      </c>
      <c r="Q25" s="949">
        <f t="shared" ca="1" si="4"/>
        <v>395</v>
      </c>
      <c r="R25" s="947">
        <v>45786</v>
      </c>
      <c r="S25" s="951">
        <f>R25-N25</f>
        <v>14</v>
      </c>
      <c r="T25" s="952" t="str">
        <f>IF(F25="JK",IF(S25&lt;=45,"Belum Terlambat (JK)","Terlambat &gt; 45HK(JK)"),IF(F25="PK",IF(S25&lt;=35,"Belum Terlambat (PK)","Terlambat&gt;35(PK)")))</f>
        <v>Belum Terlambat (JK)</v>
      </c>
      <c r="U25" s="953">
        <f ca="1">IF(I25="JK",60-Q25,45-Q25)</f>
        <v>-350</v>
      </c>
      <c r="V25" s="954">
        <v>45782</v>
      </c>
      <c r="W25" s="954">
        <v>45784</v>
      </c>
      <c r="X25" s="955">
        <f ca="1">IF(V25="",0,TODAY()-V25)</f>
        <v>385</v>
      </c>
      <c r="Y25" s="956">
        <f>W25-V25</f>
        <v>2</v>
      </c>
      <c r="Z25" s="1015"/>
      <c r="AA25" s="1027" t="s">
        <v>2795</v>
      </c>
      <c r="AB25" s="1016" t="s">
        <v>2706</v>
      </c>
      <c r="AC25" s="959" t="str">
        <f>IF(AD25&lt;60,"Paket Tepat Waktu/kurang dari 60HK","Tidak Tepat Waktu")</f>
        <v>Paket Tepat Waktu/kurang dari 60HK</v>
      </c>
      <c r="AD25" s="977">
        <f t="shared" ref="AD25" si="5">S25</f>
        <v>14</v>
      </c>
      <c r="AE25" s="960">
        <f>IF(F25="JK",60-AD25,45-AD25)</f>
        <v>46</v>
      </c>
      <c r="AF25" s="961" t="s">
        <v>2529</v>
      </c>
      <c r="AG25" s="962" t="s">
        <v>2796</v>
      </c>
      <c r="AH25" s="962" t="s">
        <v>2797</v>
      </c>
      <c r="AI25" s="687" t="s">
        <v>2798</v>
      </c>
      <c r="AJ25" s="976" t="s">
        <v>2799</v>
      </c>
      <c r="AK25" s="976" t="s">
        <v>2800</v>
      </c>
      <c r="AL25" s="976" t="s">
        <v>2801</v>
      </c>
      <c r="AM25" s="986">
        <v>1509135</v>
      </c>
      <c r="AN25" s="966" t="s">
        <v>2802</v>
      </c>
      <c r="AO25" s="967">
        <f>AM25/E25*100</f>
        <v>98.933138587749241</v>
      </c>
      <c r="AP25" s="973" t="s">
        <v>2734</v>
      </c>
      <c r="AQ25" s="969" t="str">
        <f>IF(OR(AF25="Kontrak",AF25="BAHP",AF25="SPPBJ"),"SUDAH",IF(J25="03 Sudah Usul SIPBJ (Dok. dlm Reviu)","BELUM TAYANG",IF(AF25="PROSES","PROSES")))</f>
        <v>SUDAH</v>
      </c>
      <c r="AR25" s="974" t="s">
        <v>2558</v>
      </c>
      <c r="AS25" s="1026" t="s">
        <v>2803</v>
      </c>
    </row>
    <row r="26" spans="1:45" s="17" customFormat="1" ht="45.75">
      <c r="A26" s="937" t="s">
        <v>2804</v>
      </c>
      <c r="B26" s="938" t="s">
        <v>2805</v>
      </c>
      <c r="C26" s="939" t="s">
        <v>2541</v>
      </c>
      <c r="D26" s="940">
        <v>1907016</v>
      </c>
      <c r="E26" s="940">
        <v>1715212</v>
      </c>
      <c r="F26" s="941" t="s">
        <v>1949</v>
      </c>
      <c r="G26" s="941" t="s">
        <v>2542</v>
      </c>
      <c r="H26" s="941" t="s">
        <v>2578</v>
      </c>
      <c r="I26" s="942" t="s">
        <v>2806</v>
      </c>
      <c r="J26" s="943" t="s">
        <v>2545</v>
      </c>
      <c r="K26" s="982" t="s">
        <v>2807</v>
      </c>
      <c r="L26" s="993" t="s">
        <v>2603</v>
      </c>
      <c r="M26" s="993" t="s">
        <v>2808</v>
      </c>
      <c r="N26" s="946">
        <v>45776</v>
      </c>
      <c r="O26" s="947">
        <v>45827</v>
      </c>
      <c r="P26" s="948">
        <f>O26-N26</f>
        <v>51</v>
      </c>
      <c r="Q26" s="949">
        <f ca="1">IF(N26="",0,TODAY()-N26)</f>
        <v>391</v>
      </c>
      <c r="R26" s="947">
        <v>45832</v>
      </c>
      <c r="S26" s="951">
        <f>R26-N26</f>
        <v>56</v>
      </c>
      <c r="T26" s="952" t="str">
        <f>IF(F26="JK",IF(S26&lt;=45,"Belum Terlambat (JK)","Terlambat &gt; 45HK(JK)"),IF(F26="PK",IF(S26&lt;=35,"Belum Terlambat (PK)","Terlambat&gt;35(PK)")))</f>
        <v>Terlambat &gt; 45HK(JK)</v>
      </c>
      <c r="U26" s="953">
        <f ca="1">IF(I26="JK",60-Q26,45-Q26)</f>
        <v>-346</v>
      </c>
      <c r="V26" s="947">
        <v>45826</v>
      </c>
      <c r="W26" s="947">
        <v>45832</v>
      </c>
      <c r="X26" s="955">
        <f ca="1">IF(V26="",0,TODAY()-V26)</f>
        <v>341</v>
      </c>
      <c r="Y26" s="956">
        <f>W26-V26</f>
        <v>6</v>
      </c>
      <c r="Z26" s="956"/>
      <c r="AA26" s="1028" t="s">
        <v>2549</v>
      </c>
      <c r="AB26" s="1010" t="s">
        <v>2809</v>
      </c>
      <c r="AC26" s="959" t="str">
        <f>IF(AD26&lt;60,"Paket Tepat Waktu/kurang dari 60HK","Tidak Tepat Waktu")</f>
        <v>Paket Tepat Waktu/kurang dari 60HK</v>
      </c>
      <c r="AD26" s="977">
        <f>S26-1-2-2-4</f>
        <v>47</v>
      </c>
      <c r="AE26" s="960">
        <f>IF(F26="JK",60-AD26,45-AD26)</f>
        <v>13</v>
      </c>
      <c r="AF26" s="961" t="s">
        <v>2529</v>
      </c>
      <c r="AG26" s="962" t="s">
        <v>2810</v>
      </c>
      <c r="AH26" s="962" t="s">
        <v>2811</v>
      </c>
      <c r="AI26" s="349" t="s">
        <v>2812</v>
      </c>
      <c r="AJ26" s="985" t="s">
        <v>2813</v>
      </c>
      <c r="AK26" s="1029" t="s">
        <v>2814</v>
      </c>
      <c r="AL26" s="985" t="s">
        <v>2815</v>
      </c>
      <c r="AM26" s="986">
        <v>1419801</v>
      </c>
      <c r="AN26" s="966" t="s">
        <v>2816</v>
      </c>
      <c r="AO26" s="967">
        <f>AM26/E26*100</f>
        <v>82.776997828839811</v>
      </c>
      <c r="AP26" s="973" t="s">
        <v>2734</v>
      </c>
      <c r="AQ26" s="969" t="str">
        <f>IF(OR(AF26="Kontrak",AF26="BAHP",AF26="SPPBJ"),"SUDAH",IF(J26="03 Sudah Usul SIPBJ (Dok. dlm Reviu)","BELUM TAYANG",IF(AF26="PROSES","PROSES")))</f>
        <v>SUDAH</v>
      </c>
      <c r="AR26" s="974" t="s">
        <v>2575</v>
      </c>
    </row>
    <row r="27" spans="1:45" s="1023" customFormat="1" ht="61.5">
      <c r="A27" s="937" t="s">
        <v>2817</v>
      </c>
      <c r="B27" s="1030" t="s">
        <v>2818</v>
      </c>
      <c r="C27" s="1031" t="s">
        <v>2561</v>
      </c>
      <c r="D27" s="1032">
        <v>1900000</v>
      </c>
      <c r="E27" s="1032">
        <v>1891025</v>
      </c>
      <c r="F27" s="999" t="s">
        <v>1949</v>
      </c>
      <c r="G27" s="999" t="s">
        <v>2542</v>
      </c>
      <c r="H27" s="999" t="s">
        <v>2578</v>
      </c>
      <c r="I27" s="1000" t="s">
        <v>2819</v>
      </c>
      <c r="J27" s="1033" t="s">
        <v>2545</v>
      </c>
      <c r="K27" s="1034" t="s">
        <v>2820</v>
      </c>
      <c r="L27" s="1001" t="s">
        <v>2821</v>
      </c>
      <c r="M27" s="1001" t="s">
        <v>2822</v>
      </c>
      <c r="N27" s="1002">
        <v>45779</v>
      </c>
      <c r="O27" s="1003">
        <v>45824</v>
      </c>
      <c r="P27" s="1004">
        <f>O27-N27</f>
        <v>45</v>
      </c>
      <c r="Q27" s="1005">
        <f ca="1">IF(N27="",0,TODAY()-N27)</f>
        <v>388</v>
      </c>
      <c r="R27" s="1003">
        <v>45838</v>
      </c>
      <c r="S27" s="1035">
        <f>R27-N27</f>
        <v>59</v>
      </c>
      <c r="T27" s="952" t="str">
        <f>IF(F27="JK",IF(S27&lt;=45,"Belum Terlambat (JK)","Terlambat &gt; 45HK(JK)"),IF(F27="PK",IF(S27&lt;=35,"Belum Terlambat (PK)","Terlambat&gt;35(PK)")))</f>
        <v>Terlambat &gt; 45HK(JK)</v>
      </c>
      <c r="U27" s="1036">
        <f ca="1">IF(I27="JK",60-Q27,45-Q27)</f>
        <v>-343</v>
      </c>
      <c r="V27" s="1003">
        <v>45827</v>
      </c>
      <c r="W27" s="1003">
        <v>45838</v>
      </c>
      <c r="X27" s="1037">
        <f ca="1">IF(V27="",0,TODAY()-V27)</f>
        <v>340</v>
      </c>
      <c r="Y27" s="1015">
        <f>W27-V27</f>
        <v>11</v>
      </c>
      <c r="Z27" s="1015"/>
      <c r="AA27" s="1009" t="s">
        <v>2823</v>
      </c>
      <c r="AB27" s="972" t="s">
        <v>2824</v>
      </c>
      <c r="AC27" s="1038" t="str">
        <f>IF(AD27&lt;60,"Paket Tepat Waktu/kurang dari 60HK","Tidak Tepat Waktu")</f>
        <v>Paket Tepat Waktu/kurang dari 60HK</v>
      </c>
      <c r="AD27" s="1039">
        <f>S27-2-2-2-1</f>
        <v>52</v>
      </c>
      <c r="AE27" s="960">
        <f>IF(F27="JK",60-AD27,45-AD27)</f>
        <v>8</v>
      </c>
      <c r="AF27" s="961" t="s">
        <v>2529</v>
      </c>
      <c r="AG27" s="962" t="s">
        <v>2825</v>
      </c>
      <c r="AH27" s="962"/>
      <c r="AI27" s="1040" t="s">
        <v>2826</v>
      </c>
      <c r="AJ27" s="976" t="s">
        <v>2827</v>
      </c>
      <c r="AK27" s="1011" t="s">
        <v>2828</v>
      </c>
      <c r="AL27" s="985" t="s">
        <v>2829</v>
      </c>
      <c r="AM27" s="1041">
        <v>1455580.4069999999</v>
      </c>
      <c r="AN27" s="966" t="s">
        <v>2573</v>
      </c>
      <c r="AO27" s="967">
        <f>AM27/E27*100</f>
        <v>76.973091683081918</v>
      </c>
      <c r="AP27" s="973" t="s">
        <v>2734</v>
      </c>
      <c r="AQ27" s="969" t="str">
        <f>IF(OR(AF27="Kontrak",AF27="BAHP",AF27="SPPBJ"),"SUDAH",IF(J27="03 Sudah Usul SIPBJ (Dok. dlm Reviu)","BELUM TAYANG",IF(AF27="PROSES","PROSES")))</f>
        <v>SUDAH</v>
      </c>
      <c r="AR27" s="974" t="s">
        <v>2575</v>
      </c>
      <c r="AS27" s="1042" t="s">
        <v>2830</v>
      </c>
    </row>
    <row r="28" spans="1:45" s="17" customFormat="1" ht="61.5">
      <c r="A28" s="937" t="s">
        <v>2831</v>
      </c>
      <c r="B28" s="938" t="s">
        <v>2832</v>
      </c>
      <c r="C28" s="942" t="s">
        <v>2541</v>
      </c>
      <c r="D28" s="940">
        <v>3527222</v>
      </c>
      <c r="E28" s="940">
        <v>3527222</v>
      </c>
      <c r="F28" s="941" t="s">
        <v>1949</v>
      </c>
      <c r="G28" s="941" t="s">
        <v>2542</v>
      </c>
      <c r="H28" s="941" t="s">
        <v>2578</v>
      </c>
      <c r="I28" s="942" t="s">
        <v>2621</v>
      </c>
      <c r="J28" s="943" t="s">
        <v>2545</v>
      </c>
      <c r="K28" s="982" t="s">
        <v>2246</v>
      </c>
      <c r="L28" s="983" t="s">
        <v>2833</v>
      </c>
      <c r="M28" s="983" t="s">
        <v>2834</v>
      </c>
      <c r="N28" s="947">
        <v>45783</v>
      </c>
      <c r="O28" s="947">
        <v>45840</v>
      </c>
      <c r="P28" s="955">
        <f>O28-N28</f>
        <v>57</v>
      </c>
      <c r="Q28" s="949">
        <f ca="1">IF(N28="",0,TODAY()-N28)</f>
        <v>384</v>
      </c>
      <c r="R28" s="947">
        <v>45840</v>
      </c>
      <c r="S28" s="951">
        <f>R28-N28</f>
        <v>57</v>
      </c>
      <c r="T28" s="1043" t="str">
        <f>IF(F28="JK",IF(S28&lt;=45,"Belum Terlambat (JK)","Terlambat &gt; 45HK(JK)"),IF(F28="PK",IF(S28&lt;=35,"Belum Terlambat (PK)","Terlambat&gt;35(PK)")))</f>
        <v>Terlambat &gt; 45HK(JK)</v>
      </c>
      <c r="U28" s="953">
        <f ca="1">IF(I28="JK",60-Q28,45-Q28)</f>
        <v>-339</v>
      </c>
      <c r="V28" s="947">
        <v>45832</v>
      </c>
      <c r="W28" s="947">
        <v>45840</v>
      </c>
      <c r="X28" s="955">
        <f ca="1">IF(V28="",0,TODAY()-V28)</f>
        <v>335</v>
      </c>
      <c r="Y28" s="956">
        <f>W28-V28</f>
        <v>8</v>
      </c>
      <c r="Z28" s="956"/>
      <c r="AA28" s="981" t="s">
        <v>2835</v>
      </c>
      <c r="AB28" s="1044" t="s">
        <v>2824</v>
      </c>
      <c r="AC28" s="1045" t="str">
        <f>IF(AD28&lt;60,"Paket Tepat Waktu/kurang dari 60HK","Tidak Tepat Waktu")</f>
        <v>Paket Tepat Waktu/kurang dari 60HK</v>
      </c>
      <c r="AD28" s="977">
        <f>S28-2-2-2-1</f>
        <v>50</v>
      </c>
      <c r="AE28" s="1046">
        <f>IF(F28="JK",60-AD28,45-AD28)</f>
        <v>10</v>
      </c>
      <c r="AF28" s="961" t="s">
        <v>2529</v>
      </c>
      <c r="AG28" s="1047" t="s">
        <v>2836</v>
      </c>
      <c r="AH28" s="1047"/>
      <c r="AI28" s="1048" t="s">
        <v>2837</v>
      </c>
      <c r="AJ28" s="1049" t="s">
        <v>2838</v>
      </c>
      <c r="AK28" s="351" t="s">
        <v>2839</v>
      </c>
      <c r="AL28" s="1050" t="s">
        <v>2840</v>
      </c>
      <c r="AM28" s="1051">
        <v>2843075.9114999999</v>
      </c>
      <c r="AN28" s="1052" t="s">
        <v>2557</v>
      </c>
      <c r="AO28" s="967">
        <f>AM28/E28*100</f>
        <v>80.603826793436866</v>
      </c>
      <c r="AP28" s="980"/>
      <c r="AQ28" s="969" t="str">
        <f>IF(OR(AF28="Kontrak",AF28="BAHP",AF28="SPPBJ"),"SUDAH",IF(J28="03 Sudah Usul SIPBJ (Dok. dlm Reviu)","BELUM TAYANG",IF(AF28="PROSES","PROSES")))</f>
        <v>SUDAH</v>
      </c>
      <c r="AR28" s="974" t="s">
        <v>2575</v>
      </c>
    </row>
    <row r="29" spans="1:45" s="17" customFormat="1" ht="45.75">
      <c r="A29" s="937" t="s">
        <v>2841</v>
      </c>
      <c r="B29" s="1053" t="s">
        <v>2842</v>
      </c>
      <c r="C29" s="1024" t="s">
        <v>2633</v>
      </c>
      <c r="D29" s="940">
        <v>1000000</v>
      </c>
      <c r="E29" s="940">
        <v>1000000</v>
      </c>
      <c r="F29" s="941" t="s">
        <v>1949</v>
      </c>
      <c r="G29" s="941" t="s">
        <v>2542</v>
      </c>
      <c r="H29" s="999" t="s">
        <v>2578</v>
      </c>
      <c r="I29" s="1054" t="s">
        <v>2843</v>
      </c>
      <c r="J29" s="943" t="s">
        <v>2545</v>
      </c>
      <c r="K29" s="982" t="s">
        <v>15</v>
      </c>
      <c r="L29" s="983" t="s">
        <v>2614</v>
      </c>
      <c r="M29" s="983" t="s">
        <v>2844</v>
      </c>
      <c r="N29" s="947">
        <v>45860</v>
      </c>
      <c r="O29" s="947">
        <v>45904</v>
      </c>
      <c r="P29" s="955">
        <f>O29-N29</f>
        <v>44</v>
      </c>
      <c r="Q29" s="949">
        <f ca="1">IF(N29="",0,TODAY()-N29)</f>
        <v>307</v>
      </c>
      <c r="R29" s="947">
        <v>45904</v>
      </c>
      <c r="S29" s="1055">
        <f>R29-N29</f>
        <v>44</v>
      </c>
      <c r="T29" s="1043" t="str">
        <f>IF(F29="JK",IF(S29&lt;=45,"Belum Terlambat (JK)","Terlambat &gt; 45HK(JK)"),IF(F29="PK",IF(S29&lt;=35,"Belum Terlambat (PK)","Terlambat&gt;35(PK)")))</f>
        <v>Belum Terlambat (JK)</v>
      </c>
      <c r="U29" s="953">
        <f ca="1">IF(I29="JK",60-Q29,45-Q29)</f>
        <v>-262</v>
      </c>
      <c r="V29" s="1056">
        <v>45898</v>
      </c>
      <c r="W29" s="1056">
        <v>45904</v>
      </c>
      <c r="X29" s="955">
        <f ca="1">IF(V29="",0,TODAY()-V29)</f>
        <v>269</v>
      </c>
      <c r="Y29" s="1057">
        <f>W29-V29</f>
        <v>6</v>
      </c>
      <c r="Z29" s="1057"/>
      <c r="AA29" s="1058" t="s">
        <v>2845</v>
      </c>
      <c r="AB29" s="1059" t="s">
        <v>2846</v>
      </c>
      <c r="AC29" s="1045" t="str">
        <f>IF(AD29&lt;60,"Paket Tepat Waktu/kurang dari 60HK","Tidak Tepat Waktu")</f>
        <v>Paket Tepat Waktu/kurang dari 60HK</v>
      </c>
      <c r="AD29" s="165">
        <f>S29</f>
        <v>44</v>
      </c>
      <c r="AE29" s="1060">
        <f>IF(F29="JK",60-AD29,45-AD29)</f>
        <v>16</v>
      </c>
      <c r="AF29" s="961" t="s">
        <v>2529</v>
      </c>
      <c r="AG29" s="1047" t="s">
        <v>2847</v>
      </c>
      <c r="AH29" s="1047"/>
      <c r="AI29" s="750" t="s">
        <v>2848</v>
      </c>
      <c r="AJ29" s="1049" t="s">
        <v>2849</v>
      </c>
      <c r="AK29" s="351" t="s">
        <v>2850</v>
      </c>
      <c r="AL29" s="1049" t="s">
        <v>2851</v>
      </c>
      <c r="AM29" s="1061">
        <v>840836.41079999995</v>
      </c>
      <c r="AN29" s="1062" t="s">
        <v>2557</v>
      </c>
      <c r="AO29" s="967">
        <f>AM29/E29*100</f>
        <v>84.083641079999992</v>
      </c>
      <c r="AP29" s="980"/>
      <c r="AQ29" s="969" t="str">
        <f>IF(OR(AF29="Sudah Penetapan",AF29="Kontrak",AF29="BAHP",AF29="SPPBJ"),"SUDAH",IF(J29="03 Sudah Usul SIPBJ (Dok. dlm Reviu)","BELUM TAYANG",IF(AF29="PROSES","PROSES")))</f>
        <v>SUDAH</v>
      </c>
      <c r="AR29" s="974" t="s">
        <v>2575</v>
      </c>
    </row>
    <row r="30" spans="1:45" s="17" customFormat="1" ht="30.75">
      <c r="A30" s="937" t="s">
        <v>2852</v>
      </c>
      <c r="B30" s="1063" t="s">
        <v>2853</v>
      </c>
      <c r="C30" s="1064" t="s">
        <v>2541</v>
      </c>
      <c r="D30" s="1065">
        <v>4372581</v>
      </c>
      <c r="E30" s="1066">
        <v>4372566</v>
      </c>
      <c r="F30" s="1067" t="s">
        <v>1949</v>
      </c>
      <c r="G30" s="1068" t="s">
        <v>2542</v>
      </c>
      <c r="H30" s="941" t="s">
        <v>2543</v>
      </c>
      <c r="I30" s="1069" t="s">
        <v>2854</v>
      </c>
      <c r="J30" s="1070" t="s">
        <v>2545</v>
      </c>
      <c r="K30" s="1071" t="s">
        <v>2855</v>
      </c>
      <c r="L30" s="1072" t="s">
        <v>2856</v>
      </c>
      <c r="M30" s="1072" t="s">
        <v>2857</v>
      </c>
      <c r="N30" s="1073">
        <v>45800</v>
      </c>
      <c r="O30" s="1074">
        <v>45819</v>
      </c>
      <c r="P30" s="1075">
        <f>O30-N30</f>
        <v>19</v>
      </c>
      <c r="Q30" s="1076">
        <f ca="1">IF(N30="",0,TODAY()-N30)</f>
        <v>367</v>
      </c>
      <c r="R30" s="1074">
        <v>45819</v>
      </c>
      <c r="S30" s="1077">
        <f>R30-N30</f>
        <v>19</v>
      </c>
      <c r="T30" s="1078" t="str">
        <f>IF(F30="JK",IF(S30&lt;=45,"Belum Terlambat (JK)","Terlambat &gt; 45HK(JK)"),IF(F30="PK",IF(S30&lt;=35,"Belum Terlambat (PK)","Terlambat&gt;35(PK)")))</f>
        <v>Belum Terlambat (JK)</v>
      </c>
      <c r="U30" s="1079">
        <f ca="1">IF(I30="JK",60-Q30,45-Q30)</f>
        <v>-322</v>
      </c>
      <c r="V30" s="1073">
        <v>45810</v>
      </c>
      <c r="W30" s="1074">
        <v>45819</v>
      </c>
      <c r="X30" s="1080"/>
      <c r="Y30" s="1081">
        <f>W30-V30</f>
        <v>9</v>
      </c>
      <c r="Z30" s="1082"/>
      <c r="AA30" s="1083" t="s">
        <v>2858</v>
      </c>
      <c r="AB30" s="1084" t="s">
        <v>2859</v>
      </c>
      <c r="AC30" s="1085" t="str">
        <f>IF(AD30&lt;60,"Paket Tepat Waktu/kurang dari 60HK","Tidak Tepat Waktu")</f>
        <v>Paket Tepat Waktu/kurang dari 60HK</v>
      </c>
      <c r="AD30" s="1086">
        <f>S30</f>
        <v>19</v>
      </c>
      <c r="AE30" s="1087">
        <f>IF(F30="JK",60-AD30,45-AD30)</f>
        <v>41</v>
      </c>
      <c r="AF30" s="961" t="s">
        <v>2529</v>
      </c>
      <c r="AG30" s="1088" t="s">
        <v>2860</v>
      </c>
      <c r="AH30" s="1088" t="s">
        <v>2861</v>
      </c>
      <c r="AI30" s="1089" t="s">
        <v>2862</v>
      </c>
      <c r="AJ30" s="1090" t="s">
        <v>2863</v>
      </c>
      <c r="AK30" s="1090" t="s">
        <v>2864</v>
      </c>
      <c r="AL30" s="1090">
        <v>411830897</v>
      </c>
      <c r="AM30" s="1091">
        <v>4223676.2070000004</v>
      </c>
      <c r="AN30" s="1092" t="s">
        <v>2557</v>
      </c>
      <c r="AO30" s="967">
        <f>AM30/E30*100</f>
        <v>96.594910334115042</v>
      </c>
      <c r="AP30" s="973"/>
      <c r="AQ30" s="969" t="str">
        <f>IF(OR(AF30="Sudah Penetapan",AF30="Kontrak",AF30="BAHP",AF30="SPPBJ"),"SUDAH",IF(J30="03 Sudah Usul SIPBJ (Dok. dlm Reviu)","BELUM TAYANG",IF(AF30="PROSES","PROSES")))</f>
        <v>SUDAH</v>
      </c>
      <c r="AR30" s="974" t="s">
        <v>2558</v>
      </c>
    </row>
    <row r="31" spans="1:45" s="17" customFormat="1" ht="61.5">
      <c r="A31" s="937" t="s">
        <v>2865</v>
      </c>
      <c r="B31" s="938" t="s">
        <v>2866</v>
      </c>
      <c r="C31" s="939" t="s">
        <v>2541</v>
      </c>
      <c r="D31" s="940">
        <v>3666647</v>
      </c>
      <c r="E31" s="940">
        <v>3666647</v>
      </c>
      <c r="F31" s="941" t="s">
        <v>1949</v>
      </c>
      <c r="G31" s="941" t="s">
        <v>2542</v>
      </c>
      <c r="H31" s="1067" t="s">
        <v>2543</v>
      </c>
      <c r="I31" s="942" t="s">
        <v>2621</v>
      </c>
      <c r="J31" s="1070" t="s">
        <v>2545</v>
      </c>
      <c r="K31" s="982" t="s">
        <v>2579</v>
      </c>
      <c r="L31" s="983" t="s">
        <v>2867</v>
      </c>
      <c r="M31" s="983" t="s">
        <v>2868</v>
      </c>
      <c r="N31" s="1093">
        <v>45811</v>
      </c>
      <c r="O31" s="1093">
        <v>45831</v>
      </c>
      <c r="P31" s="1094">
        <v>20</v>
      </c>
      <c r="Q31" s="949">
        <f t="shared" ref="Q31:Q35" ca="1" si="6">IF(N31="",0,TODAY()-N31)</f>
        <v>356</v>
      </c>
      <c r="R31" s="1093">
        <v>45831</v>
      </c>
      <c r="S31" s="1095">
        <f>R31-N31</f>
        <v>20</v>
      </c>
      <c r="T31" s="952" t="str">
        <f>IF(F31="JK",IF(S31&lt;=45,"Belum Terlambat (JK)","Terlambat &gt; 45HK(JK)"),IF(F31="PK",IF(S31&lt;=35,"Belum Terlambat (PK)","Terlambat&gt;35(PK)")))</f>
        <v>Belum Terlambat (JK)</v>
      </c>
      <c r="U31" s="953">
        <f ca="1">IF(I31="JK",60-Q31,45-Q31)</f>
        <v>-311</v>
      </c>
      <c r="V31" s="1093">
        <v>45818</v>
      </c>
      <c r="W31" s="1093">
        <v>45828</v>
      </c>
      <c r="X31" s="1096"/>
      <c r="Y31" s="1097">
        <f>W31-V31</f>
        <v>10</v>
      </c>
      <c r="Z31" s="1098"/>
      <c r="AA31" s="1028" t="s">
        <v>2869</v>
      </c>
      <c r="AB31" s="1016" t="s">
        <v>2706</v>
      </c>
      <c r="AC31" s="1038" t="str">
        <f>IF(AD31&lt;60,"Paket Tepat Waktu/kurang dari 60HK","Tidak Tepat Waktu")</f>
        <v>Paket Tepat Waktu/kurang dari 60HK</v>
      </c>
      <c r="AD31" s="217">
        <f>S31</f>
        <v>20</v>
      </c>
      <c r="AE31" s="960">
        <f>IF(F31="JK",60-AD31,45-AD31)</f>
        <v>40</v>
      </c>
      <c r="AF31" s="961" t="s">
        <v>2529</v>
      </c>
      <c r="AG31" s="962" t="s">
        <v>2870</v>
      </c>
      <c r="AH31" s="962"/>
      <c r="AI31" s="23" t="s">
        <v>2871</v>
      </c>
      <c r="AJ31" s="976" t="s">
        <v>2872</v>
      </c>
      <c r="AK31" s="976" t="s">
        <v>2873</v>
      </c>
      <c r="AL31" s="976" t="s">
        <v>2874</v>
      </c>
      <c r="AM31" s="965">
        <v>3623794.8</v>
      </c>
      <c r="AN31" s="966" t="s">
        <v>2557</v>
      </c>
      <c r="AO31" s="967">
        <f>AM31/E31*100</f>
        <v>98.831297367867705</v>
      </c>
      <c r="AP31" s="973"/>
      <c r="AQ31" s="969" t="str">
        <f>IF(OR(AF31="Sudah Penetapan",AF31="Kontrak",AF31="BAHP",AF31="SPPBJ"),"SUDAH",IF(J31="03 Sudah Usul SIPBJ (Dok. dlm Reviu)","BELUM TAYANG",IF(AF31="PROSES","PROSES")))</f>
        <v>SUDAH</v>
      </c>
      <c r="AR31" s="974" t="s">
        <v>2558</v>
      </c>
    </row>
    <row r="32" spans="1:45" s="17" customFormat="1" ht="61.5">
      <c r="A32" s="937" t="s">
        <v>2875</v>
      </c>
      <c r="B32" s="938" t="s">
        <v>2876</v>
      </c>
      <c r="C32" s="939" t="s">
        <v>2541</v>
      </c>
      <c r="D32" s="940">
        <v>3706227</v>
      </c>
      <c r="E32" s="940">
        <v>3706227</v>
      </c>
      <c r="F32" s="941" t="s">
        <v>1949</v>
      </c>
      <c r="G32" s="941" t="s">
        <v>2542</v>
      </c>
      <c r="H32" s="941" t="s">
        <v>2543</v>
      </c>
      <c r="I32" s="942" t="s">
        <v>2621</v>
      </c>
      <c r="J32" s="943" t="s">
        <v>2545</v>
      </c>
      <c r="K32" s="982" t="s">
        <v>10</v>
      </c>
      <c r="L32" s="983" t="s">
        <v>2877</v>
      </c>
      <c r="M32" s="983" t="s">
        <v>2878</v>
      </c>
      <c r="N32" s="1093">
        <v>45813</v>
      </c>
      <c r="O32" s="1093">
        <v>45831</v>
      </c>
      <c r="P32" s="1094">
        <v>18</v>
      </c>
      <c r="Q32" s="949">
        <f t="shared" ca="1" si="6"/>
        <v>354</v>
      </c>
      <c r="R32" s="1093">
        <v>45831</v>
      </c>
      <c r="S32" s="1095">
        <f>R32-N32</f>
        <v>18</v>
      </c>
      <c r="T32" s="952" t="str">
        <f>IF(F32="JK",IF(S32&lt;=45,"Belum Terlambat (JK)","Terlambat &gt; 45HK(JK)"),IF(F32="PK",IF(S32&lt;=35,"Belum Terlambat (PK)","Terlambat&gt;35(PK)")))</f>
        <v>Belum Terlambat (JK)</v>
      </c>
      <c r="U32" s="953">
        <f ca="1">IF(I32="JK",60-Q32,45-Q32)</f>
        <v>-309</v>
      </c>
      <c r="V32" s="1093">
        <v>45824</v>
      </c>
      <c r="W32" s="1093">
        <v>45832</v>
      </c>
      <c r="X32" s="1096"/>
      <c r="Y32" s="1097">
        <f>W32-V32</f>
        <v>8</v>
      </c>
      <c r="Z32" s="1098"/>
      <c r="AA32" s="1028" t="s">
        <v>2869</v>
      </c>
      <c r="AB32" s="1016" t="s">
        <v>2706</v>
      </c>
      <c r="AC32" s="1038" t="str">
        <f>IF(AD32&lt;60,"Paket Tepat Waktu/kurang dari 60HK","Tidak Tepat Waktu")</f>
        <v>Paket Tepat Waktu/kurang dari 60HK</v>
      </c>
      <c r="AD32" s="217">
        <f>S32</f>
        <v>18</v>
      </c>
      <c r="AE32" s="960">
        <f>IF(F32="JK",60-AD32,45-AD32)</f>
        <v>42</v>
      </c>
      <c r="AF32" s="961" t="s">
        <v>2529</v>
      </c>
      <c r="AG32" s="962" t="s">
        <v>2879</v>
      </c>
      <c r="AH32" s="962"/>
      <c r="AI32" s="23" t="s">
        <v>2880</v>
      </c>
      <c r="AJ32" s="976" t="s">
        <v>2881</v>
      </c>
      <c r="AK32" s="976" t="s">
        <v>2882</v>
      </c>
      <c r="AL32" s="976" t="s">
        <v>2883</v>
      </c>
      <c r="AM32" s="965">
        <v>3636451.9079999998</v>
      </c>
      <c r="AN32" s="1052" t="s">
        <v>2557</v>
      </c>
      <c r="AO32" s="967">
        <f>AM32/E32*100</f>
        <v>98.117355143114537</v>
      </c>
      <c r="AP32" s="980"/>
      <c r="AQ32" s="969" t="str">
        <f>IF(OR(AF32="Sudah Penetapan",AF32="Kontrak",AF32="BAHP",AF32="SPPBJ"),"SUDAH",IF(J32="03 Sudah Usul SIPBJ (Dok. dlm Reviu)","BELUM TAYANG",IF(AF32="PROSES","PROSES")))</f>
        <v>SUDAH</v>
      </c>
      <c r="AR32" s="974" t="s">
        <v>2558</v>
      </c>
    </row>
    <row r="33" spans="1:44" s="17" customFormat="1" ht="61.5">
      <c r="A33" s="937" t="s">
        <v>2884</v>
      </c>
      <c r="B33" s="938" t="s">
        <v>2885</v>
      </c>
      <c r="C33" s="1024" t="s">
        <v>2561</v>
      </c>
      <c r="D33" s="940">
        <v>1400000</v>
      </c>
      <c r="E33" s="940">
        <v>1400000</v>
      </c>
      <c r="F33" s="1099" t="s">
        <v>1949</v>
      </c>
      <c r="G33" s="941" t="s">
        <v>2542</v>
      </c>
      <c r="H33" s="941" t="s">
        <v>2543</v>
      </c>
      <c r="I33" s="942" t="s">
        <v>2886</v>
      </c>
      <c r="J33" s="943" t="s">
        <v>2545</v>
      </c>
      <c r="K33" s="982" t="s">
        <v>24</v>
      </c>
      <c r="L33" s="993" t="s">
        <v>2887</v>
      </c>
      <c r="M33" s="1100" t="s">
        <v>2888</v>
      </c>
      <c r="N33" s="1093">
        <v>45813</v>
      </c>
      <c r="O33" s="1093">
        <v>45828</v>
      </c>
      <c r="P33" s="948">
        <f>O33-N33</f>
        <v>15</v>
      </c>
      <c r="Q33" s="949">
        <f ca="1">IF(N33="",0,TODAY()-N33)</f>
        <v>354</v>
      </c>
      <c r="R33" s="1093">
        <v>45828</v>
      </c>
      <c r="S33" s="1095">
        <f>R33-N33</f>
        <v>15</v>
      </c>
      <c r="T33" s="952" t="str">
        <f>IF(F33="JK",IF(S33&lt;=45,"Belum Terlambat (JK)","Terlambat &gt; 45HK(JK)"),IF(F33="PK",IF(S33&lt;=35,"Belum Terlambat (PK)","Terlambat&gt;35(PK)")))</f>
        <v>Belum Terlambat (JK)</v>
      </c>
      <c r="U33" s="953"/>
      <c r="V33" s="1093">
        <v>45821</v>
      </c>
      <c r="W33" s="1093">
        <v>45828</v>
      </c>
      <c r="X33" s="1096"/>
      <c r="Y33" s="1097">
        <f>W33-V33</f>
        <v>7</v>
      </c>
      <c r="Z33" s="1101"/>
      <c r="AA33" s="1028" t="s">
        <v>2869</v>
      </c>
      <c r="AB33" s="1016" t="s">
        <v>2706</v>
      </c>
      <c r="AC33" s="1038" t="str">
        <f>IF(AD33&lt;60,"Paket Tepat Waktu/kurang dari 60HK","Tidak Tepat Waktu")</f>
        <v>Paket Tepat Waktu/kurang dari 60HK</v>
      </c>
      <c r="AD33" s="217">
        <f>S33</f>
        <v>15</v>
      </c>
      <c r="AE33" s="960">
        <f>IF(F33="JK",60-AD33,45-AD33)</f>
        <v>45</v>
      </c>
      <c r="AF33" s="961" t="s">
        <v>2529</v>
      </c>
      <c r="AG33" s="1102" t="s">
        <v>2889</v>
      </c>
      <c r="AH33" s="1102" t="s">
        <v>2890</v>
      </c>
      <c r="AI33" s="1103" t="s">
        <v>2891</v>
      </c>
      <c r="AJ33" s="1104" t="s">
        <v>2892</v>
      </c>
      <c r="AK33" s="1105" t="s">
        <v>2893</v>
      </c>
      <c r="AL33" s="1106" t="s">
        <v>2894</v>
      </c>
      <c r="AM33" s="1107">
        <v>1383193.8659999999</v>
      </c>
      <c r="AN33" s="1106" t="s">
        <v>2557</v>
      </c>
      <c r="AO33" s="967">
        <f>AM33/E33*100</f>
        <v>98.799561857142848</v>
      </c>
      <c r="AP33" s="1108"/>
      <c r="AQ33" s="969" t="str">
        <f>IF(OR(AF33="Sudah Penetapan",AF33="Kontrak",AF33="BAHP",AF33="SPPBJ"),"SUDAH",IF(J33="03 Sudah Usul SIPBJ (Dok. dlm Reviu)","BELUM TAYANG",IF(AF33="PROSES","PROSES")))</f>
        <v>SUDAH</v>
      </c>
      <c r="AR33" s="974" t="s">
        <v>2558</v>
      </c>
    </row>
    <row r="34" spans="1:44" s="17" customFormat="1" ht="30.75">
      <c r="A34" s="937" t="s">
        <v>2895</v>
      </c>
      <c r="B34" s="938" t="s">
        <v>2896</v>
      </c>
      <c r="C34" s="1031" t="s">
        <v>2561</v>
      </c>
      <c r="D34" s="940">
        <v>950000</v>
      </c>
      <c r="E34" s="940">
        <v>950000</v>
      </c>
      <c r="F34" s="1109" t="s">
        <v>1949</v>
      </c>
      <c r="G34" s="1109" t="s">
        <v>2542</v>
      </c>
      <c r="H34" s="1109" t="s">
        <v>2543</v>
      </c>
      <c r="I34" s="1000" t="s">
        <v>2897</v>
      </c>
      <c r="J34" s="1033" t="s">
        <v>2545</v>
      </c>
      <c r="K34" s="1034" t="s">
        <v>2546</v>
      </c>
      <c r="L34" s="1001" t="s">
        <v>2898</v>
      </c>
      <c r="M34" s="1100" t="s">
        <v>2899</v>
      </c>
      <c r="N34" s="1110">
        <v>45813</v>
      </c>
      <c r="O34" s="1110">
        <v>45827</v>
      </c>
      <c r="P34" s="1004">
        <f>O34-N34</f>
        <v>14</v>
      </c>
      <c r="Q34" s="1005">
        <f ca="1">IF(N34="",0,TODAY()-N34)</f>
        <v>354</v>
      </c>
      <c r="R34" s="1110">
        <v>45827</v>
      </c>
      <c r="S34" s="1111">
        <f>R34-N34</f>
        <v>14</v>
      </c>
      <c r="T34" s="952" t="str">
        <f>IF(F34="JK",IF(S34&lt;=45,"Belum Terlambat (JK)","Terlambat &gt; 45HK(JK)"),IF(F34="PK",IF(S34&lt;=35,"Belum Terlambat (PK)","Terlambat&gt;35(PK)")))</f>
        <v>Belum Terlambat (JK)</v>
      </c>
      <c r="U34" s="1036"/>
      <c r="V34" s="1110">
        <v>45824</v>
      </c>
      <c r="W34" s="1110">
        <v>45827</v>
      </c>
      <c r="X34" s="1112"/>
      <c r="Y34" s="1113">
        <f t="shared" ref="Y34:Y35" si="7">W34-V34</f>
        <v>3</v>
      </c>
      <c r="Z34" s="1114"/>
      <c r="AA34" s="1115" t="s">
        <v>2869</v>
      </c>
      <c r="AB34" s="1016" t="s">
        <v>2706</v>
      </c>
      <c r="AC34" s="1038" t="str">
        <f>IF(AD34&lt;60,"Paket Tepat Waktu/kurang dari 60HK","Tidak Tepat Waktu")</f>
        <v>Paket Tepat Waktu/kurang dari 60HK</v>
      </c>
      <c r="AD34" s="217">
        <f>S34</f>
        <v>14</v>
      </c>
      <c r="AE34" s="960">
        <f>IF(F34="JK",60-AD34,45-AD34)</f>
        <v>46</v>
      </c>
      <c r="AF34" s="961" t="s">
        <v>2529</v>
      </c>
      <c r="AG34" s="1102" t="s">
        <v>2900</v>
      </c>
      <c r="AH34" s="1102" t="s">
        <v>2901</v>
      </c>
      <c r="AI34" s="1103" t="s">
        <v>2902</v>
      </c>
      <c r="AJ34" s="1106" t="s">
        <v>2903</v>
      </c>
      <c r="AK34" s="1105" t="s">
        <v>2904</v>
      </c>
      <c r="AL34" s="1106" t="s">
        <v>2905</v>
      </c>
      <c r="AM34" s="1107">
        <v>935759.304</v>
      </c>
      <c r="AN34" s="1106" t="s">
        <v>2557</v>
      </c>
      <c r="AO34" s="967">
        <f>AM34/E34*100</f>
        <v>98.500979368421042</v>
      </c>
      <c r="AP34" s="1108"/>
      <c r="AQ34" s="969" t="str">
        <f>IF(OR(AF34="Sudah Penetapan",AF34="Kontrak",AF34="BAHP",AF34="SPPBJ"),"SUDAH",IF(J34="03 Sudah Usul SIPBJ (Dok. dlm Reviu)","BELUM TAYANG",IF(AF34="PROSES","PROSES")))</f>
        <v>SUDAH</v>
      </c>
      <c r="AR34" s="974" t="s">
        <v>2558</v>
      </c>
    </row>
    <row r="35" spans="1:44" s="17" customFormat="1" ht="45.75">
      <c r="A35" s="937" t="s">
        <v>2906</v>
      </c>
      <c r="B35" s="938" t="s">
        <v>2907</v>
      </c>
      <c r="C35" s="1116" t="s">
        <v>2561</v>
      </c>
      <c r="D35" s="1032">
        <v>3500000</v>
      </c>
      <c r="E35" s="1117">
        <v>3500000</v>
      </c>
      <c r="F35" s="941" t="s">
        <v>1949</v>
      </c>
      <c r="G35" s="941" t="s">
        <v>2542</v>
      </c>
      <c r="H35" s="941" t="s">
        <v>2543</v>
      </c>
      <c r="I35" s="942" t="s">
        <v>2646</v>
      </c>
      <c r="J35" s="943" t="s">
        <v>2545</v>
      </c>
      <c r="K35" s="982" t="s">
        <v>2602</v>
      </c>
      <c r="L35" s="983" t="s">
        <v>2908</v>
      </c>
      <c r="M35" s="983" t="s">
        <v>2909</v>
      </c>
      <c r="N35" s="1093">
        <v>45821</v>
      </c>
      <c r="O35" s="1093">
        <v>45833</v>
      </c>
      <c r="P35" s="1094">
        <v>12</v>
      </c>
      <c r="Q35" s="949">
        <f t="shared" ca="1" si="6"/>
        <v>346</v>
      </c>
      <c r="R35" s="1093">
        <v>45833</v>
      </c>
      <c r="S35" s="1095">
        <f>R35-N35</f>
        <v>12</v>
      </c>
      <c r="T35" s="1043" t="str">
        <f>IF(F35="JK",IF(S35&lt;=45,"Belum Terlambat (JK)","Terlambat &gt; 45HK(JK)"),IF(F35="PK",IF(S35&lt;=35,"Belum Terlambat (PK)","Terlambat&gt;35(PK)")))</f>
        <v>Belum Terlambat (JK)</v>
      </c>
      <c r="U35" s="953">
        <f ca="1">IF(I35="JK",60-Q35,45-Q35)</f>
        <v>-301</v>
      </c>
      <c r="V35" s="1093">
        <v>45825</v>
      </c>
      <c r="W35" s="1093">
        <v>45828</v>
      </c>
      <c r="X35" s="1096"/>
      <c r="Y35" s="1097">
        <f t="shared" si="7"/>
        <v>3</v>
      </c>
      <c r="Z35" s="1118"/>
      <c r="AA35" s="1119" t="s">
        <v>2869</v>
      </c>
      <c r="AB35" s="1120" t="s">
        <v>2706</v>
      </c>
      <c r="AC35" s="1045" t="str">
        <f>IF(AD35&lt;60,"Paket Tepat Waktu/kurang dari 60HK","Tidak Tepat Waktu")</f>
        <v>Paket Tepat Waktu/kurang dari 60HK</v>
      </c>
      <c r="AD35" s="165">
        <f>S35</f>
        <v>12</v>
      </c>
      <c r="AE35" s="1121">
        <f>IF(F35="JK",60-AD35,45-AD35)</f>
        <v>48</v>
      </c>
      <c r="AF35" s="1122" t="s">
        <v>2529</v>
      </c>
      <c r="AG35" s="962" t="s">
        <v>2910</v>
      </c>
      <c r="AH35" s="962" t="s">
        <v>2785</v>
      </c>
      <c r="AI35" s="23" t="s">
        <v>2911</v>
      </c>
      <c r="AJ35" s="985" t="s">
        <v>2912</v>
      </c>
      <c r="AK35" s="1090" t="s">
        <v>2913</v>
      </c>
      <c r="AL35" s="976" t="s">
        <v>2914</v>
      </c>
      <c r="AM35" s="965">
        <v>3455730.81</v>
      </c>
      <c r="AN35" s="1092" t="s">
        <v>2557</v>
      </c>
      <c r="AO35" s="967">
        <f>AM35/E35*100</f>
        <v>98.735165999999992</v>
      </c>
      <c r="AP35" s="1123" t="s">
        <v>2915</v>
      </c>
      <c r="AQ35" s="969" t="str">
        <f>IF(OR(AF35="Sudah Penetapan",AF35="Kontrak",AF35="BAHP",AF35="SPPBJ"),"SUDAH",IF(J35="03 Sudah Usul SIPBJ (Dok. dlm Reviu)","BELUM TAYANG",IF(AF35="PROSES","PROSES")))</f>
        <v>SUDAH</v>
      </c>
      <c r="AR35" s="974" t="s">
        <v>2558</v>
      </c>
    </row>
    <row r="36" spans="1:44" s="17" customFormat="1" ht="45.75">
      <c r="A36" s="937" t="s">
        <v>2916</v>
      </c>
      <c r="B36" s="1030" t="s">
        <v>2917</v>
      </c>
      <c r="C36" s="998" t="s">
        <v>2918</v>
      </c>
      <c r="D36" s="1117">
        <v>648000</v>
      </c>
      <c r="E36" s="1117">
        <v>648000</v>
      </c>
      <c r="F36" s="941" t="s">
        <v>1949</v>
      </c>
      <c r="G36" s="941" t="s">
        <v>2542</v>
      </c>
      <c r="H36" s="941" t="s">
        <v>2578</v>
      </c>
      <c r="I36" s="942" t="s">
        <v>2919</v>
      </c>
      <c r="J36" s="943" t="s">
        <v>2545</v>
      </c>
      <c r="K36" s="982" t="s">
        <v>15</v>
      </c>
      <c r="L36" s="983" t="s">
        <v>2920</v>
      </c>
      <c r="M36" s="983" t="s">
        <v>2921</v>
      </c>
      <c r="N36" s="947">
        <v>45841</v>
      </c>
      <c r="O36" s="947">
        <v>45889</v>
      </c>
      <c r="P36" s="1124">
        <v>48</v>
      </c>
      <c r="Q36" s="949">
        <f ca="1">IF(N36="",0,TODAY()-N36)</f>
        <v>326</v>
      </c>
      <c r="R36" s="947">
        <v>45895</v>
      </c>
      <c r="S36" s="1125">
        <f>R36-N36</f>
        <v>54</v>
      </c>
      <c r="T36" s="1043" t="str">
        <f>IF(F36="JK",IF(S36&lt;=45,"Belum Terlambat (JK)","Terlambat &gt; 45HK(JK)"),IF(F36="PK",IF(Q36&lt;=35,"Belum Terlambat (PK)","Terlambat&gt;35(PK)")))</f>
        <v>Terlambat &gt; 45HK(JK)</v>
      </c>
      <c r="U36" s="953">
        <f ca="1">IF(F36="JK",45-Q36,35-Q36)</f>
        <v>-281</v>
      </c>
      <c r="V36" s="1126">
        <v>45884</v>
      </c>
      <c r="W36" s="1126">
        <v>45895</v>
      </c>
      <c r="X36" s="955">
        <f ca="1">IF(V36="",0,TODAY()-V36)</f>
        <v>283</v>
      </c>
      <c r="Y36" s="1127">
        <f>W36-V36</f>
        <v>11</v>
      </c>
      <c r="Z36" s="1057" t="s">
        <v>1356</v>
      </c>
      <c r="AA36" s="1128" t="s">
        <v>2922</v>
      </c>
      <c r="AB36" s="958" t="s">
        <v>2923</v>
      </c>
      <c r="AC36" s="1045" t="str">
        <f>IF(AD36&lt;60,"Paket Tepat Waktu/kurang dari 60HK","Tidak Tepat Waktu")</f>
        <v>Paket Tepat Waktu/kurang dari 60HK</v>
      </c>
      <c r="AD36" s="977">
        <f>S36-3-1</f>
        <v>50</v>
      </c>
      <c r="AE36" s="1046">
        <f>IF(F36="JK",60-AD36,45-AD36)</f>
        <v>10</v>
      </c>
      <c r="AF36" s="1122" t="s">
        <v>2529</v>
      </c>
      <c r="AG36" s="1129" t="s">
        <v>2924</v>
      </c>
      <c r="AH36" s="1047"/>
      <c r="AI36" s="750" t="s">
        <v>2925</v>
      </c>
      <c r="AJ36" s="1049"/>
      <c r="AK36" s="1049"/>
      <c r="AL36" s="1049"/>
      <c r="AM36" s="1130">
        <v>492289.44</v>
      </c>
      <c r="AN36" s="1052" t="s">
        <v>2573</v>
      </c>
      <c r="AO36" s="967">
        <f>AM36/E36*100</f>
        <v>75.970592592592595</v>
      </c>
      <c r="AP36" s="980" t="s">
        <v>2926</v>
      </c>
      <c r="AQ36" s="969" t="str">
        <f>IF(OR(AF36="Sudah Penetapan",AF36="Kontrak",AF36="BAHP",AF36="SPPBJ"),"SUDAH",IF(J36="03 Sudah Usul SIPBJ (Dok. dlm Reviu)","BELUM TAYANG",IF(AF36="PROSES","PROSES")))</f>
        <v>SUDAH</v>
      </c>
      <c r="AR36" s="974" t="s">
        <v>2575</v>
      </c>
    </row>
    <row r="37" spans="1:44" s="17" customFormat="1" ht="61.5">
      <c r="A37" s="937" t="s">
        <v>2927</v>
      </c>
      <c r="B37" s="1131" t="s">
        <v>2928</v>
      </c>
      <c r="C37" s="939" t="s">
        <v>2561</v>
      </c>
      <c r="D37" s="940">
        <v>3207672</v>
      </c>
      <c r="E37" s="1132">
        <v>3207672</v>
      </c>
      <c r="F37" s="941" t="s">
        <v>1949</v>
      </c>
      <c r="G37" s="941" t="s">
        <v>2542</v>
      </c>
      <c r="H37" s="941" t="s">
        <v>2543</v>
      </c>
      <c r="I37" s="942" t="s">
        <v>2768</v>
      </c>
      <c r="J37" s="943" t="s">
        <v>2545</v>
      </c>
      <c r="K37" s="1133" t="s">
        <v>2668</v>
      </c>
      <c r="L37" s="983" t="s">
        <v>2929</v>
      </c>
      <c r="M37" s="983" t="s">
        <v>2930</v>
      </c>
      <c r="N37" s="947">
        <v>45889</v>
      </c>
      <c r="O37" s="947">
        <v>45890</v>
      </c>
      <c r="P37" s="1134">
        <f>O37-N37</f>
        <v>1</v>
      </c>
      <c r="Q37" s="1135">
        <f ca="1">IF(N37="",0,TODAY()-N37)</f>
        <v>278</v>
      </c>
      <c r="R37" s="947">
        <v>45890</v>
      </c>
      <c r="S37" s="1136">
        <f>R37-N37</f>
        <v>1</v>
      </c>
      <c r="T37" s="1043" t="str">
        <f>IF(F37="JK",IF(S37&lt;=45,"Belum Terlambat (JK)","Terlambat &gt; 45HK(JK)"),IF(F37="PK",IF(S37&lt;=35,"Belum Terlambat (PK)","Terlambat&gt;35(PK)")))</f>
        <v>Belum Terlambat (JK)</v>
      </c>
      <c r="U37" s="1137">
        <f ca="1">IF(F37="JK",45-Q37,35-Q37)</f>
        <v>-233</v>
      </c>
      <c r="V37" s="947">
        <v>45889</v>
      </c>
      <c r="W37" s="947">
        <v>45890</v>
      </c>
      <c r="X37" s="955">
        <f ca="1">IF(V37="",0,TODAY()-V37)</f>
        <v>278</v>
      </c>
      <c r="Y37" s="1057">
        <f>W37-V37</f>
        <v>1</v>
      </c>
      <c r="Z37" s="1057"/>
      <c r="AA37" s="1128" t="s">
        <v>2931</v>
      </c>
      <c r="AB37" s="958" t="s">
        <v>2932</v>
      </c>
      <c r="AC37" s="1045" t="str">
        <f>IF(AD37&lt;60,"Paket Tepat Waktu/kurang dari 60HK","Tidak Tepat Waktu")</f>
        <v>Paket Tepat Waktu/kurang dari 60HK</v>
      </c>
      <c r="AD37" s="977">
        <f>S37</f>
        <v>1</v>
      </c>
      <c r="AE37" s="1138">
        <f>IF(F37="JK",60-AD37,45-AD37)</f>
        <v>59</v>
      </c>
      <c r="AF37" s="961" t="s">
        <v>2529</v>
      </c>
      <c r="AG37" s="976" t="s">
        <v>2933</v>
      </c>
      <c r="AH37" s="976"/>
      <c r="AI37" s="963" t="s">
        <v>2934</v>
      </c>
      <c r="AJ37" s="1139"/>
      <c r="AK37" s="1140"/>
      <c r="AL37" s="1140"/>
      <c r="AM37" s="1141">
        <v>3183398.193</v>
      </c>
      <c r="AN37" s="1142" t="s">
        <v>2557</v>
      </c>
      <c r="AO37" s="967">
        <f>AM37/E37*100</f>
        <v>99.243257820625047</v>
      </c>
      <c r="AP37" s="1143" t="s">
        <v>2935</v>
      </c>
      <c r="AQ37" s="969" t="str">
        <f>IF(OR(AF37="Sudah Penetapan",AF37="Kontrak",AF37="BAHP",AF37="SPPBJ"),"SUDAH",IF(J37="03 Sudah Usul SIPBJ (Dok. dlm Reviu)","BELUM TAYANG",IF(AF37="PROSES","PROSES")))</f>
        <v>SUDAH</v>
      </c>
      <c r="AR37" s="1021" t="s">
        <v>2936</v>
      </c>
    </row>
    <row r="38" spans="1:44" s="17" customFormat="1" ht="61.5">
      <c r="A38" s="937" t="s">
        <v>2937</v>
      </c>
      <c r="B38" s="1063" t="s">
        <v>2938</v>
      </c>
      <c r="C38" s="1144" t="s">
        <v>2541</v>
      </c>
      <c r="D38" s="1065">
        <v>2741219</v>
      </c>
      <c r="E38" s="1065">
        <v>2741219</v>
      </c>
      <c r="F38" s="1067" t="s">
        <v>1949</v>
      </c>
      <c r="G38" s="1067" t="s">
        <v>2939</v>
      </c>
      <c r="H38" s="1067" t="s">
        <v>2578</v>
      </c>
      <c r="I38" s="1145" t="s">
        <v>2702</v>
      </c>
      <c r="J38" s="1070" t="s">
        <v>2545</v>
      </c>
      <c r="K38" s="1146" t="s">
        <v>2779</v>
      </c>
      <c r="L38" s="1147" t="s">
        <v>2940</v>
      </c>
      <c r="M38" s="1147" t="s">
        <v>2941</v>
      </c>
      <c r="N38" s="989">
        <v>45891</v>
      </c>
      <c r="O38" s="989">
        <v>45936</v>
      </c>
      <c r="P38" s="1148">
        <f>O38-N38</f>
        <v>45</v>
      </c>
      <c r="Q38" s="1149">
        <f ca="1">IF(N38="",0,TODAY()-N38)</f>
        <v>276</v>
      </c>
      <c r="R38" s="989">
        <v>45936</v>
      </c>
      <c r="S38" s="1150">
        <f>R38-N38</f>
        <v>45</v>
      </c>
      <c r="T38" s="1078" t="str">
        <f>IF(F38="JK",IF(S38&lt;=45,"Belum Terlambat (JK)","Terlambat &gt; 45HK(JK)"),IF(F38="PK",IF(S38&lt;=35,"Belum Terlambat (PK)","Terlambat&gt;35(PK)")))</f>
        <v>Belum Terlambat (JK)</v>
      </c>
      <c r="U38" s="1151">
        <f ca="1">IF(F38="JK",45-Q38,35-Q38)</f>
        <v>-231</v>
      </c>
      <c r="V38" s="989">
        <v>45926</v>
      </c>
      <c r="W38" s="989">
        <v>45936</v>
      </c>
      <c r="X38" s="1152">
        <f ca="1">IF(V38="",0,TODAY()-V38)</f>
        <v>241</v>
      </c>
      <c r="Y38" s="1153">
        <f>W38-V38</f>
        <v>10</v>
      </c>
      <c r="Z38" s="1154"/>
      <c r="AA38" s="1155" t="s">
        <v>2942</v>
      </c>
      <c r="AB38" s="1156" t="s">
        <v>2932</v>
      </c>
      <c r="AC38" s="1085" t="str">
        <f>IF(AD38&lt;60,"Paket Tepat Waktu/kurang dari 60HK","Tidak Tepat Waktu")</f>
        <v>Paket Tepat Waktu/kurang dari 60HK</v>
      </c>
      <c r="AD38" s="1157">
        <f>S38</f>
        <v>45</v>
      </c>
      <c r="AE38" s="1158">
        <f>IF(F38="JK",60-AD38,45-AD38)</f>
        <v>15</v>
      </c>
      <c r="AF38" s="1159" t="s">
        <v>2528</v>
      </c>
      <c r="AG38" s="1090" t="s">
        <v>2943</v>
      </c>
      <c r="AH38" s="1090"/>
      <c r="AI38" s="1160" t="s">
        <v>2944</v>
      </c>
      <c r="AJ38" s="976" t="s">
        <v>2628</v>
      </c>
      <c r="AK38" s="1007" t="s">
        <v>2629</v>
      </c>
      <c r="AL38" s="985" t="s">
        <v>2630</v>
      </c>
      <c r="AM38" s="1161">
        <v>2194026</v>
      </c>
      <c r="AN38" s="963" t="s">
        <v>2573</v>
      </c>
      <c r="AO38" s="967">
        <f>AM38/E38*100</f>
        <v>80.03833331083726</v>
      </c>
      <c r="AP38" s="973"/>
      <c r="AQ38" s="969" t="str">
        <f>IF(OR(AF38="Sudah Penetapan",AF38="Kontrak",AF38="BAHP",AF38="SPPBJ"),"SUDAH",IF(J38="03 Sudah Usul SIPBJ (Dok. dlm Reviu)","BELUM TAYANG",IF(AF38="PROSES","PROSES")))</f>
        <v>SUDAH</v>
      </c>
      <c r="AR38" s="974" t="s">
        <v>2575</v>
      </c>
    </row>
    <row r="39" spans="1:44" s="17" customFormat="1" ht="45">
      <c r="A39" s="937" t="s">
        <v>2945</v>
      </c>
      <c r="B39" s="938" t="s">
        <v>2946</v>
      </c>
      <c r="C39" s="1144" t="s">
        <v>2561</v>
      </c>
      <c r="D39" s="940">
        <v>9400000</v>
      </c>
      <c r="E39" s="940">
        <v>9400000</v>
      </c>
      <c r="F39" s="1067" t="s">
        <v>1949</v>
      </c>
      <c r="G39" s="1067" t="s">
        <v>2939</v>
      </c>
      <c r="H39" s="1067" t="s">
        <v>2578</v>
      </c>
      <c r="I39" s="1145" t="s">
        <v>2768</v>
      </c>
      <c r="J39" s="943" t="s">
        <v>2545</v>
      </c>
      <c r="K39" s="1146" t="s">
        <v>2579</v>
      </c>
      <c r="L39" s="1147" t="s">
        <v>2947</v>
      </c>
      <c r="M39" s="1147" t="s">
        <v>2948</v>
      </c>
      <c r="N39" s="989">
        <v>45911</v>
      </c>
      <c r="O39" s="989">
        <v>45959</v>
      </c>
      <c r="P39" s="1148">
        <f>O39-N39</f>
        <v>48</v>
      </c>
      <c r="Q39" s="1149">
        <f ca="1">IF(N39="",0,TODAY()-N39)</f>
        <v>256</v>
      </c>
      <c r="R39" s="989">
        <v>45959</v>
      </c>
      <c r="S39" s="1150">
        <f>R39-N39</f>
        <v>48</v>
      </c>
      <c r="T39" s="952" t="str">
        <f>IF(F39="JK",IF(S39&lt;=45,"Belum Terlambat (JK)","Terlambat &gt; 45HK(JK)"),IF(F39="PK",IF(S39&lt;=35,"Belum Terlambat (PK)","Terlambat&gt;35(PK)")))</f>
        <v>Terlambat &gt; 45HK(JK)</v>
      </c>
      <c r="U39" s="1151">
        <f ca="1">IF(F39="JK",45-Q39,35-Q39)</f>
        <v>-211</v>
      </c>
      <c r="V39" s="989">
        <v>45952</v>
      </c>
      <c r="W39" s="989">
        <v>45959</v>
      </c>
      <c r="X39" s="1152">
        <f ca="1">IF(V39="",0,TODAY()-V39)</f>
        <v>215</v>
      </c>
      <c r="Y39" s="1153">
        <f>W39-V39</f>
        <v>7</v>
      </c>
      <c r="Z39" s="1154"/>
      <c r="AA39" s="1155" t="s">
        <v>2949</v>
      </c>
      <c r="AB39" s="1162" t="s">
        <v>2932</v>
      </c>
      <c r="AC39" s="1038" t="str">
        <f>IF(AD39&lt;60,"Paket Tepat Waktu/kurang dari 60HK","Tidak Tepat Waktu")</f>
        <v>Paket Tepat Waktu/kurang dari 60HK</v>
      </c>
      <c r="AD39" s="1039">
        <f>S39</f>
        <v>48</v>
      </c>
      <c r="AE39" s="1163">
        <f>IF(F39="JK",60-AD39,45-AD39)</f>
        <v>12</v>
      </c>
      <c r="AF39" s="961" t="s">
        <v>2528</v>
      </c>
      <c r="AG39" s="1164" t="s">
        <v>2618</v>
      </c>
      <c r="AH39" s="1090"/>
      <c r="AI39" s="1160" t="s">
        <v>2608</v>
      </c>
      <c r="AJ39" s="1090"/>
      <c r="AK39" s="1090"/>
      <c r="AL39" s="1090"/>
      <c r="AM39" s="1091">
        <v>9262088.5289999992</v>
      </c>
      <c r="AN39" s="1165" t="s">
        <v>2573</v>
      </c>
      <c r="AO39" s="967">
        <f>AM39/E39*100</f>
        <v>98.532856691489357</v>
      </c>
      <c r="AP39" s="1143"/>
      <c r="AQ39" s="969" t="str">
        <f>IF(OR(AF39="Sudah Penetapan",AF39="Kontrak",AF39="BAHP",AF39="SPPBJ"),"SUDAH",IF(J39="03 Sudah Usul SIPBJ (Dok. dlm Reviu)","BELUM TAYANG",IF(AF39="PROSES","PROSES")))</f>
        <v>SUDAH</v>
      </c>
      <c r="AR39" s="974" t="s">
        <v>2575</v>
      </c>
    </row>
    <row r="40" spans="1:44" s="17" customFormat="1" ht="61.5">
      <c r="A40" s="937" t="s">
        <v>2950</v>
      </c>
      <c r="B40" s="938" t="s">
        <v>2951</v>
      </c>
      <c r="C40" s="1144" t="s">
        <v>2918</v>
      </c>
      <c r="D40" s="940">
        <v>1452938</v>
      </c>
      <c r="E40" s="940">
        <v>1452938</v>
      </c>
      <c r="F40" s="1067" t="s">
        <v>1949</v>
      </c>
      <c r="G40" s="1067" t="s">
        <v>2939</v>
      </c>
      <c r="H40" s="1067" t="s">
        <v>2578</v>
      </c>
      <c r="I40" s="1145" t="s">
        <v>2952</v>
      </c>
      <c r="J40" s="1166" t="s">
        <v>2545</v>
      </c>
      <c r="K40" s="1146" t="s">
        <v>2681</v>
      </c>
      <c r="L40" s="1147" t="s">
        <v>2953</v>
      </c>
      <c r="M40" s="1147" t="s">
        <v>2954</v>
      </c>
      <c r="N40" s="989">
        <v>45902</v>
      </c>
      <c r="O40" s="989">
        <v>45947</v>
      </c>
      <c r="P40" s="1148">
        <f>O40-N40</f>
        <v>45</v>
      </c>
      <c r="Q40" s="1149">
        <f ca="1">IF(N40="",0,TODAY()-N40)</f>
        <v>265</v>
      </c>
      <c r="R40" s="1167">
        <v>45947</v>
      </c>
      <c r="S40" s="1150">
        <f>R40-N40</f>
        <v>45</v>
      </c>
      <c r="T40" s="952" t="str">
        <f>IF(F40="JK",IF(S40&lt;=45,"Belum Terlambat (JK)","Terlambat &gt; 45HK(JK)"),IF(F40="PK",IF(S40&lt;=35,"Belum Terlambat (PK)","Terlambat&gt;35(PK)")))</f>
        <v>Belum Terlambat (JK)</v>
      </c>
      <c r="U40" s="1151">
        <f ca="1">IF(F40="JK",45-Q40,35-Q40)</f>
        <v>-220</v>
      </c>
      <c r="V40" s="989">
        <v>45940</v>
      </c>
      <c r="W40" s="989">
        <v>45947</v>
      </c>
      <c r="X40" s="1152">
        <f ca="1">IF(V40="",0,TODAY()-V40)</f>
        <v>227</v>
      </c>
      <c r="Y40" s="1153">
        <f>W40-V40</f>
        <v>7</v>
      </c>
      <c r="Z40" s="1154"/>
      <c r="AA40" s="1155" t="s">
        <v>2955</v>
      </c>
      <c r="AB40" s="1162" t="s">
        <v>2932</v>
      </c>
      <c r="AC40" s="1038" t="str">
        <f>IF(AD40&lt;60,"Paket Tepat Waktu/kurang dari 60HK","Tidak Tepat Waktu")</f>
        <v>Paket Tepat Waktu/kurang dari 60HK</v>
      </c>
      <c r="AD40" s="1039">
        <f>S40</f>
        <v>45</v>
      </c>
      <c r="AE40" s="1163">
        <f>IF(F40="JK",60-AD40,45-AD40)</f>
        <v>15</v>
      </c>
      <c r="AF40" s="961" t="s">
        <v>2528</v>
      </c>
      <c r="AG40" s="1164" t="s">
        <v>2956</v>
      </c>
      <c r="AH40" s="1090"/>
      <c r="AI40" s="1160" t="s">
        <v>2957</v>
      </c>
      <c r="AJ40" s="1090"/>
      <c r="AK40" s="1090"/>
      <c r="AL40" s="1090"/>
      <c r="AM40" s="1168">
        <v>1247235.90228</v>
      </c>
      <c r="AN40" s="1165" t="s">
        <v>2557</v>
      </c>
      <c r="AO40" s="967">
        <f>AM40/E40*100</f>
        <v>85.842334791987</v>
      </c>
      <c r="AP40" s="1143"/>
      <c r="AQ40" s="969" t="str">
        <f>IF(OR(AF40="Sudah Penetapan",AF40="Kontrak",AF40="BAHP",AF40="SPPBJ"),"SUDAH",IF(J40="03 Sudah Usul SIPBJ (Dok. dlm Reviu)","BELUM TAYANG",IF(AF40="PROSES","PROSES")))</f>
        <v>SUDAH</v>
      </c>
      <c r="AR40" s="974" t="s">
        <v>2575</v>
      </c>
    </row>
    <row r="41" spans="1:44" s="17" customFormat="1" ht="61.5">
      <c r="A41" s="937" t="s">
        <v>2958</v>
      </c>
      <c r="B41" s="938" t="s">
        <v>2959</v>
      </c>
      <c r="C41" s="1144" t="s">
        <v>2918</v>
      </c>
      <c r="D41" s="940">
        <v>2067069</v>
      </c>
      <c r="E41" s="940">
        <v>2067069</v>
      </c>
      <c r="F41" s="1067" t="s">
        <v>1949</v>
      </c>
      <c r="G41" s="1067" t="s">
        <v>2939</v>
      </c>
      <c r="H41" s="1067" t="s">
        <v>2578</v>
      </c>
      <c r="I41" s="1145" t="s">
        <v>2952</v>
      </c>
      <c r="J41" s="1166" t="s">
        <v>2545</v>
      </c>
      <c r="K41" s="1146" t="s">
        <v>2681</v>
      </c>
      <c r="L41" s="1147" t="s">
        <v>2953</v>
      </c>
      <c r="M41" s="1147" t="s">
        <v>2954</v>
      </c>
      <c r="N41" s="989">
        <v>45902</v>
      </c>
      <c r="O41" s="989">
        <v>45947</v>
      </c>
      <c r="P41" s="1148">
        <f>O41-N41</f>
        <v>45</v>
      </c>
      <c r="Q41" s="1149">
        <f ca="1">IF(N41="",0,TODAY()-N41)</f>
        <v>265</v>
      </c>
      <c r="R41" s="1167">
        <v>45947</v>
      </c>
      <c r="S41" s="1150">
        <f>R41-N41</f>
        <v>45</v>
      </c>
      <c r="T41" s="952" t="str">
        <f>IF(F41="JK",IF(S41&lt;=45,"Belum Terlambat (JK)","Terlambat &gt; 45HK(JK)"),IF(F41="PK",IF(S41&lt;=35,"Belum Terlambat (PK)","Terlambat&gt;35(PK)")))</f>
        <v>Belum Terlambat (JK)</v>
      </c>
      <c r="U41" s="1151">
        <f ca="1">IF(F41="JK",45-Q41,35-Q41)</f>
        <v>-220</v>
      </c>
      <c r="V41" s="989">
        <v>45940</v>
      </c>
      <c r="W41" s="989">
        <v>45947</v>
      </c>
      <c r="X41" s="1152">
        <f ca="1">IF(V41="",0,TODAY()-V41)</f>
        <v>227</v>
      </c>
      <c r="Y41" s="1153">
        <f>W41-V41</f>
        <v>7</v>
      </c>
      <c r="Z41" s="1154"/>
      <c r="AA41" s="1155" t="s">
        <v>2960</v>
      </c>
      <c r="AB41" s="958" t="s">
        <v>2932</v>
      </c>
      <c r="AC41" s="1038" t="str">
        <f>IF(AD41&lt;60,"Paket Tepat Waktu/kurang dari 60HK","Tidak Tepat Waktu")</f>
        <v>Paket Tepat Waktu/kurang dari 60HK</v>
      </c>
      <c r="AD41" s="1039">
        <f>S41</f>
        <v>45</v>
      </c>
      <c r="AE41" s="1163">
        <f>IF(F41="JK",60-AD41,45-AD41)</f>
        <v>15</v>
      </c>
      <c r="AF41" s="961" t="s">
        <v>2528</v>
      </c>
      <c r="AG41" s="1164" t="s">
        <v>2961</v>
      </c>
      <c r="AH41" s="1090"/>
      <c r="AI41" s="1160" t="s">
        <v>2962</v>
      </c>
      <c r="AJ41" s="1090"/>
      <c r="AK41" s="1090"/>
      <c r="AL41" s="1090"/>
      <c r="AM41" s="1091">
        <v>1740082.62</v>
      </c>
      <c r="AN41" s="1165" t="s">
        <v>2557</v>
      </c>
      <c r="AO41" s="967">
        <f>AM41/E41*100</f>
        <v>84.181157958442611</v>
      </c>
      <c r="AP41" s="1143"/>
      <c r="AQ41" s="969" t="str">
        <f>IF(OR(AF41="Sudah Penetapan",AF41="Kontrak",AF41="BAHP",AF41="SPPBJ"),"SUDAH",IF(J41="03 Sudah Usul SIPBJ (Dok. dlm Reviu)","BELUM TAYANG",IF(AF41="PROSES","PROSES")))</f>
        <v>SUDAH</v>
      </c>
      <c r="AR41" s="974" t="s">
        <v>2575</v>
      </c>
    </row>
    <row r="42" spans="1:44" s="17" customFormat="1" ht="61.5">
      <c r="A42" s="937" t="s">
        <v>2963</v>
      </c>
      <c r="B42" s="938" t="s">
        <v>2964</v>
      </c>
      <c r="C42" s="1144" t="s">
        <v>2918</v>
      </c>
      <c r="D42" s="940">
        <v>2194574</v>
      </c>
      <c r="E42" s="940">
        <v>2194574</v>
      </c>
      <c r="F42" s="1067" t="s">
        <v>1949</v>
      </c>
      <c r="G42" s="1067" t="s">
        <v>2939</v>
      </c>
      <c r="H42" s="1067" t="s">
        <v>2578</v>
      </c>
      <c r="I42" s="1145" t="s">
        <v>2952</v>
      </c>
      <c r="J42" s="943" t="s">
        <v>2545</v>
      </c>
      <c r="K42" s="1146" t="s">
        <v>10</v>
      </c>
      <c r="L42" s="1147" t="s">
        <v>2965</v>
      </c>
      <c r="M42" s="1147" t="s">
        <v>2966</v>
      </c>
      <c r="N42" s="989">
        <v>45903</v>
      </c>
      <c r="O42" s="989">
        <v>45952</v>
      </c>
      <c r="P42" s="1148">
        <f>O42-N42</f>
        <v>49</v>
      </c>
      <c r="Q42" s="1149">
        <f ca="1">IF(N42="",0,TODAY()-N42)</f>
        <v>264</v>
      </c>
      <c r="R42" s="1167">
        <v>45952</v>
      </c>
      <c r="S42" s="1150">
        <f>R42-N42</f>
        <v>49</v>
      </c>
      <c r="T42" s="952" t="str">
        <f>IF(F42="JK",IF(S42&lt;=45,"Belum Terlambat (JK)","Terlambat &gt; 45HK(JK)"),IF(F42="PK",IF(S42&lt;=35,"Belum Terlambat (PK)","Terlambat&gt;35(PK)")))</f>
        <v>Terlambat &gt; 45HK(JK)</v>
      </c>
      <c r="U42" s="1151">
        <f ca="1">IF(F42="JK",45-Q42,35-Q42)</f>
        <v>-219</v>
      </c>
      <c r="V42" s="989">
        <v>45946</v>
      </c>
      <c r="W42" s="989">
        <v>45952</v>
      </c>
      <c r="X42" s="1152">
        <f ca="1">IF(V42="",0,TODAY()-V42)</f>
        <v>221</v>
      </c>
      <c r="Y42" s="1153">
        <f>W42-V42</f>
        <v>6</v>
      </c>
      <c r="Z42" s="1154"/>
      <c r="AA42" s="1155" t="s">
        <v>2967</v>
      </c>
      <c r="AB42" s="958" t="s">
        <v>2932</v>
      </c>
      <c r="AC42" s="1038" t="str">
        <f>IF(AD42&lt;60,"Paket Tepat Waktu/kurang dari 60HK","Tidak Tepat Waktu")</f>
        <v>Paket Tepat Waktu/kurang dari 60HK</v>
      </c>
      <c r="AD42" s="1039">
        <f>S42</f>
        <v>49</v>
      </c>
      <c r="AE42" s="1163">
        <f>IF(F42="JK",60-AD42,45-AD42)</f>
        <v>11</v>
      </c>
      <c r="AF42" s="961" t="s">
        <v>2528</v>
      </c>
      <c r="AG42" s="1164" t="s">
        <v>2956</v>
      </c>
      <c r="AH42" s="1090"/>
      <c r="AI42" s="1160" t="s">
        <v>2957</v>
      </c>
      <c r="AJ42" s="1090"/>
      <c r="AK42" s="1090"/>
      <c r="AL42" s="1090"/>
      <c r="AM42" s="1091">
        <v>1664090.6080799999</v>
      </c>
      <c r="AN42" s="1165" t="s">
        <v>2557</v>
      </c>
      <c r="AO42" s="967">
        <f>AM42/E42*100</f>
        <v>75.827500375015831</v>
      </c>
      <c r="AP42" s="1143"/>
      <c r="AQ42" s="969" t="str">
        <f>IF(OR(AF42="Sudah Penetapan",AF42="Kontrak",AF42="BAHP",AF42="SPPBJ"),"SUDAH",IF(J42="03 Sudah Usul SIPBJ (Dok. dlm Reviu)","BELUM TAYANG",IF(AF42="PROSES","PROSES")))</f>
        <v>SUDAH</v>
      </c>
      <c r="AR42" s="974" t="s">
        <v>2575</v>
      </c>
    </row>
    <row r="43" spans="1:44" s="17" customFormat="1" ht="61.5">
      <c r="A43" s="937" t="s">
        <v>2968</v>
      </c>
      <c r="B43" s="938" t="s">
        <v>2969</v>
      </c>
      <c r="C43" s="1144" t="s">
        <v>2918</v>
      </c>
      <c r="D43" s="940">
        <v>1489999</v>
      </c>
      <c r="E43" s="940">
        <v>1489999</v>
      </c>
      <c r="F43" s="1067" t="s">
        <v>1949</v>
      </c>
      <c r="G43" s="1067" t="s">
        <v>2939</v>
      </c>
      <c r="H43" s="1067" t="s">
        <v>2578</v>
      </c>
      <c r="I43" s="1145" t="s">
        <v>2952</v>
      </c>
      <c r="J43" s="1166" t="s">
        <v>2545</v>
      </c>
      <c r="K43" s="1146" t="s">
        <v>10</v>
      </c>
      <c r="L43" s="1147" t="s">
        <v>2970</v>
      </c>
      <c r="M43" s="1147" t="s">
        <v>2966</v>
      </c>
      <c r="N43" s="989">
        <v>45903</v>
      </c>
      <c r="O43" s="989">
        <v>45952</v>
      </c>
      <c r="P43" s="1148">
        <f>O43-N43</f>
        <v>49</v>
      </c>
      <c r="Q43" s="1149">
        <f ca="1">IF(N43="",0,TODAY()-N43)</f>
        <v>264</v>
      </c>
      <c r="R43" s="1167">
        <v>45952</v>
      </c>
      <c r="S43" s="1150">
        <f>R43-N43</f>
        <v>49</v>
      </c>
      <c r="T43" s="952" t="str">
        <f>IF(F43="JK",IF(S43&lt;=45,"Belum Terlambat (JK)","Terlambat &gt; 45HK(JK)"),IF(F43="PK",IF(S43&lt;=35,"Belum Terlambat (PK)","Terlambat&gt;35(PK)")))</f>
        <v>Terlambat &gt; 45HK(JK)</v>
      </c>
      <c r="U43" s="1151">
        <f ca="1">IF(F43="JK",45-Q43,35-Q43)</f>
        <v>-219</v>
      </c>
      <c r="V43" s="989">
        <v>45947</v>
      </c>
      <c r="W43" s="989">
        <v>45952</v>
      </c>
      <c r="X43" s="1152">
        <f ca="1">IF(V43="",0,TODAY()-V43)</f>
        <v>220</v>
      </c>
      <c r="Y43" s="1153">
        <f>W43-V43</f>
        <v>5</v>
      </c>
      <c r="Z43" s="1154"/>
      <c r="AA43" s="1155" t="s">
        <v>2967</v>
      </c>
      <c r="AB43" s="958" t="s">
        <v>2932</v>
      </c>
      <c r="AC43" s="1038" t="str">
        <f>IF(AD43&lt;60,"Paket Tepat Waktu/kurang dari 60HK","Tidak Tepat Waktu")</f>
        <v>Paket Tepat Waktu/kurang dari 60HK</v>
      </c>
      <c r="AD43" s="1039">
        <f>S43</f>
        <v>49</v>
      </c>
      <c r="AE43" s="1163">
        <f>IF(F43="JK",60-AD43,45-AD43)</f>
        <v>11</v>
      </c>
      <c r="AF43" s="961" t="s">
        <v>2528</v>
      </c>
      <c r="AG43" s="1164" t="s">
        <v>2971</v>
      </c>
      <c r="AH43" s="1090"/>
      <c r="AI43" s="1160" t="s">
        <v>2972</v>
      </c>
      <c r="AJ43" s="1090"/>
      <c r="AK43" s="1090"/>
      <c r="AL43" s="1090"/>
      <c r="AM43" s="1091">
        <v>1266103.43808</v>
      </c>
      <c r="AN43" s="1165" t="s">
        <v>2557</v>
      </c>
      <c r="AO43" s="967">
        <f>AM43/E43*100</f>
        <v>84.973442135196066</v>
      </c>
      <c r="AP43" s="1143"/>
      <c r="AQ43" s="969" t="str">
        <f>IF(OR(AF43="Sudah Penetapan",AF43="Kontrak",AF43="BAHP",AF43="SPPBJ"),"SUDAH",IF(J43="03 Sudah Usul SIPBJ (Dok. dlm Reviu)","BELUM TAYANG",IF(AF43="PROSES","PROSES")))</f>
        <v>SUDAH</v>
      </c>
      <c r="AR43" s="974" t="s">
        <v>2575</v>
      </c>
    </row>
    <row r="44" spans="1:44" s="17" customFormat="1" ht="61.5">
      <c r="A44" s="937" t="s">
        <v>2973</v>
      </c>
      <c r="B44" s="938" t="s">
        <v>2974</v>
      </c>
      <c r="C44" s="1144" t="s">
        <v>2918</v>
      </c>
      <c r="D44" s="940">
        <v>1272977</v>
      </c>
      <c r="E44" s="940">
        <v>1272977</v>
      </c>
      <c r="F44" s="1067" t="s">
        <v>1949</v>
      </c>
      <c r="G44" s="1067" t="s">
        <v>2939</v>
      </c>
      <c r="H44" s="1067" t="s">
        <v>2578</v>
      </c>
      <c r="I44" s="1145" t="s">
        <v>2952</v>
      </c>
      <c r="J44" s="1166" t="s">
        <v>2545</v>
      </c>
      <c r="K44" s="1146" t="s">
        <v>2855</v>
      </c>
      <c r="L44" s="1147" t="s">
        <v>2975</v>
      </c>
      <c r="M44" s="1147" t="s">
        <v>2976</v>
      </c>
      <c r="N44" s="989">
        <v>45903</v>
      </c>
      <c r="O44" s="989">
        <v>45947</v>
      </c>
      <c r="P44" s="1148">
        <f>O44-N44</f>
        <v>44</v>
      </c>
      <c r="Q44" s="1149">
        <f ca="1">IF(N44="",0,TODAY()-N44)</f>
        <v>264</v>
      </c>
      <c r="R44" s="1167">
        <v>45947</v>
      </c>
      <c r="S44" s="1150">
        <f>R44-N44</f>
        <v>44</v>
      </c>
      <c r="T44" s="952" t="str">
        <f>IF(F44="JK",IF(S44&lt;=45,"Belum Terlambat (JK)","Terlambat &gt; 45HK(JK)"),IF(F44="PK",IF(S44&lt;=35,"Belum Terlambat (PK)","Terlambat&gt;35(PK)")))</f>
        <v>Belum Terlambat (JK)</v>
      </c>
      <c r="U44" s="1151">
        <f ca="1">IF(F44="JK",45-Q44,35-Q44)</f>
        <v>-219</v>
      </c>
      <c r="V44" s="989">
        <v>45943</v>
      </c>
      <c r="W44" s="989">
        <v>45947</v>
      </c>
      <c r="X44" s="1152">
        <f ca="1">IF(V44="",0,TODAY()-V44)</f>
        <v>224</v>
      </c>
      <c r="Y44" s="1153">
        <f>W44-V44</f>
        <v>4</v>
      </c>
      <c r="Z44" s="1154"/>
      <c r="AA44" s="1155" t="s">
        <v>2977</v>
      </c>
      <c r="AB44" s="958" t="s">
        <v>2932</v>
      </c>
      <c r="AC44" s="1038" t="str">
        <f>IF(AD44&lt;60,"Paket Tepat Waktu/kurang dari 60HK","Tidak Tepat Waktu")</f>
        <v>Paket Tepat Waktu/kurang dari 60HK</v>
      </c>
      <c r="AD44" s="1039">
        <f>S44</f>
        <v>44</v>
      </c>
      <c r="AE44" s="1169">
        <f>IF(F44="JK",60-AD44,45-AD44)</f>
        <v>16</v>
      </c>
      <c r="AF44" s="961" t="s">
        <v>2528</v>
      </c>
      <c r="AG44" s="1164" t="s">
        <v>2978</v>
      </c>
      <c r="AH44" s="1090" t="s">
        <v>2979</v>
      </c>
      <c r="AI44" s="1160" t="s">
        <v>2980</v>
      </c>
      <c r="AJ44" s="1090" t="s">
        <v>2981</v>
      </c>
      <c r="AK44" s="1090" t="s">
        <v>2982</v>
      </c>
      <c r="AL44" s="1090" t="s">
        <v>2983</v>
      </c>
      <c r="AM44" s="1091">
        <v>1232962.30128</v>
      </c>
      <c r="AN44" s="1165" t="s">
        <v>2557</v>
      </c>
      <c r="AO44" s="967">
        <f>AM44/E44*100</f>
        <v>96.856604736770578</v>
      </c>
      <c r="AP44" s="1143"/>
      <c r="AQ44" s="969" t="str">
        <f>IF(OR(AF44="Sudah Penetapan",AF44="Kontrak",AF44="BAHP",AF44="SPPBJ"),"SUDAH",IF(J44="03 Sudah Usul SIPBJ (Dok. dlm Reviu)","BELUM TAYANG",IF(AF44="PROSES","PROSES")))</f>
        <v>SUDAH</v>
      </c>
      <c r="AR44" s="974" t="s">
        <v>2575</v>
      </c>
    </row>
    <row r="45" spans="1:44" s="17" customFormat="1" ht="61.5">
      <c r="A45" s="937" t="s">
        <v>2984</v>
      </c>
      <c r="B45" s="938" t="s">
        <v>2985</v>
      </c>
      <c r="C45" s="1144" t="s">
        <v>2918</v>
      </c>
      <c r="D45" s="940">
        <v>2641852</v>
      </c>
      <c r="E45" s="940">
        <v>2641852</v>
      </c>
      <c r="F45" s="1067" t="s">
        <v>1949</v>
      </c>
      <c r="G45" s="1067" t="s">
        <v>2939</v>
      </c>
      <c r="H45" s="1067" t="s">
        <v>2578</v>
      </c>
      <c r="I45" s="1145" t="s">
        <v>2952</v>
      </c>
      <c r="J45" s="943" t="s">
        <v>2545</v>
      </c>
      <c r="K45" s="1146" t="s">
        <v>2855</v>
      </c>
      <c r="L45" s="1147" t="s">
        <v>2986</v>
      </c>
      <c r="M45" s="1147" t="s">
        <v>2976</v>
      </c>
      <c r="N45" s="989">
        <v>45903</v>
      </c>
      <c r="O45" s="989">
        <v>45952</v>
      </c>
      <c r="P45" s="1148">
        <f>O45-N45</f>
        <v>49</v>
      </c>
      <c r="Q45" s="1149">
        <f ca="1">IF(N45="",0,TODAY()-N45)</f>
        <v>264</v>
      </c>
      <c r="R45" s="1167">
        <v>45952</v>
      </c>
      <c r="S45" s="1150">
        <f>R45-N45</f>
        <v>49</v>
      </c>
      <c r="T45" s="952" t="str">
        <f>IF(F45="JK",IF(S45&lt;=45,"Belum Terlambat (JK)","Terlambat &gt; 45HK(JK)"),IF(F45="PK",IF(S45&lt;=35,"Belum Terlambat (PK)","Terlambat&gt;35(PK)")))</f>
        <v>Terlambat &gt; 45HK(JK)</v>
      </c>
      <c r="U45" s="1151">
        <f ca="1">IF(F45="JK",45-Q45,35-Q45)</f>
        <v>-219</v>
      </c>
      <c r="V45" s="989">
        <v>45946</v>
      </c>
      <c r="W45" s="989">
        <v>45952</v>
      </c>
      <c r="X45" s="1152">
        <f ca="1">IF(V45="",0,TODAY()-V45)</f>
        <v>221</v>
      </c>
      <c r="Y45" s="1153">
        <f>W45-V45</f>
        <v>6</v>
      </c>
      <c r="Z45" s="1154"/>
      <c r="AA45" s="1155" t="s">
        <v>2987</v>
      </c>
      <c r="AB45" s="958" t="s">
        <v>2932</v>
      </c>
      <c r="AC45" s="1038" t="str">
        <f>IF(AD45&lt;60,"Paket Tepat Waktu/kurang dari 60HK","Tidak Tepat Waktu")</f>
        <v>Paket Tepat Waktu/kurang dari 60HK</v>
      </c>
      <c r="AD45" s="1039">
        <f>S45</f>
        <v>49</v>
      </c>
      <c r="AE45" s="1163">
        <f>IF(F45="JK",60-AD45,45-AD45)</f>
        <v>11</v>
      </c>
      <c r="AF45" s="961" t="s">
        <v>2529</v>
      </c>
      <c r="AG45" s="1164" t="s">
        <v>2988</v>
      </c>
      <c r="AH45" s="1090" t="s">
        <v>2989</v>
      </c>
      <c r="AI45" s="1160" t="s">
        <v>2990</v>
      </c>
      <c r="AJ45" s="1090">
        <v>10016160093000</v>
      </c>
      <c r="AK45" s="1170" t="s">
        <v>2991</v>
      </c>
      <c r="AL45" s="1171" t="s">
        <v>2992</v>
      </c>
      <c r="AM45" s="1091">
        <v>2161687704</v>
      </c>
      <c r="AN45" s="1165" t="s">
        <v>2573</v>
      </c>
      <c r="AO45" s="967">
        <f>AM45/E45*100</f>
        <v>81824.708727059653</v>
      </c>
      <c r="AP45" s="1143"/>
      <c r="AQ45" s="969" t="str">
        <f>IF(OR(AF45="Sudah Penetapan",AF45="Kontrak",AF45="BAHP",AF45="SPPBJ"),"SUDAH",IF(J45="03 Sudah Usul SIPBJ (Dok. dlm Reviu)","BELUM TAYANG",IF(AF45="PROSES","PROSES")))</f>
        <v>SUDAH</v>
      </c>
      <c r="AR45" s="974" t="s">
        <v>2575</v>
      </c>
    </row>
    <row r="46" spans="1:44" s="17" customFormat="1" ht="61.5">
      <c r="A46" s="937" t="s">
        <v>2993</v>
      </c>
      <c r="B46" s="1030" t="s">
        <v>2994</v>
      </c>
      <c r="C46" s="1144" t="s">
        <v>2561</v>
      </c>
      <c r="D46" s="940">
        <v>2000000</v>
      </c>
      <c r="E46" s="940">
        <v>2000000</v>
      </c>
      <c r="F46" s="1067" t="s">
        <v>1949</v>
      </c>
      <c r="G46" s="1067" t="s">
        <v>2542</v>
      </c>
      <c r="H46" s="1067" t="s">
        <v>2543</v>
      </c>
      <c r="I46" s="1145" t="s">
        <v>2995</v>
      </c>
      <c r="J46" s="943" t="s">
        <v>2545</v>
      </c>
      <c r="K46" s="1146" t="s">
        <v>2779</v>
      </c>
      <c r="L46" s="1147" t="s">
        <v>2996</v>
      </c>
      <c r="M46" s="1147" t="s">
        <v>2997</v>
      </c>
      <c r="N46" s="989">
        <v>45926</v>
      </c>
      <c r="O46" s="989">
        <v>45938</v>
      </c>
      <c r="P46" s="1148">
        <f>O46-N46</f>
        <v>12</v>
      </c>
      <c r="Q46" s="1149">
        <f ca="1">IF(N46="",0,TODAY()-N46)</f>
        <v>241</v>
      </c>
      <c r="R46" s="989">
        <v>45938</v>
      </c>
      <c r="S46" s="1150">
        <f>R46-N46</f>
        <v>12</v>
      </c>
      <c r="T46" s="952" t="str">
        <f>IF(F46="JK",IF(S46&lt;=45,"Belum Terlambat (JK)","Terlambat &gt; 45HK(JK)"),IF(F46="PK",IF(S46&lt;=35,"Belum Terlambat (PK)","Terlambat&gt;35(PK)")))</f>
        <v>Belum Terlambat (JK)</v>
      </c>
      <c r="U46" s="1151">
        <f ca="1">IF(F46="JK",45-Q46,35-Q46)</f>
        <v>-196</v>
      </c>
      <c r="V46" s="989">
        <v>45931</v>
      </c>
      <c r="W46" s="1172">
        <v>45937</v>
      </c>
      <c r="X46" s="1152">
        <f ca="1">IF(V46="",0,TODAY()-V46)</f>
        <v>236</v>
      </c>
      <c r="Y46" s="1153">
        <f>W46-V46</f>
        <v>6</v>
      </c>
      <c r="Z46" s="1154"/>
      <c r="AA46" s="1155" t="s">
        <v>2998</v>
      </c>
      <c r="AB46" s="958" t="s">
        <v>2932</v>
      </c>
      <c r="AC46" s="1038" t="str">
        <f>IF(AD46&lt;60,"Paket Tepat Waktu/kurang dari 60HK","Tidak Tepat Waktu")</f>
        <v>Paket Tepat Waktu/kurang dari 60HK</v>
      </c>
      <c r="AD46" s="1039">
        <f>S46</f>
        <v>12</v>
      </c>
      <c r="AE46" s="1163">
        <f>IF(F46="JK",60-AD46,45-AD46)</f>
        <v>48</v>
      </c>
      <c r="AF46" s="961" t="s">
        <v>2529</v>
      </c>
      <c r="AG46" s="1164" t="s">
        <v>2999</v>
      </c>
      <c r="AH46" s="1090"/>
      <c r="AI46" s="1160" t="s">
        <v>3000</v>
      </c>
      <c r="AJ46" s="1090"/>
      <c r="AK46" s="1090"/>
      <c r="AL46" s="1090"/>
      <c r="AM46" s="1091">
        <v>1930325.298</v>
      </c>
      <c r="AN46" s="1165"/>
      <c r="AO46" s="967">
        <f>AM46/E46*100</f>
        <v>96.516264899999996</v>
      </c>
      <c r="AP46" s="1143"/>
      <c r="AQ46" s="969" t="str">
        <f>IF(OR(AF46="Sudah Penetapan",AF46="Kontrak",AF46="BAHP",AF46="SPPBJ"),"SUDAH",IF(J46="03 Sudah Usul SIPBJ (Dok. dlm Reviu)","BELUM TAYANG",IF(AF46="PROSES","PROSES")))</f>
        <v>SUDAH</v>
      </c>
      <c r="AR46" s="974" t="s">
        <v>2558</v>
      </c>
    </row>
    <row r="47" spans="1:44" s="17" customFormat="1" ht="45">
      <c r="A47" s="937" t="s">
        <v>3001</v>
      </c>
      <c r="B47" s="1030" t="s">
        <v>3002</v>
      </c>
      <c r="C47" s="1144" t="s">
        <v>2561</v>
      </c>
      <c r="D47" s="940">
        <v>1500000</v>
      </c>
      <c r="E47" s="940">
        <v>1500000</v>
      </c>
      <c r="F47" s="1067" t="s">
        <v>1949</v>
      </c>
      <c r="G47" s="1067" t="s">
        <v>2542</v>
      </c>
      <c r="H47" s="1067" t="s">
        <v>2543</v>
      </c>
      <c r="I47" s="1145" t="s">
        <v>2995</v>
      </c>
      <c r="J47" s="943" t="s">
        <v>2545</v>
      </c>
      <c r="K47" s="1146" t="s">
        <v>2659</v>
      </c>
      <c r="L47" s="1147" t="s">
        <v>3003</v>
      </c>
      <c r="M47" s="1147" t="s">
        <v>3004</v>
      </c>
      <c r="N47" s="989">
        <v>45924</v>
      </c>
      <c r="O47" s="989">
        <v>45937</v>
      </c>
      <c r="P47" s="1148">
        <f>O47-N47</f>
        <v>13</v>
      </c>
      <c r="Q47" s="1149">
        <f ca="1">IF(N47="",0,TODAY()-N47)</f>
        <v>243</v>
      </c>
      <c r="R47" s="989">
        <v>45937</v>
      </c>
      <c r="S47" s="1150">
        <f>R47-N47</f>
        <v>13</v>
      </c>
      <c r="T47" s="952" t="str">
        <f>IF(F47="JK",IF(S47&lt;=45,"Belum Terlambat (JK)","Terlambat &gt; 45HK(JK)"),IF(F47="PK",IF(S47&lt;=35,"Belum Terlambat (PK)","Terlambat&gt;35(PK)")))</f>
        <v>Belum Terlambat (JK)</v>
      </c>
      <c r="U47" s="1151">
        <f ca="1">IF(F47="JK",45-Q47,35-Q47)</f>
        <v>-198</v>
      </c>
      <c r="V47" s="989">
        <v>45936</v>
      </c>
      <c r="W47" s="1172">
        <v>45936</v>
      </c>
      <c r="X47" s="1152">
        <f ca="1">IF(V47="",0,TODAY()-V47)</f>
        <v>231</v>
      </c>
      <c r="Y47" s="1153">
        <f>W47-V47</f>
        <v>0</v>
      </c>
      <c r="Z47" s="1154"/>
      <c r="AA47" s="1155" t="s">
        <v>3005</v>
      </c>
      <c r="AB47" s="958" t="s">
        <v>2932</v>
      </c>
      <c r="AC47" s="1038" t="str">
        <f>IF(AD47&lt;60,"Paket Tepat Waktu/kurang dari 60HK","Tidak Tepat Waktu")</f>
        <v>Paket Tepat Waktu/kurang dari 60HK</v>
      </c>
      <c r="AD47" s="1039">
        <f>S47</f>
        <v>13</v>
      </c>
      <c r="AE47" s="1163">
        <f>IF(F47="JK",60-AD47,45-AD47)</f>
        <v>47</v>
      </c>
      <c r="AF47" s="961" t="s">
        <v>2529</v>
      </c>
      <c r="AG47" s="1164" t="s">
        <v>3006</v>
      </c>
      <c r="AH47" s="1090"/>
      <c r="AI47" s="1160" t="s">
        <v>3007</v>
      </c>
      <c r="AJ47" s="1090"/>
      <c r="AK47" s="1090"/>
      <c r="AL47" s="1090"/>
      <c r="AM47" s="1091">
        <v>1450485.0630000001</v>
      </c>
      <c r="AN47" s="1165" t="s">
        <v>2557</v>
      </c>
      <c r="AO47" s="967">
        <f>AM47/E47*100</f>
        <v>96.699004200000005</v>
      </c>
      <c r="AP47" s="1143"/>
      <c r="AQ47" s="969" t="str">
        <f>IF(OR(AF47="Sudah Penetapan",AF47="Kontrak",AF47="BAHP",AF47="SPPBJ"),"SUDAH",IF(J47="03 Sudah Usul SIPBJ (Dok. dlm Reviu)","BELUM TAYANG",IF(AF47="PROSES","PROSES")))</f>
        <v>SUDAH</v>
      </c>
      <c r="AR47" s="974" t="s">
        <v>2558</v>
      </c>
    </row>
    <row r="48" spans="1:44" s="17" customFormat="1" ht="61.5">
      <c r="A48" s="937" t="s">
        <v>3008</v>
      </c>
      <c r="B48" s="1030" t="s">
        <v>3009</v>
      </c>
      <c r="C48" s="1144" t="s">
        <v>2918</v>
      </c>
      <c r="D48" s="940">
        <v>1286916</v>
      </c>
      <c r="E48" s="940">
        <v>1286916</v>
      </c>
      <c r="F48" s="1067" t="s">
        <v>1949</v>
      </c>
      <c r="G48" s="1067" t="s">
        <v>2939</v>
      </c>
      <c r="H48" s="1067" t="s">
        <v>2578</v>
      </c>
      <c r="I48" s="1145" t="s">
        <v>2919</v>
      </c>
      <c r="J48" s="1166" t="s">
        <v>2545</v>
      </c>
      <c r="K48" s="1146" t="s">
        <v>15</v>
      </c>
      <c r="L48" s="1147" t="s">
        <v>3010</v>
      </c>
      <c r="M48" s="1147" t="s">
        <v>3011</v>
      </c>
      <c r="N48" s="989">
        <v>45908</v>
      </c>
      <c r="O48" s="989">
        <v>45959</v>
      </c>
      <c r="P48" s="1148">
        <f>O48-N48</f>
        <v>51</v>
      </c>
      <c r="Q48" s="1149">
        <f ca="1">IF(N48="",0,TODAY()-N48)</f>
        <v>259</v>
      </c>
      <c r="R48" s="989">
        <v>45959</v>
      </c>
      <c r="S48" s="1150">
        <f>R48-N48</f>
        <v>51</v>
      </c>
      <c r="T48" s="952" t="str">
        <f>IF(F48="JK",IF(S48&lt;=45,"Belum Terlambat (JK)","Terlambat &gt; 45HK(JK)"),IF(F48="PK",IF(S48&lt;=35,"Belum Terlambat (PK)","Terlambat&gt;35(PK)")))</f>
        <v>Terlambat &gt; 45HK(JK)</v>
      </c>
      <c r="U48" s="1151">
        <f ca="1">IF(F48="JK",45-Q48,35-Q48)</f>
        <v>-214</v>
      </c>
      <c r="V48" s="989">
        <v>45953</v>
      </c>
      <c r="W48" s="989">
        <v>45959</v>
      </c>
      <c r="X48" s="1152">
        <f ca="1">IF(V48="",0,TODAY()-V48)</f>
        <v>214</v>
      </c>
      <c r="Y48" s="1153">
        <f>W48-V48</f>
        <v>6</v>
      </c>
      <c r="Z48" s="1154"/>
      <c r="AA48" s="1155" t="s">
        <v>3012</v>
      </c>
      <c r="AB48" s="958" t="s">
        <v>2932</v>
      </c>
      <c r="AC48" s="1038" t="str">
        <f>IF(AD48&lt;60,"Paket Tepat Waktu/kurang dari 60HK","Tidak Tepat Waktu")</f>
        <v>Paket Tepat Waktu/kurang dari 60HK</v>
      </c>
      <c r="AD48" s="1039">
        <f>S48</f>
        <v>51</v>
      </c>
      <c r="AE48" s="1163">
        <f>IF(F48="JK",60-AD48,45-AD48)</f>
        <v>9</v>
      </c>
      <c r="AF48" s="961" t="s">
        <v>2528</v>
      </c>
      <c r="AG48" s="1164" t="s">
        <v>2956</v>
      </c>
      <c r="AH48" s="1090"/>
      <c r="AI48" s="1160" t="s">
        <v>2957</v>
      </c>
      <c r="AJ48" s="1090"/>
      <c r="AK48" s="1090"/>
      <c r="AL48" s="1090"/>
      <c r="AM48" s="1091">
        <v>1081469.226</v>
      </c>
      <c r="AN48" s="1165" t="s">
        <v>2557</v>
      </c>
      <c r="AO48" s="967">
        <f>AM48/E48*100</f>
        <v>84.035727739805864</v>
      </c>
      <c r="AP48" s="1143"/>
      <c r="AQ48" s="969" t="str">
        <f>IF(OR(AF48="Sudah Penetapan",AF48="Kontrak",AF48="BAHP",AF48="SPPBJ"),"SUDAH",IF(J48="03 Sudah Usul SIPBJ (Dok. dlm Reviu)","BELUM TAYANG",IF(AF48="PROSES","PROSES")))</f>
        <v>SUDAH</v>
      </c>
      <c r="AR48" s="974" t="s">
        <v>2575</v>
      </c>
    </row>
    <row r="49" spans="1:45" s="17" customFormat="1" ht="61.5">
      <c r="A49" s="937" t="s">
        <v>3013</v>
      </c>
      <c r="B49" s="1030" t="s">
        <v>3014</v>
      </c>
      <c r="C49" s="1144" t="s">
        <v>2918</v>
      </c>
      <c r="D49" s="940">
        <v>2011563</v>
      </c>
      <c r="E49" s="940">
        <v>2011563</v>
      </c>
      <c r="F49" s="1067" t="s">
        <v>1949</v>
      </c>
      <c r="G49" s="1067" t="s">
        <v>2939</v>
      </c>
      <c r="H49" s="1067" t="s">
        <v>2578</v>
      </c>
      <c r="I49" s="1145" t="s">
        <v>2919</v>
      </c>
      <c r="J49" s="1166" t="s">
        <v>2545</v>
      </c>
      <c r="K49" s="1146" t="s">
        <v>15</v>
      </c>
      <c r="L49" s="1147" t="s">
        <v>3015</v>
      </c>
      <c r="M49" s="1147" t="s">
        <v>3011</v>
      </c>
      <c r="N49" s="989">
        <v>45908</v>
      </c>
      <c r="O49" s="989">
        <v>45959</v>
      </c>
      <c r="P49" s="1148">
        <f>O49-N49</f>
        <v>51</v>
      </c>
      <c r="Q49" s="1149">
        <f ca="1">IF(N49="",0,TODAY()-N49)</f>
        <v>259</v>
      </c>
      <c r="R49" s="989">
        <v>45959</v>
      </c>
      <c r="S49" s="1150">
        <f>R49-N49</f>
        <v>51</v>
      </c>
      <c r="T49" s="952" t="str">
        <f>IF(F49="JK",IF(S49&lt;=45,"Belum Terlambat (JK)","Terlambat &gt; 45HK(JK)"),IF(F49="PK",IF(S49&lt;=35,"Belum Terlambat (PK)","Terlambat&gt;35(PK)")))</f>
        <v>Terlambat &gt; 45HK(JK)</v>
      </c>
      <c r="U49" s="1151">
        <f ca="1">IF(F49="JK",45-Q49,35-Q49)</f>
        <v>-214</v>
      </c>
      <c r="V49" s="989">
        <v>45953</v>
      </c>
      <c r="W49" s="989">
        <v>45959</v>
      </c>
      <c r="X49" s="1152">
        <f ca="1">IF(V49="",0,TODAY()-V49)</f>
        <v>214</v>
      </c>
      <c r="Y49" s="1153">
        <f>W49-V49</f>
        <v>6</v>
      </c>
      <c r="Z49" s="1154"/>
      <c r="AA49" s="1155" t="s">
        <v>3016</v>
      </c>
      <c r="AB49" s="1162" t="s">
        <v>2932</v>
      </c>
      <c r="AC49" s="1038" t="str">
        <f>IF(AD49&lt;60,"Paket Tepat Waktu/kurang dari 60HK","Tidak Tepat Waktu")</f>
        <v>Paket Tepat Waktu/kurang dari 60HK</v>
      </c>
      <c r="AD49" s="1039">
        <f>S49</f>
        <v>51</v>
      </c>
      <c r="AE49" s="1163">
        <f>IF(F49="JK",60-AD49,45-AD49)</f>
        <v>9</v>
      </c>
      <c r="AF49" s="961" t="s">
        <v>2528</v>
      </c>
      <c r="AG49" s="1139" t="s">
        <v>3017</v>
      </c>
      <c r="AH49" s="1140"/>
      <c r="AI49" s="1142" t="s">
        <v>3018</v>
      </c>
      <c r="AJ49" s="1140"/>
      <c r="AK49" s="1140"/>
      <c r="AL49" s="1140"/>
      <c r="AM49" s="1141">
        <v>1508543.28</v>
      </c>
      <c r="AN49" s="1165" t="s">
        <v>2557</v>
      </c>
      <c r="AO49" s="967">
        <f>AM49/E49*100</f>
        <v>74.993588567695866</v>
      </c>
      <c r="AP49" s="1143"/>
      <c r="AQ49" s="969" t="str">
        <f>IF(OR(AF49="Sudah Penetapan",AF49="Kontrak",AF49="BAHP",AF49="SPPBJ"),"SUDAH",IF(J49="03 Sudah Usul SIPBJ (Dok. dlm Reviu)","BELUM TAYANG",IF(AF49="PROSES","PROSES")))</f>
        <v>SUDAH</v>
      </c>
      <c r="AR49" s="974" t="s">
        <v>2575</v>
      </c>
    </row>
    <row r="50" spans="1:45" s="17" customFormat="1" ht="61.5">
      <c r="A50" s="937" t="s">
        <v>3019</v>
      </c>
      <c r="B50" s="938" t="s">
        <v>3020</v>
      </c>
      <c r="C50" s="1173" t="s">
        <v>2918</v>
      </c>
      <c r="D50" s="940">
        <v>1021300</v>
      </c>
      <c r="E50" s="940">
        <v>1021300</v>
      </c>
      <c r="F50" s="1067" t="s">
        <v>1949</v>
      </c>
      <c r="G50" s="1067" t="s">
        <v>2939</v>
      </c>
      <c r="H50" s="1067" t="s">
        <v>2578</v>
      </c>
      <c r="I50" s="1145" t="s">
        <v>2919</v>
      </c>
      <c r="J50" s="1166" t="s">
        <v>2545</v>
      </c>
      <c r="K50" s="1146" t="s">
        <v>2681</v>
      </c>
      <c r="L50" s="1147" t="s">
        <v>3021</v>
      </c>
      <c r="M50" s="1147" t="s">
        <v>3022</v>
      </c>
      <c r="N50" s="989">
        <v>45904</v>
      </c>
      <c r="O50" s="989">
        <v>45947</v>
      </c>
      <c r="P50" s="1148">
        <f>O50-N50</f>
        <v>43</v>
      </c>
      <c r="Q50" s="1149">
        <f ca="1">IF(N50="",0,TODAY()-N50)</f>
        <v>263</v>
      </c>
      <c r="R50" s="989">
        <v>45947</v>
      </c>
      <c r="S50" s="1150">
        <f>R50-N50</f>
        <v>43</v>
      </c>
      <c r="T50" s="952" t="str">
        <f>IF(F50="JK",IF(S50&lt;=45,"Belum Terlambat (JK)","Terlambat &gt; 45HK(JK)"),IF(F50="PK",IF(S50&lt;=35,"Belum Terlambat (PK)","Terlambat&gt;35(PK)")))</f>
        <v>Belum Terlambat (JK)</v>
      </c>
      <c r="U50" s="1151">
        <f ca="1">IF(F50="JK",45-Q50,35-Q50)</f>
        <v>-218</v>
      </c>
      <c r="V50" s="989">
        <v>45943</v>
      </c>
      <c r="W50" s="989">
        <v>45947</v>
      </c>
      <c r="X50" s="1152">
        <f ca="1">IF(V50="",0,TODAY()-V50)</f>
        <v>224</v>
      </c>
      <c r="Y50" s="1153">
        <f>W50-V50</f>
        <v>4</v>
      </c>
      <c r="Z50" s="1154"/>
      <c r="AA50" s="1155" t="s">
        <v>3023</v>
      </c>
      <c r="AB50" s="958" t="s">
        <v>2932</v>
      </c>
      <c r="AC50" s="1045" t="str">
        <f>IF(AD50&lt;60,"Paket Tepat Waktu/kurang dari 60HK","Tidak Tepat Waktu")</f>
        <v>Paket Tepat Waktu/kurang dari 60HK</v>
      </c>
      <c r="AD50" s="1039">
        <f>S50</f>
        <v>43</v>
      </c>
      <c r="AE50" s="1174">
        <f>IF(F50="JK",60-AD50,45-AD50)</f>
        <v>17</v>
      </c>
      <c r="AF50" s="961" t="s">
        <v>2528</v>
      </c>
      <c r="AG50" s="976" t="s">
        <v>3024</v>
      </c>
      <c r="AH50" s="976"/>
      <c r="AI50" s="963" t="s">
        <v>3025</v>
      </c>
      <c r="AJ50" s="976"/>
      <c r="AK50" s="976"/>
      <c r="AL50" s="976"/>
      <c r="AM50" s="965">
        <v>797962.67198999994</v>
      </c>
      <c r="AN50" s="963" t="s">
        <v>2557</v>
      </c>
      <c r="AO50" s="967">
        <f>AM50/E50*100</f>
        <v>78.132054439439926</v>
      </c>
      <c r="AP50" s="973"/>
      <c r="AQ50" s="969" t="str">
        <f>IF(OR(AF50="Sudah Penetapan",AF50="Kontrak",AF50="BAHP",AF50="SPPBJ"),"SUDAH",IF(J50="03 Sudah Usul SIPBJ (Dok. dlm Reviu)","BELUM TAYANG",IF(AF50="PROSES","PROSES")))</f>
        <v>SUDAH</v>
      </c>
      <c r="AR50" s="974" t="s">
        <v>2575</v>
      </c>
    </row>
    <row r="51" spans="1:45" s="17" customFormat="1" ht="45.75">
      <c r="A51" s="937" t="s">
        <v>3026</v>
      </c>
      <c r="B51" s="1030" t="s">
        <v>3027</v>
      </c>
      <c r="C51" s="1144" t="s">
        <v>2541</v>
      </c>
      <c r="D51" s="940">
        <v>2238300</v>
      </c>
      <c r="E51" s="1065">
        <v>2238300</v>
      </c>
      <c r="F51" s="1067" t="s">
        <v>1949</v>
      </c>
      <c r="G51" s="1067" t="s">
        <v>2939</v>
      </c>
      <c r="H51" s="1067" t="s">
        <v>2578</v>
      </c>
      <c r="I51" s="1145" t="s">
        <v>2702</v>
      </c>
      <c r="J51" s="943" t="s">
        <v>2545</v>
      </c>
      <c r="K51" s="1146" t="s">
        <v>2820</v>
      </c>
      <c r="L51" s="1147" t="s">
        <v>3028</v>
      </c>
      <c r="M51" s="1147" t="s">
        <v>3029</v>
      </c>
      <c r="N51" s="989">
        <v>45922</v>
      </c>
      <c r="O51" s="989">
        <v>45967</v>
      </c>
      <c r="P51" s="1148">
        <f>O51-N51</f>
        <v>45</v>
      </c>
      <c r="Q51" s="1149">
        <f ca="1">IF(N51="",0,TODAY()-N51)</f>
        <v>245</v>
      </c>
      <c r="R51" s="989">
        <v>45967</v>
      </c>
      <c r="S51" s="1150">
        <f>R51-N51</f>
        <v>45</v>
      </c>
      <c r="T51" s="952" t="str">
        <f>IF(F51="JK",IF(S51&lt;=45,"Belum Terlambat (JK)","Terlambat &gt; 45HK(JK)"),IF(F51="PK",IF(S51&lt;=35,"Belum Terlambat (PK)","Terlambat&gt;35(PK)")))</f>
        <v>Belum Terlambat (JK)</v>
      </c>
      <c r="U51" s="1151">
        <f ca="1">IF(F51="JK",45-Q51,35-Q51)</f>
        <v>-200</v>
      </c>
      <c r="V51" s="989">
        <v>45960</v>
      </c>
      <c r="W51" s="989">
        <v>45967</v>
      </c>
      <c r="X51" s="1152">
        <f ca="1">IF(V51="",0,TODAY()-V51)</f>
        <v>207</v>
      </c>
      <c r="Y51" s="1153">
        <f>W51-V51</f>
        <v>7</v>
      </c>
      <c r="Z51" s="1154"/>
      <c r="AA51" s="1155" t="s">
        <v>3030</v>
      </c>
      <c r="AB51" s="1175" t="s">
        <v>3031</v>
      </c>
      <c r="AC51" s="1045" t="str">
        <f>IF(AD51&lt;60,"Paket Tepat Waktu/kurang dari 60HK","Tidak Tepat Waktu")</f>
        <v>Paket Tepat Waktu/kurang dari 60HK</v>
      </c>
      <c r="AD51" s="1039">
        <f>S51</f>
        <v>45</v>
      </c>
      <c r="AE51" s="1174">
        <f>IF(F51="JK",60-AD51,45-AD51)</f>
        <v>15</v>
      </c>
      <c r="AF51" s="961" t="s">
        <v>2529</v>
      </c>
      <c r="AG51" s="1164" t="s">
        <v>3032</v>
      </c>
      <c r="AH51" s="1090"/>
      <c r="AI51" s="1160" t="s">
        <v>3033</v>
      </c>
      <c r="AJ51" s="1090"/>
      <c r="AK51" s="1090"/>
      <c r="AL51" s="1090"/>
      <c r="AM51" s="1091">
        <v>1798932.6</v>
      </c>
      <c r="AN51" s="963" t="s">
        <v>2557</v>
      </c>
      <c r="AO51" s="967">
        <f>AM51/E51*100</f>
        <v>80.37048652995577</v>
      </c>
      <c r="AP51" s="1143"/>
      <c r="AQ51" s="969" t="str">
        <f>IF(OR(AF51="Sudah Penetapan",AF51="Kontrak",AF51="BAHP",AF51="SPPBJ"),"SUDAH",IF(J51="03 Sudah Usul SIPBJ (Dok. dlm Reviu)","BELUM TAYANG",IF(AF51="PROSES","PROSES")))</f>
        <v>SUDAH</v>
      </c>
      <c r="AR51" s="974" t="s">
        <v>2575</v>
      </c>
    </row>
    <row r="52" spans="1:45" s="17" customFormat="1" ht="45">
      <c r="A52" s="937" t="s">
        <v>3034</v>
      </c>
      <c r="B52" s="1030" t="s">
        <v>3035</v>
      </c>
      <c r="C52" s="1144" t="s">
        <v>2541</v>
      </c>
      <c r="D52" s="940">
        <v>2202980</v>
      </c>
      <c r="E52" s="1065">
        <v>2202980</v>
      </c>
      <c r="F52" s="1067" t="s">
        <v>1949</v>
      </c>
      <c r="G52" s="1067" t="s">
        <v>2939</v>
      </c>
      <c r="H52" s="1067" t="s">
        <v>2578</v>
      </c>
      <c r="I52" s="1145" t="s">
        <v>2702</v>
      </c>
      <c r="J52" s="943" t="s">
        <v>2545</v>
      </c>
      <c r="K52" s="1146" t="s">
        <v>187</v>
      </c>
      <c r="L52" s="1176" t="s">
        <v>3036</v>
      </c>
      <c r="M52" s="1147" t="s">
        <v>3037</v>
      </c>
      <c r="N52" s="989">
        <v>45922</v>
      </c>
      <c r="O52" s="989">
        <v>45967</v>
      </c>
      <c r="P52" s="1148">
        <f>O52-N52</f>
        <v>45</v>
      </c>
      <c r="Q52" s="1149">
        <f ca="1">IF(N52="",0,TODAY()-N52)</f>
        <v>245</v>
      </c>
      <c r="R52" s="989">
        <v>45967</v>
      </c>
      <c r="S52" s="1150">
        <f>R52-N52</f>
        <v>45</v>
      </c>
      <c r="T52" s="952" t="str">
        <f>IF(F52="JK",IF(S52&lt;=45,"Belum Terlambat (JK)","Terlambat &gt; 45HK(JK)"),IF(F52="PK",IF(S52&lt;=35,"Belum Terlambat (PK)","Terlambat&gt;35(PK)")))</f>
        <v>Belum Terlambat (JK)</v>
      </c>
      <c r="U52" s="1151">
        <f ca="1">IF(F52="JK",45-Q52,35-Q52)</f>
        <v>-200</v>
      </c>
      <c r="V52" s="989">
        <v>45964</v>
      </c>
      <c r="W52" s="989">
        <v>45967</v>
      </c>
      <c r="X52" s="1152">
        <f ca="1">IF(V52="",0,TODAY()-V52)</f>
        <v>203</v>
      </c>
      <c r="Y52" s="1153">
        <f>W52-V52</f>
        <v>3</v>
      </c>
      <c r="Z52" s="1154"/>
      <c r="AA52" s="1155" t="s">
        <v>3038</v>
      </c>
      <c r="AB52" s="1175" t="s">
        <v>2932</v>
      </c>
      <c r="AC52" s="1045" t="str">
        <f>IF(AD52&lt;60,"Paket Tepat Waktu/kurang dari 60HK","Tidak Tepat Waktu")</f>
        <v>Paket Tepat Waktu/kurang dari 60HK</v>
      </c>
      <c r="AD52" s="1039">
        <f>S52</f>
        <v>45</v>
      </c>
      <c r="AE52" s="1174">
        <f>IF(F52="JK",60-AD52,45-AD52)</f>
        <v>15</v>
      </c>
      <c r="AF52" s="961" t="s">
        <v>2529</v>
      </c>
      <c r="AG52" s="1164" t="s">
        <v>3039</v>
      </c>
      <c r="AH52" s="1090"/>
      <c r="AI52" s="1160" t="s">
        <v>3040</v>
      </c>
      <c r="AJ52" s="1090"/>
      <c r="AK52" s="1090"/>
      <c r="AL52" s="1090"/>
      <c r="AM52" s="1091">
        <v>1771582.2</v>
      </c>
      <c r="AN52" s="963" t="s">
        <v>2557</v>
      </c>
      <c r="AO52" s="967">
        <f>AM52/E52*100</f>
        <v>80.417534430634859</v>
      </c>
      <c r="AP52" s="1143"/>
      <c r="AQ52" s="969" t="str">
        <f>IF(OR(AF52="Sudah Penetapan",AF52="Kontrak",AF52="BAHP",AF52="SPPBJ"),"SUDAH",IF(J52="03 Sudah Usul SIPBJ (Dok. dlm Reviu)","BELUM TAYANG",IF(AF52="PROSES","PROSES")))</f>
        <v>SUDAH</v>
      </c>
      <c r="AR52" s="974" t="s">
        <v>2575</v>
      </c>
      <c r="AS52" s="17" t="s">
        <v>3041</v>
      </c>
    </row>
    <row r="53" spans="1:45" s="17" customFormat="1" ht="45.75">
      <c r="A53" s="937" t="s">
        <v>3042</v>
      </c>
      <c r="B53" s="938" t="s">
        <v>3043</v>
      </c>
      <c r="C53" s="1144" t="s">
        <v>2541</v>
      </c>
      <c r="D53" s="940">
        <v>2396840</v>
      </c>
      <c r="E53" s="940">
        <v>2396840</v>
      </c>
      <c r="F53" s="1067" t="s">
        <v>1949</v>
      </c>
      <c r="G53" s="1067" t="s">
        <v>2939</v>
      </c>
      <c r="H53" s="1067" t="s">
        <v>2578</v>
      </c>
      <c r="I53" s="1145" t="s">
        <v>2702</v>
      </c>
      <c r="J53" s="943" t="s">
        <v>2545</v>
      </c>
      <c r="K53" s="1146" t="s">
        <v>2668</v>
      </c>
      <c r="L53" s="1176" t="s">
        <v>3044</v>
      </c>
      <c r="M53" s="1147" t="s">
        <v>3045</v>
      </c>
      <c r="N53" s="989">
        <v>45919</v>
      </c>
      <c r="O53" s="989">
        <v>45964</v>
      </c>
      <c r="P53" s="1148">
        <f>O53-N53</f>
        <v>45</v>
      </c>
      <c r="Q53" s="1149">
        <f ca="1">IF(N53="",0,TODAY()-N53)</f>
        <v>248</v>
      </c>
      <c r="R53" s="989">
        <v>45964</v>
      </c>
      <c r="S53" s="1150">
        <f>R53-N53</f>
        <v>45</v>
      </c>
      <c r="T53" s="952" t="str">
        <f>IF(F53="JK",IF(S53&lt;=45,"Belum Terlambat (JK)","Terlambat &gt; 45HK(JK)"),IF(F53="PK",IF(S53&lt;=35,"Belum Terlambat (PK)","Terlambat&gt;35(PK)")))</f>
        <v>Belum Terlambat (JK)</v>
      </c>
      <c r="U53" s="1151">
        <f ca="1">IF(F53="JK",45-Q53,35-Q53)</f>
        <v>-203</v>
      </c>
      <c r="V53" s="989">
        <v>45960</v>
      </c>
      <c r="W53" s="989">
        <v>45964</v>
      </c>
      <c r="X53" s="1152">
        <f ca="1">IF(V53="",0,TODAY()-V53)</f>
        <v>207</v>
      </c>
      <c r="Y53" s="1153">
        <f>W53-V53</f>
        <v>4</v>
      </c>
      <c r="Z53" s="1154"/>
      <c r="AA53" s="1155" t="s">
        <v>3046</v>
      </c>
      <c r="AB53" s="958" t="s">
        <v>2932</v>
      </c>
      <c r="AC53" s="1045" t="str">
        <f>IF(AD53&lt;60,"Paket Tepat Waktu/kurang dari 60HK","Tidak Tepat Waktu")</f>
        <v>Paket Tepat Waktu/kurang dari 60HK</v>
      </c>
      <c r="AD53" s="1039">
        <f>S53</f>
        <v>45</v>
      </c>
      <c r="AE53" s="1174">
        <f>IF(F53="JK",60-AD53,45-AD53)</f>
        <v>15</v>
      </c>
      <c r="AF53" s="1122" t="s">
        <v>2529</v>
      </c>
      <c r="AG53" s="1164" t="s">
        <v>3047</v>
      </c>
      <c r="AH53" s="1090"/>
      <c r="AI53" s="1160" t="s">
        <v>3048</v>
      </c>
      <c r="AJ53" s="976"/>
      <c r="AK53" s="976"/>
      <c r="AL53" s="976"/>
      <c r="AM53" s="965">
        <v>1918781.6310000001</v>
      </c>
      <c r="AN53" s="963" t="s">
        <v>2557</v>
      </c>
      <c r="AO53" s="967">
        <f>AM53/E53*100</f>
        <v>80.054639900869489</v>
      </c>
      <c r="AP53" s="973"/>
      <c r="AQ53" s="969" t="str">
        <f>IF(OR(AF53="Sudah Penetapan",AF53="Kontrak",AF53="BAHP",AF53="SPPBJ"),"SUDAH",IF(J53="03 Sudah Usul SIPBJ (Dok. dlm Reviu)","BELUM TAYANG",IF(AF53="PROSES","PROSES")))</f>
        <v>SUDAH</v>
      </c>
      <c r="AR53" s="974" t="s">
        <v>2575</v>
      </c>
    </row>
    <row r="54" spans="1:45" s="17" customFormat="1" ht="45.75">
      <c r="A54" s="937" t="s">
        <v>3049</v>
      </c>
      <c r="B54" s="938" t="s">
        <v>3050</v>
      </c>
      <c r="C54" s="1144" t="s">
        <v>2541</v>
      </c>
      <c r="D54" s="940">
        <v>2485651</v>
      </c>
      <c r="E54" s="1065">
        <v>2485651</v>
      </c>
      <c r="F54" s="1067" t="s">
        <v>1949</v>
      </c>
      <c r="G54" s="1067" t="s">
        <v>2939</v>
      </c>
      <c r="H54" s="1067" t="s">
        <v>2578</v>
      </c>
      <c r="I54" s="1145" t="s">
        <v>2702</v>
      </c>
      <c r="J54" s="943" t="s">
        <v>2545</v>
      </c>
      <c r="K54" s="1146" t="s">
        <v>3051</v>
      </c>
      <c r="L54" s="1176" t="s">
        <v>3052</v>
      </c>
      <c r="M54" s="1147" t="s">
        <v>3053</v>
      </c>
      <c r="N54" s="989">
        <v>45922</v>
      </c>
      <c r="O54" s="989">
        <v>45975</v>
      </c>
      <c r="P54" s="1148">
        <f>O54-N54</f>
        <v>53</v>
      </c>
      <c r="Q54" s="1149">
        <f ca="1">IF(N54="",0,TODAY()-N54)</f>
        <v>245</v>
      </c>
      <c r="R54" s="989">
        <v>45978</v>
      </c>
      <c r="S54" s="1150">
        <f>R54-N54</f>
        <v>56</v>
      </c>
      <c r="T54" s="952" t="str">
        <f>IF(F54="JK",IF(S54&lt;=45,"Belum Terlambat (JK)","Terlambat &gt; 45HK(JK)"),IF(F54="PK",IF(S54&lt;=35,"Belum Terlambat (PK)","Terlambat&gt;35(PK)")))</f>
        <v>Terlambat &gt; 45HK(JK)</v>
      </c>
      <c r="U54" s="1151">
        <f ca="1">IF(F54="JK",45-Q54,35-Q54)</f>
        <v>-200</v>
      </c>
      <c r="V54" s="989">
        <v>45971</v>
      </c>
      <c r="W54" s="989">
        <v>45978</v>
      </c>
      <c r="X54" s="1152">
        <f ca="1">IF(V54="",0,TODAY()-V54)</f>
        <v>196</v>
      </c>
      <c r="Y54" s="1153">
        <f>W54-V54</f>
        <v>7</v>
      </c>
      <c r="Z54" s="1154"/>
      <c r="AA54" s="1155" t="s">
        <v>3054</v>
      </c>
      <c r="AB54" s="1175" t="s">
        <v>2932</v>
      </c>
      <c r="AC54" s="1045" t="str">
        <f>IF(AD54&lt;60,"Paket Tepat Waktu/kurang dari 60HK","Tidak Tepat Waktu")</f>
        <v>Paket Tepat Waktu/kurang dari 60HK</v>
      </c>
      <c r="AD54" s="977">
        <f>S54</f>
        <v>56</v>
      </c>
      <c r="AE54" s="1174">
        <f>IF(F54="JK",60-AD54,45-AD54)</f>
        <v>4</v>
      </c>
      <c r="AF54" s="1122" t="s">
        <v>2529</v>
      </c>
      <c r="AG54" s="1164" t="s">
        <v>3055</v>
      </c>
      <c r="AH54" s="1090"/>
      <c r="AI54" s="1160" t="s">
        <v>3056</v>
      </c>
      <c r="AJ54" s="1090"/>
      <c r="AK54" s="1090"/>
      <c r="AL54" s="1140"/>
      <c r="AM54" s="1141">
        <v>1988510277</v>
      </c>
      <c r="AN54" s="1165" t="s">
        <v>2557</v>
      </c>
      <c r="AO54" s="967">
        <f>AM54/E54*100</f>
        <v>79999.576650141142</v>
      </c>
      <c r="AP54" s="1143"/>
      <c r="AQ54" s="969" t="str">
        <f>IF(OR(AF54="Sudah Penetapan",AF54="Kontrak",AF54="BAHP",AF54="SPPBJ"),"SUDAH",IF(J54="03 Sudah Usul SIPBJ (Dok. dlm Reviu)","BELUM TAYANG",IF(AF54="PROSES","PROSES")))</f>
        <v>SUDAH</v>
      </c>
      <c r="AR54" s="974" t="s">
        <v>2575</v>
      </c>
    </row>
    <row r="55" spans="1:45" s="17" customFormat="1" ht="45.75">
      <c r="A55" s="937" t="s">
        <v>3057</v>
      </c>
      <c r="B55" s="938" t="s">
        <v>3058</v>
      </c>
      <c r="C55" s="1173" t="s">
        <v>2541</v>
      </c>
      <c r="D55" s="940">
        <v>2944175</v>
      </c>
      <c r="E55" s="1065">
        <v>2944175</v>
      </c>
      <c r="F55" s="1067" t="s">
        <v>1949</v>
      </c>
      <c r="G55" s="1067" t="s">
        <v>2939</v>
      </c>
      <c r="H55" s="1067" t="s">
        <v>2578</v>
      </c>
      <c r="I55" s="1145" t="s">
        <v>2702</v>
      </c>
      <c r="J55" s="943" t="s">
        <v>2545</v>
      </c>
      <c r="K55" s="1146" t="s">
        <v>33</v>
      </c>
      <c r="L55" s="1176" t="s">
        <v>3059</v>
      </c>
      <c r="M55" s="1176" t="s">
        <v>3060</v>
      </c>
      <c r="N55" s="989">
        <v>45922</v>
      </c>
      <c r="O55" s="989">
        <v>45967</v>
      </c>
      <c r="P55" s="1148">
        <f>O55-N55</f>
        <v>45</v>
      </c>
      <c r="Q55" s="1149">
        <f ca="1">IF(N55="",0,TODAY()-N55)</f>
        <v>245</v>
      </c>
      <c r="R55" s="989">
        <v>45967</v>
      </c>
      <c r="S55" s="1150">
        <f>R55-N55</f>
        <v>45</v>
      </c>
      <c r="T55" s="952" t="str">
        <f>IF(F55="JK",IF(S55&lt;=45,"Belum Terlambat (JK)","Terlambat &gt; 45HK(JK)"),IF(F55="PK",IF(S55&lt;=35,"Belum Terlambat (PK)","Terlambat&gt;35(PK)")))</f>
        <v>Belum Terlambat (JK)</v>
      </c>
      <c r="U55" s="1151">
        <f ca="1">IF(F55="JK",45-Q55,35-Q55)</f>
        <v>-200</v>
      </c>
      <c r="V55" s="989">
        <v>45960</v>
      </c>
      <c r="W55" s="989">
        <v>45967</v>
      </c>
      <c r="X55" s="1152">
        <f ca="1">IF(V55="",0,TODAY()-V55)</f>
        <v>207</v>
      </c>
      <c r="Y55" s="1153">
        <f>W55-V55</f>
        <v>7</v>
      </c>
      <c r="Z55" s="1154"/>
      <c r="AA55" s="1155" t="s">
        <v>3061</v>
      </c>
      <c r="AB55" s="1175" t="s">
        <v>3062</v>
      </c>
      <c r="AC55" s="1045" t="str">
        <f>IF(AD55&lt;60,"Paket Tepat Waktu/kurang dari 60HK","Tidak Tepat Waktu")</f>
        <v>Paket Tepat Waktu/kurang dari 60HK</v>
      </c>
      <c r="AD55" s="1039">
        <f>S55</f>
        <v>45</v>
      </c>
      <c r="AE55" s="1174">
        <f>IF(F55="JK",60-AD55,45-AD55)</f>
        <v>15</v>
      </c>
      <c r="AF55" s="1122" t="s">
        <v>2529</v>
      </c>
      <c r="AG55" s="1164" t="s">
        <v>3063</v>
      </c>
      <c r="AH55" s="1090"/>
      <c r="AI55" s="1160" t="s">
        <v>3064</v>
      </c>
      <c r="AJ55" s="1090" t="s">
        <v>3065</v>
      </c>
      <c r="AK55" s="1177" t="s">
        <v>3066</v>
      </c>
      <c r="AL55" s="985" t="s">
        <v>3067</v>
      </c>
      <c r="AM55" s="965">
        <v>2323063.5</v>
      </c>
      <c r="AN55" s="963" t="s">
        <v>2573</v>
      </c>
      <c r="AO55" s="1178">
        <f>AM55/E55*100</f>
        <v>78.903716660864248</v>
      </c>
      <c r="AP55" s="1179" t="s">
        <v>3068</v>
      </c>
      <c r="AQ55" s="969" t="str">
        <f>IF(OR(AF55="Sudah Penetapan",AF55="Kontrak",AF55="BAHP",AF55="SPPBJ"),"SUDAH",IF(J55="03 Sudah Usul SIPBJ (Dok. dlm Reviu)","BELUM TAYANG",IF(AF55="PROSES","PROSES")))</f>
        <v>SUDAH</v>
      </c>
      <c r="AR55" s="974" t="s">
        <v>2575</v>
      </c>
    </row>
    <row r="56" spans="1:45" s="17" customFormat="1" ht="45">
      <c r="A56" s="937" t="s">
        <v>3069</v>
      </c>
      <c r="B56" s="1063" t="s">
        <v>3070</v>
      </c>
      <c r="C56" s="1144" t="s">
        <v>2541</v>
      </c>
      <c r="D56" s="940">
        <v>1200000</v>
      </c>
      <c r="E56" s="1065">
        <v>1196740</v>
      </c>
      <c r="F56" s="1067" t="s">
        <v>1949</v>
      </c>
      <c r="G56" s="1067" t="s">
        <v>2542</v>
      </c>
      <c r="H56" s="1067" t="s">
        <v>2543</v>
      </c>
      <c r="I56" s="1145" t="s">
        <v>2702</v>
      </c>
      <c r="J56" s="943" t="s">
        <v>2545</v>
      </c>
      <c r="K56" s="1146" t="s">
        <v>2579</v>
      </c>
      <c r="L56" s="1176" t="s">
        <v>3071</v>
      </c>
      <c r="M56" s="1176" t="s">
        <v>3072</v>
      </c>
      <c r="N56" s="1180">
        <v>45918</v>
      </c>
      <c r="O56" s="1180">
        <v>45933</v>
      </c>
      <c r="P56" s="1181">
        <f>O56-N56</f>
        <v>15</v>
      </c>
      <c r="Q56" s="1149">
        <f ca="1">IF(N56="",0,TODAY()-N56)</f>
        <v>249</v>
      </c>
      <c r="R56" s="947">
        <v>45933</v>
      </c>
      <c r="S56" s="1150">
        <f>R56-N56</f>
        <v>15</v>
      </c>
      <c r="T56" s="952" t="str">
        <f>IF(F56="JK",IF(S56&lt;=45,"Belum Terlambat (JK)","Terlambat &gt; 45HK(JK)"),IF(F56="PK",IF(S56&lt;=35,"Belum Terlambat (PK)","Terlambat&gt;35(PK)")))</f>
        <v>Belum Terlambat (JK)</v>
      </c>
      <c r="U56" s="1151">
        <f ca="1">IF(F56="JK",45-Q56,35-Q56)</f>
        <v>-204</v>
      </c>
      <c r="V56" s="1180">
        <v>45925</v>
      </c>
      <c r="W56" s="1180">
        <v>45932</v>
      </c>
      <c r="X56" s="955">
        <f ca="1">IF(V56="",0,TODAY()-V56)</f>
        <v>242</v>
      </c>
      <c r="Y56" s="1057">
        <f>W56-V56</f>
        <v>7</v>
      </c>
      <c r="Z56" s="1154"/>
      <c r="AA56" s="1155" t="s">
        <v>3073</v>
      </c>
      <c r="AB56" s="1175" t="s">
        <v>2706</v>
      </c>
      <c r="AC56" s="1045" t="str">
        <f>IF(AD56&lt;60,"Paket Tepat Waktu/kurang dari 60HK","Tidak Tepat Waktu")</f>
        <v>Paket Tepat Waktu/kurang dari 60HK</v>
      </c>
      <c r="AD56" s="977">
        <f>S56</f>
        <v>15</v>
      </c>
      <c r="AE56" s="1174">
        <f>IF(F56="JK",60-AD56,45-AD56)</f>
        <v>45</v>
      </c>
      <c r="AF56" s="1122" t="s">
        <v>2529</v>
      </c>
      <c r="AG56" s="1164" t="s">
        <v>2739</v>
      </c>
      <c r="AH56" s="1090"/>
      <c r="AI56" s="1160" t="s">
        <v>2741</v>
      </c>
      <c r="AJ56" s="1090" t="s">
        <v>2742</v>
      </c>
      <c r="AK56" s="1177" t="s">
        <v>3074</v>
      </c>
      <c r="AL56" s="976"/>
      <c r="AM56" s="965">
        <v>1144423.32</v>
      </c>
      <c r="AN56" s="963" t="s">
        <v>2573</v>
      </c>
      <c r="AO56" s="1178">
        <f>AM56/E56*100</f>
        <v>95.62840048799238</v>
      </c>
      <c r="AP56" s="1179" t="s">
        <v>2573</v>
      </c>
      <c r="AQ56" s="969" t="str">
        <f>IF(OR(AF56="Sudah Penetapan",AF56="Kontrak",AF56="BAHP",AF56="SPPBJ"),"SUDAH",IF(J56="03 Sudah Usul SIPBJ (Dok. dlm Reviu)","BELUM TAYANG",IF(AF56="PROSES","PROSES")))</f>
        <v>SUDAH</v>
      </c>
      <c r="AR56" s="974" t="s">
        <v>2558</v>
      </c>
    </row>
    <row r="57" spans="1:45" s="17" customFormat="1" ht="45">
      <c r="A57" s="937" t="s">
        <v>3075</v>
      </c>
      <c r="B57" s="1063" t="s">
        <v>3076</v>
      </c>
      <c r="C57" s="1144" t="s">
        <v>2541</v>
      </c>
      <c r="D57" s="940">
        <v>3094106</v>
      </c>
      <c r="E57" s="1065">
        <v>3094106</v>
      </c>
      <c r="F57" s="1067" t="s">
        <v>1949</v>
      </c>
      <c r="G57" s="1067" t="s">
        <v>2542</v>
      </c>
      <c r="H57" s="1067" t="s">
        <v>2543</v>
      </c>
      <c r="I57" s="1145" t="s">
        <v>2702</v>
      </c>
      <c r="J57" s="943" t="s">
        <v>2545</v>
      </c>
      <c r="K57" s="982" t="s">
        <v>2659</v>
      </c>
      <c r="L57" s="1176" t="s">
        <v>3077</v>
      </c>
      <c r="M57" s="1176" t="s">
        <v>3078</v>
      </c>
      <c r="N57" s="1182">
        <v>45919</v>
      </c>
      <c r="O57" s="1182">
        <v>45936</v>
      </c>
      <c r="P57" s="1183">
        <f>O57-N57</f>
        <v>17</v>
      </c>
      <c r="Q57" s="1184">
        <f ca="1">IF(N57="",0,TODAY()-N57)</f>
        <v>248</v>
      </c>
      <c r="R57" s="947">
        <v>45936</v>
      </c>
      <c r="S57" s="1150">
        <f>R57-N57</f>
        <v>17</v>
      </c>
      <c r="T57" s="952" t="str">
        <f>IF(F57="JK",IF(S57&lt;=45,"Belum Terlambat (JK)","Terlambat &gt; 45HK(JK)"),IF(F57="PK",IF(S57&lt;=35,"Belum Terlambat (PK)","Terlambat&gt;35(PK)")))</f>
        <v>Belum Terlambat (JK)</v>
      </c>
      <c r="U57" s="1185">
        <f ca="1">IF(F57="JK",45-Q57,35-Q57)</f>
        <v>-203</v>
      </c>
      <c r="V57" s="1182">
        <v>45926</v>
      </c>
      <c r="W57" s="1182">
        <v>45936</v>
      </c>
      <c r="X57" s="1037">
        <f ca="1">IF(V57="",0,TODAY()-V57)</f>
        <v>241</v>
      </c>
      <c r="Y57" s="1186">
        <f>W57-V57</f>
        <v>10</v>
      </c>
      <c r="Z57" s="1187"/>
      <c r="AA57" s="1155" t="s">
        <v>3079</v>
      </c>
      <c r="AB57" s="1175" t="s">
        <v>2706</v>
      </c>
      <c r="AC57" s="1188" t="str">
        <f>IF(AD57&lt;60,"Paket Tepat Waktu/kurang dari 60HK","Tidak Tepat Waktu")</f>
        <v>Paket Tepat Waktu/kurang dari 60HK</v>
      </c>
      <c r="AD57" s="977">
        <f>S57</f>
        <v>17</v>
      </c>
      <c r="AE57" s="1189">
        <f>IF(F57="JK",60-AD57,45-AD57)</f>
        <v>43</v>
      </c>
      <c r="AF57" s="1122" t="s">
        <v>2529</v>
      </c>
      <c r="AG57" s="1164" t="s">
        <v>3080</v>
      </c>
      <c r="AH57" s="1090"/>
      <c r="AI57" s="1160" t="s">
        <v>3081</v>
      </c>
      <c r="AJ57" s="1090"/>
      <c r="AK57" s="1190"/>
      <c r="AL57" s="976"/>
      <c r="AM57" s="965">
        <v>2972251.662</v>
      </c>
      <c r="AN57" s="963" t="s">
        <v>2557</v>
      </c>
      <c r="AO57" s="1178">
        <f>AM57/E57*100</f>
        <v>96.061727103079207</v>
      </c>
      <c r="AP57" s="1179" t="s">
        <v>2557</v>
      </c>
      <c r="AQ57" s="969" t="str">
        <f>IF(OR(AF57="Sudah Penetapan",AF57="Kontrak",AF57="BAHP",AF57="SPPBJ"),"SUDAH",IF(J57="03 Sudah Usul SIPBJ (Dok. dlm Reviu)","BELUM TAYANG",IF(AF57="PROSES","PROSES")))</f>
        <v>SUDAH</v>
      </c>
      <c r="AR57" s="974" t="s">
        <v>2558</v>
      </c>
    </row>
    <row r="58" spans="1:45" s="17" customFormat="1" ht="60">
      <c r="A58" s="937" t="s">
        <v>3082</v>
      </c>
      <c r="B58" s="1063" t="s">
        <v>3083</v>
      </c>
      <c r="C58" s="1144" t="s">
        <v>2541</v>
      </c>
      <c r="D58" s="940">
        <v>1955656</v>
      </c>
      <c r="E58" s="1065">
        <v>1947948</v>
      </c>
      <c r="F58" s="1067" t="s">
        <v>1949</v>
      </c>
      <c r="G58" s="1067" t="s">
        <v>2542</v>
      </c>
      <c r="H58" s="1067" t="s">
        <v>2543</v>
      </c>
      <c r="I58" s="1145" t="s">
        <v>2702</v>
      </c>
      <c r="J58" s="943" t="s">
        <v>2545</v>
      </c>
      <c r="K58" s="1146" t="s">
        <v>2668</v>
      </c>
      <c r="L58" s="1176" t="s">
        <v>3084</v>
      </c>
      <c r="M58" s="1191" t="s">
        <v>3085</v>
      </c>
      <c r="N58" s="1180">
        <v>45919</v>
      </c>
      <c r="O58" s="1180">
        <v>45933</v>
      </c>
      <c r="P58" s="1192">
        <f>O58-N58</f>
        <v>14</v>
      </c>
      <c r="Q58" s="1193">
        <f ca="1">IF(N58="",0,TODAY()-N58)</f>
        <v>248</v>
      </c>
      <c r="R58" s="947">
        <v>45933</v>
      </c>
      <c r="S58" s="1150">
        <f>R58-N58</f>
        <v>14</v>
      </c>
      <c r="T58" s="952" t="str">
        <f>IF(F58="JK",IF(S58&lt;=45,"Belum Terlambat (JK)","Terlambat &gt; 45HK(JK)"),IF(F58="PK",IF(S58&lt;=35,"Belum Terlambat (PK)","Terlambat&gt;35(PK)")))</f>
        <v>Belum Terlambat (JK)</v>
      </c>
      <c r="U58" s="1137">
        <f ca="1">IF(F58="JK",45-Q58,35-Q58)</f>
        <v>-203</v>
      </c>
      <c r="V58" s="1180">
        <v>45926</v>
      </c>
      <c r="W58" s="1180">
        <v>45933</v>
      </c>
      <c r="X58" s="955">
        <f ca="1">IF(V58="",0,TODAY()-V58)</f>
        <v>241</v>
      </c>
      <c r="Y58" s="1057">
        <f>W58-V58</f>
        <v>7</v>
      </c>
      <c r="Z58" s="1057"/>
      <c r="AA58" s="1155" t="s">
        <v>3086</v>
      </c>
      <c r="AB58" s="1175" t="s">
        <v>2706</v>
      </c>
      <c r="AC58" s="1045" t="str">
        <f>IF(AD58&lt;60,"Paket Tepat Waktu/kurang dari 60HK","Tidak Tepat Waktu")</f>
        <v>Paket Tepat Waktu/kurang dari 60HK</v>
      </c>
      <c r="AD58" s="977">
        <f>S58</f>
        <v>14</v>
      </c>
      <c r="AE58" s="1174">
        <f>IF(F58="JK",60-AD58,45-AD58)</f>
        <v>46</v>
      </c>
      <c r="AF58" s="961" t="s">
        <v>2529</v>
      </c>
      <c r="AG58" s="1164" t="s">
        <v>3087</v>
      </c>
      <c r="AH58" s="1090"/>
      <c r="AI58" s="1160" t="s">
        <v>3088</v>
      </c>
      <c r="AJ58" s="1090" t="s">
        <v>3089</v>
      </c>
      <c r="AK58" s="1177" t="s">
        <v>3090</v>
      </c>
      <c r="AL58" s="976" t="s">
        <v>3091</v>
      </c>
      <c r="AM58" s="965">
        <v>1938470.7</v>
      </c>
      <c r="AN58" s="963" t="s">
        <v>2557</v>
      </c>
      <c r="AO58" s="1178">
        <f>AM58/E58*100</f>
        <v>99.513472638900012</v>
      </c>
      <c r="AP58" s="1179" t="s">
        <v>2557</v>
      </c>
      <c r="AQ58" s="969" t="str">
        <f>IF(OR(AF58="Sudah Penetapan",AF58="Kontrak",AF58="BAHP",AF58="SPPBJ"),"SUDAH",IF(J58="03 Sudah Usul SIPBJ (Dok. dlm Reviu)","BELUM TAYANG",IF(AF58="PROSES","PROSES")))</f>
        <v>SUDAH</v>
      </c>
      <c r="AR58" s="974" t="s">
        <v>2558</v>
      </c>
    </row>
    <row r="59" spans="1:45" s="17" customFormat="1" ht="60">
      <c r="A59" s="937" t="s">
        <v>3092</v>
      </c>
      <c r="B59" s="1063" t="s">
        <v>3093</v>
      </c>
      <c r="C59" s="1144" t="s">
        <v>2541</v>
      </c>
      <c r="D59" s="940">
        <v>7332633</v>
      </c>
      <c r="E59" s="1065">
        <v>7332633</v>
      </c>
      <c r="F59" s="1067" t="s">
        <v>1949</v>
      </c>
      <c r="G59" s="1067" t="s">
        <v>2542</v>
      </c>
      <c r="H59" s="1067" t="s">
        <v>2543</v>
      </c>
      <c r="I59" s="1145" t="s">
        <v>2621</v>
      </c>
      <c r="J59" s="943" t="s">
        <v>2545</v>
      </c>
      <c r="K59" s="982" t="s">
        <v>2563</v>
      </c>
      <c r="L59" s="1176" t="s">
        <v>3094</v>
      </c>
      <c r="M59" s="1147" t="s">
        <v>3095</v>
      </c>
      <c r="N59" s="1180">
        <v>45919</v>
      </c>
      <c r="O59" s="1180">
        <v>45933</v>
      </c>
      <c r="P59" s="1192">
        <f>O59-N59</f>
        <v>14</v>
      </c>
      <c r="Q59" s="1193">
        <f ca="1">IF(N59="",0,TODAY()-N59)</f>
        <v>248</v>
      </c>
      <c r="R59" s="947">
        <v>45933</v>
      </c>
      <c r="S59" s="1150">
        <f>R59-N59</f>
        <v>14</v>
      </c>
      <c r="T59" s="952" t="str">
        <f>IF(F59="JK",IF(S59&lt;=45,"Belum Terlambat (JK)","Terlambat &gt; 45HK(JK)"),IF(F59="PK",IF(S59&lt;=35,"Belum Terlambat (PK)","Terlambat&gt;35(PK)")))</f>
        <v>Belum Terlambat (JK)</v>
      </c>
      <c r="U59" s="1137">
        <f ca="1">IF(F59="JK",45-Q59,35-Q59)</f>
        <v>-203</v>
      </c>
      <c r="V59" s="1180">
        <v>45926</v>
      </c>
      <c r="W59" s="1180">
        <v>45933</v>
      </c>
      <c r="X59" s="955">
        <f ca="1">IF(V59="",0,TODAY()-V59)</f>
        <v>241</v>
      </c>
      <c r="Y59" s="1057">
        <f>W59-V59</f>
        <v>7</v>
      </c>
      <c r="Z59" s="1057"/>
      <c r="AA59" s="1155" t="s">
        <v>3096</v>
      </c>
      <c r="AB59" s="1175" t="s">
        <v>2706</v>
      </c>
      <c r="AC59" s="1045" t="str">
        <f>IF(AD59&lt;60,"Paket Tepat Waktu/kurang dari 60HK","Tidak Tepat Waktu")</f>
        <v>Paket Tepat Waktu/kurang dari 60HK</v>
      </c>
      <c r="AD59" s="977">
        <f>S59</f>
        <v>14</v>
      </c>
      <c r="AE59" s="1174">
        <f>IF(F59="JK",60-AD59,45-AD59)</f>
        <v>46</v>
      </c>
      <c r="AF59" s="961" t="s">
        <v>2529</v>
      </c>
      <c r="AG59" s="1164" t="s">
        <v>2870</v>
      </c>
      <c r="AH59" s="1090"/>
      <c r="AI59" s="1160" t="s">
        <v>3097</v>
      </c>
      <c r="AJ59" s="1090" t="s">
        <v>2872</v>
      </c>
      <c r="AK59" s="1090" t="s">
        <v>2873</v>
      </c>
      <c r="AL59" s="1090" t="s">
        <v>2874</v>
      </c>
      <c r="AM59" s="1194">
        <v>7244403.9000000004</v>
      </c>
      <c r="AN59" s="1160" t="s">
        <v>2557</v>
      </c>
      <c r="AO59" s="1195">
        <f>AM59/E59*100</f>
        <v>98.796760999766391</v>
      </c>
      <c r="AP59" s="1196" t="s">
        <v>2557</v>
      </c>
      <c r="AQ59" s="1197" t="str">
        <f>IF(OR(AF59="Sudah Penetapan",AF59="Kontrak",AF59="BAHP",AF59="SPPBJ"),"SUDAH",IF(J59="03 Sudah Usul SIPBJ (Dok. dlm Reviu)","BELUM TAYANG",IF(AF59="PROSES","PROSES")))</f>
        <v>SUDAH</v>
      </c>
      <c r="AR59" s="974" t="s">
        <v>2558</v>
      </c>
    </row>
    <row r="60" spans="1:45" s="17" customFormat="1" ht="60">
      <c r="A60" s="937" t="s">
        <v>3098</v>
      </c>
      <c r="B60" s="1063" t="s">
        <v>3099</v>
      </c>
      <c r="C60" s="1144" t="s">
        <v>2541</v>
      </c>
      <c r="D60" s="940">
        <v>1955656</v>
      </c>
      <c r="E60" s="1065">
        <v>1947948</v>
      </c>
      <c r="F60" s="1067" t="s">
        <v>1949</v>
      </c>
      <c r="G60" s="1067" t="s">
        <v>2542</v>
      </c>
      <c r="H60" s="1067" t="s">
        <v>2543</v>
      </c>
      <c r="I60" s="1145" t="s">
        <v>2702</v>
      </c>
      <c r="J60" s="943" t="s">
        <v>2545</v>
      </c>
      <c r="K60" s="1146" t="s">
        <v>38</v>
      </c>
      <c r="L60" s="1176" t="s">
        <v>3084</v>
      </c>
      <c r="M60" s="1176" t="s">
        <v>3100</v>
      </c>
      <c r="N60" s="1180">
        <v>45918</v>
      </c>
      <c r="O60" s="1180">
        <v>45933</v>
      </c>
      <c r="P60" s="1181">
        <f>O60-N60</f>
        <v>15</v>
      </c>
      <c r="Q60" s="1198">
        <f ca="1">IF(N60="",0,TODAY()-N60)</f>
        <v>249</v>
      </c>
      <c r="R60" s="947">
        <v>45933</v>
      </c>
      <c r="S60" s="1150">
        <f>R60-N60</f>
        <v>15</v>
      </c>
      <c r="T60" s="952" t="str">
        <f>IF(F60="JK",IF(S60&lt;=45,"Belum Terlambat (JK)","Terlambat &gt; 45HK(JK)"),IF(F60="PK",IF(S60&lt;=35,"Belum Terlambat (PK)","Terlambat&gt;35(PK)")))</f>
        <v>Belum Terlambat (JK)</v>
      </c>
      <c r="U60" s="1151">
        <f ca="1">IF(F60="JK",45-Q60,35-Q60)</f>
        <v>-204</v>
      </c>
      <c r="V60" s="1180">
        <v>45925</v>
      </c>
      <c r="W60" s="1180">
        <v>45933</v>
      </c>
      <c r="X60" s="955">
        <f ca="1">IF(V60="",0,TODAY()-V60)</f>
        <v>242</v>
      </c>
      <c r="Y60" s="1057">
        <f>W60-V60</f>
        <v>8</v>
      </c>
      <c r="Z60" s="1154"/>
      <c r="AA60" s="1155" t="s">
        <v>3101</v>
      </c>
      <c r="AB60" s="1175" t="s">
        <v>2706</v>
      </c>
      <c r="AC60" s="1045" t="str">
        <f>IF(AD60&lt;60,"Paket Tepat Waktu/kurang dari 60HK","Tidak Tepat Waktu")</f>
        <v>Paket Tepat Waktu/kurang dari 60HK</v>
      </c>
      <c r="AD60" s="977">
        <f>S60</f>
        <v>15</v>
      </c>
      <c r="AE60" s="1174">
        <f>IF(F60="JK",60-AD60,45-AD60)</f>
        <v>45</v>
      </c>
      <c r="AF60" s="961" t="s">
        <v>2529</v>
      </c>
      <c r="AG60" s="1164" t="s">
        <v>2707</v>
      </c>
      <c r="AH60" s="1090"/>
      <c r="AI60" s="1160" t="s">
        <v>2709</v>
      </c>
      <c r="AJ60" s="1090"/>
      <c r="AK60" s="1090"/>
      <c r="AL60" s="1090"/>
      <c r="AM60" s="1199">
        <v>1859250</v>
      </c>
      <c r="AN60" s="1062" t="s">
        <v>2573</v>
      </c>
      <c r="AO60" s="1200">
        <f>AM60/E60*100</f>
        <v>95.446593030204099</v>
      </c>
      <c r="AP60" s="1196" t="s">
        <v>2573</v>
      </c>
      <c r="AQ60" s="1197" t="str">
        <f>IF(OR(AF60="Sudah Penetapan",AF60="Kontrak",AF60="BAHP",AF60="SPPBJ"),"SUDAH",IF(J60="03 Sudah Usul SIPBJ (Dok. dlm Reviu)","BELUM TAYANG",IF(AF60="PROSES","PROSES")))</f>
        <v>SUDAH</v>
      </c>
      <c r="AR60" s="974" t="s">
        <v>2558</v>
      </c>
    </row>
    <row r="61" spans="1:45" s="17" customFormat="1" ht="42.75">
      <c r="A61" s="937" t="s">
        <v>3102</v>
      </c>
      <c r="B61" s="1063" t="s">
        <v>3103</v>
      </c>
      <c r="C61" s="1144" t="s">
        <v>2541</v>
      </c>
      <c r="D61" s="940">
        <v>2202980</v>
      </c>
      <c r="E61" s="1065">
        <v>2202980</v>
      </c>
      <c r="F61" s="1067" t="s">
        <v>1949</v>
      </c>
      <c r="G61" s="1067" t="s">
        <v>2939</v>
      </c>
      <c r="H61" s="1067" t="s">
        <v>2578</v>
      </c>
      <c r="I61" s="1145" t="s">
        <v>2702</v>
      </c>
      <c r="J61" s="943" t="s">
        <v>2545</v>
      </c>
      <c r="K61" s="1146" t="s">
        <v>10</v>
      </c>
      <c r="L61" s="1176" t="s">
        <v>3094</v>
      </c>
      <c r="M61" s="1176" t="s">
        <v>3104</v>
      </c>
      <c r="N61" s="1074">
        <v>45922</v>
      </c>
      <c r="O61" s="1074">
        <v>45967</v>
      </c>
      <c r="P61" s="1201">
        <f>O61-N61</f>
        <v>45</v>
      </c>
      <c r="Q61" s="1184">
        <f ca="1">IF(N61="",0,TODAY()-N61)</f>
        <v>245</v>
      </c>
      <c r="R61" s="1074">
        <v>45967</v>
      </c>
      <c r="S61" s="1150">
        <f>R61-N61</f>
        <v>45</v>
      </c>
      <c r="T61" s="952" t="str">
        <f>IF(F61="JK",IF(S61&lt;=45,"Belum Terlambat (JK)","Terlambat &gt; 45HK(JK)"),IF(F61="PK",IF(S61&lt;=35,"Belum Terlambat (PK)","Terlambat&gt;35(PK)")))</f>
        <v>Belum Terlambat (JK)</v>
      </c>
      <c r="U61" s="1184">
        <f ca="1">IF(F61="JK",45-Q61,35-Q61)</f>
        <v>-200</v>
      </c>
      <c r="V61" s="1074">
        <v>45960</v>
      </c>
      <c r="W61" s="1074">
        <v>45967</v>
      </c>
      <c r="X61" s="1202">
        <f ca="1">IF(V61="",0,TODAY()-V61)</f>
        <v>207</v>
      </c>
      <c r="Y61" s="1203">
        <f>W61-V61</f>
        <v>7</v>
      </c>
      <c r="Z61" s="1154"/>
      <c r="AA61" s="1155" t="s">
        <v>3105</v>
      </c>
      <c r="AB61" s="1175" t="s">
        <v>2932</v>
      </c>
      <c r="AC61" s="1045" t="str">
        <f>IF(AD61&lt;60,"Paket Tepat Waktu/kurang dari 60HK","Tidak Tepat Waktu")</f>
        <v>Paket Tepat Waktu/kurang dari 60HK</v>
      </c>
      <c r="AD61" s="977">
        <f>S61</f>
        <v>45</v>
      </c>
      <c r="AE61" s="1174">
        <f>IF(F61="JK",60-AD61,45-AD61)</f>
        <v>15</v>
      </c>
      <c r="AF61" s="961" t="s">
        <v>2529</v>
      </c>
      <c r="AG61" s="1164" t="s">
        <v>3106</v>
      </c>
      <c r="AH61" s="1090"/>
      <c r="AI61" s="1160" t="s">
        <v>3107</v>
      </c>
      <c r="AJ61" s="1090"/>
      <c r="AK61" s="1090"/>
      <c r="AL61" s="1090"/>
      <c r="AM61" s="1194">
        <v>1822680.4950000001</v>
      </c>
      <c r="AN61" s="963" t="s">
        <v>2557</v>
      </c>
      <c r="AO61" s="1200">
        <f>AM61/E61*100</f>
        <v>82.737042324487746</v>
      </c>
      <c r="AP61" s="1204">
        <v>45965</v>
      </c>
      <c r="AQ61" s="1197" t="str">
        <f>IF(OR(AF61="Sudah Penetapan",AF61="Kontrak",AF61="BAHP",AF61="SPPBJ"),"SUDAH",IF(J61="03 Sudah Usul SIPBJ (Dok. dlm Reviu)","BELUM TAYANG",IF(AF61="PROSES","PROSES")))</f>
        <v>SUDAH</v>
      </c>
      <c r="AR61" s="974" t="s">
        <v>2575</v>
      </c>
    </row>
    <row r="62" spans="1:45" s="17" customFormat="1" ht="61.5">
      <c r="A62" s="937" t="s">
        <v>3108</v>
      </c>
      <c r="B62" s="1063" t="s">
        <v>3109</v>
      </c>
      <c r="C62" s="1205" t="s">
        <v>2633</v>
      </c>
      <c r="D62" s="1032">
        <v>2400000</v>
      </c>
      <c r="E62" s="1032">
        <v>2400000</v>
      </c>
      <c r="F62" s="1206" t="s">
        <v>1949</v>
      </c>
      <c r="G62" s="1067" t="s">
        <v>2939</v>
      </c>
      <c r="H62" s="1067" t="s">
        <v>2578</v>
      </c>
      <c r="I62" s="1000" t="s">
        <v>2634</v>
      </c>
      <c r="J62" s="943" t="s">
        <v>2545</v>
      </c>
      <c r="K62" s="1207" t="s">
        <v>2546</v>
      </c>
      <c r="L62" s="1208" t="s">
        <v>3110</v>
      </c>
      <c r="M62" s="1209" t="s">
        <v>2997</v>
      </c>
      <c r="N62" s="947">
        <v>45925</v>
      </c>
      <c r="O62" s="947">
        <v>45968</v>
      </c>
      <c r="P62" s="1134">
        <f>O62-N62</f>
        <v>43</v>
      </c>
      <c r="Q62" s="1135">
        <f ca="1">IF(N62="",0,TODAY()-N62)</f>
        <v>242</v>
      </c>
      <c r="R62" s="947">
        <v>45968</v>
      </c>
      <c r="S62" s="1150">
        <f>R62-N62</f>
        <v>43</v>
      </c>
      <c r="T62" s="952" t="str">
        <f>IF(F62="JK",IF(S62&lt;=45,"Belum Terlambat (JK)","Terlambat &gt; 45HK(JK)"),IF(F62="PK",IF(S62&lt;=35,"Belum Terlambat (PK)","Terlambat&gt;35(PK)")))</f>
        <v>Belum Terlambat (JK)</v>
      </c>
      <c r="U62" s="1135">
        <f ca="1">IF(F62="JK",45-Q62,35-Q62)</f>
        <v>-197</v>
      </c>
      <c r="V62" s="947">
        <v>45964</v>
      </c>
      <c r="W62" s="947">
        <v>45968</v>
      </c>
      <c r="X62" s="955">
        <f ca="1">IF(V62="",0,TODAY()-V62)</f>
        <v>203</v>
      </c>
      <c r="Y62" s="1057">
        <f>W62-V62</f>
        <v>4</v>
      </c>
      <c r="Z62" s="1187"/>
      <c r="AA62" s="1155" t="s">
        <v>3111</v>
      </c>
      <c r="AB62" s="1210" t="s">
        <v>2932</v>
      </c>
      <c r="AC62" s="1188" t="str">
        <f>IF(AD62&lt;60,"Paket Tepat Waktu/kurang dari 60HK","Tidak Tepat Waktu")</f>
        <v>Paket Tepat Waktu/kurang dari 60HK</v>
      </c>
      <c r="AD62" s="977">
        <f>S62</f>
        <v>43</v>
      </c>
      <c r="AE62" s="1174">
        <f>IF(F62="JK",60-AD62,45-AD62)</f>
        <v>17</v>
      </c>
      <c r="AF62" s="961" t="s">
        <v>2529</v>
      </c>
      <c r="AG62" s="1139" t="s">
        <v>3112</v>
      </c>
      <c r="AH62" s="1140"/>
      <c r="AI62" s="1142" t="s">
        <v>3113</v>
      </c>
      <c r="AJ62" s="1140" t="s">
        <v>3114</v>
      </c>
      <c r="AK62" s="1140" t="s">
        <v>3115</v>
      </c>
      <c r="AL62" s="1140" t="s">
        <v>3116</v>
      </c>
      <c r="AM62" s="1141">
        <v>1914603.9240000001</v>
      </c>
      <c r="AN62" s="1165" t="s">
        <v>2557</v>
      </c>
      <c r="AO62" s="967">
        <f>AM62/E62*100</f>
        <v>79.775163500000005</v>
      </c>
      <c r="AP62" s="1196" t="s">
        <v>3117</v>
      </c>
      <c r="AQ62" s="1197" t="str">
        <f>IF(OR(AF62="Sudah Penetapan",AF62="Kontrak",AF62="BAHP",AF62="SPPBJ"),"SUDAH",IF(J62="03 Sudah Usul SIPBJ (Dok. dlm Reviu)","BELUM TAYANG",IF(AF62="PROSES","PROSES")))</f>
        <v>SUDAH</v>
      </c>
      <c r="AR62" s="974" t="s">
        <v>2575</v>
      </c>
    </row>
    <row r="63" spans="1:45" s="17" customFormat="1" ht="61.5">
      <c r="A63" s="937" t="s">
        <v>3118</v>
      </c>
      <c r="B63" s="1063" t="s">
        <v>3119</v>
      </c>
      <c r="C63" s="945" t="s">
        <v>2561</v>
      </c>
      <c r="D63" s="940">
        <v>2853044</v>
      </c>
      <c r="E63" s="940">
        <v>1151288</v>
      </c>
      <c r="F63" s="941" t="s">
        <v>1949</v>
      </c>
      <c r="G63" s="941" t="s">
        <v>2542</v>
      </c>
      <c r="H63" s="941" t="s">
        <v>2543</v>
      </c>
      <c r="I63" s="942" t="s">
        <v>2646</v>
      </c>
      <c r="J63" s="943" t="s">
        <v>2545</v>
      </c>
      <c r="K63" s="1133" t="s">
        <v>2579</v>
      </c>
      <c r="L63" s="982" t="s">
        <v>3120</v>
      </c>
      <c r="M63" s="1211" t="s">
        <v>3121</v>
      </c>
      <c r="N63" s="950">
        <v>45979</v>
      </c>
      <c r="O63" s="950">
        <v>45982</v>
      </c>
      <c r="P63" s="1134">
        <f>O63-N63</f>
        <v>3</v>
      </c>
      <c r="Q63" s="1135">
        <f ca="1">IF(N63="",0,TODAY()-N63)</f>
        <v>188</v>
      </c>
      <c r="R63" s="950">
        <v>45982</v>
      </c>
      <c r="S63" s="1136">
        <f>R63-N63</f>
        <v>3</v>
      </c>
      <c r="T63" s="952" t="str">
        <f>IF(F63="JK",IF(S63&lt;=45,"Belum Terlambat (JK)","Terlambat &gt; 45HK(JK)"),IF(F63="PK",IF(S63&lt;=35,"Belum Terlambat (PK)","Terlambat&gt;35(PK)")))</f>
        <v>Belum Terlambat (JK)</v>
      </c>
      <c r="U63" s="1135">
        <f ca="1">IF(F63="JK",45-Q63,35-Q63)</f>
        <v>-143</v>
      </c>
      <c r="V63" s="950">
        <v>45980</v>
      </c>
      <c r="W63" s="950">
        <v>45982</v>
      </c>
      <c r="X63" s="955">
        <f ca="1">IF(V63="",0,TODAY()-V63)</f>
        <v>187</v>
      </c>
      <c r="Y63" s="1057">
        <f>W63-V63</f>
        <v>2</v>
      </c>
      <c r="Z63" s="1212"/>
      <c r="AA63" s="1213" t="s">
        <v>3122</v>
      </c>
      <c r="AB63" s="1175" t="s">
        <v>2932</v>
      </c>
      <c r="AC63" s="1045" t="str">
        <f>IF(AD63&lt;60,"Paket Tepat Waktu/kurang dari 60HK","Tidak Tepat Waktu")</f>
        <v>Paket Tepat Waktu/kurang dari 60HK</v>
      </c>
      <c r="AD63" s="977">
        <f>S63</f>
        <v>3</v>
      </c>
      <c r="AE63" s="960">
        <f>IF(F63="JK",60-AD63,45-AD63)</f>
        <v>57</v>
      </c>
      <c r="AF63" s="1214" t="s">
        <v>2528</v>
      </c>
      <c r="AG63" s="976" t="s">
        <v>3123</v>
      </c>
      <c r="AH63" s="1215"/>
      <c r="AI63" s="963" t="s">
        <v>3124</v>
      </c>
      <c r="AJ63" s="976"/>
      <c r="AK63" s="976"/>
      <c r="AL63" s="976"/>
      <c r="AM63" s="965">
        <v>1114058.6040000001</v>
      </c>
      <c r="AN63" s="963" t="s">
        <v>2557</v>
      </c>
      <c r="AO63" s="967">
        <f>AM63/E63*100</f>
        <v>96.766282980453198</v>
      </c>
      <c r="AP63" s="1216" t="s">
        <v>3125</v>
      </c>
      <c r="AQ63" s="969" t="s">
        <v>3126</v>
      </c>
      <c r="AR63" s="1021" t="s">
        <v>2936</v>
      </c>
    </row>
    <row r="64" spans="1:45" s="17" customFormat="1" ht="76.5">
      <c r="A64" s="937" t="s">
        <v>3127</v>
      </c>
      <c r="B64" s="1063" t="s">
        <v>3128</v>
      </c>
      <c r="C64" s="1173" t="s">
        <v>2561</v>
      </c>
      <c r="D64" s="1065">
        <v>2132158</v>
      </c>
      <c r="E64" s="1065">
        <v>1079346.6839999999</v>
      </c>
      <c r="F64" s="1067" t="s">
        <v>1949</v>
      </c>
      <c r="G64" s="1067" t="s">
        <v>2542</v>
      </c>
      <c r="H64" s="1067" t="s">
        <v>2543</v>
      </c>
      <c r="I64" s="1145" t="s">
        <v>3129</v>
      </c>
      <c r="J64" s="943" t="s">
        <v>2545</v>
      </c>
      <c r="K64" s="1146" t="s">
        <v>2779</v>
      </c>
      <c r="L64" s="982" t="s">
        <v>3130</v>
      </c>
      <c r="M64" s="1211" t="s">
        <v>3131</v>
      </c>
      <c r="N64" s="950">
        <v>45981</v>
      </c>
      <c r="O64" s="950">
        <v>45986</v>
      </c>
      <c r="P64" s="1134">
        <f>O64-N64</f>
        <v>5</v>
      </c>
      <c r="Q64" s="1135">
        <f ca="1">IF(N64="",0,TODAY()-N64)</f>
        <v>186</v>
      </c>
      <c r="R64" s="950">
        <v>45985</v>
      </c>
      <c r="S64" s="1136">
        <f>R64-N64</f>
        <v>4</v>
      </c>
      <c r="T64" s="952" t="str">
        <f>IF(F64="JK",IF(S64&lt;=45,"Belum Terlambat (JK)","Terlambat &gt; 45HK(JK)"),IF(F64="PK",IF(S64&lt;=35,"Belum Terlambat (PK)","Terlambat&gt;35(PK)")))</f>
        <v>Belum Terlambat (JK)</v>
      </c>
      <c r="U64" s="1135">
        <f ca="1">IF(F64="JK",45-Q64,35-Q64)</f>
        <v>-141</v>
      </c>
      <c r="V64" s="950">
        <v>45982</v>
      </c>
      <c r="W64" s="950">
        <v>45985</v>
      </c>
      <c r="X64" s="955">
        <f ca="1">IF(V64="",0,TODAY()-V64)</f>
        <v>185</v>
      </c>
      <c r="Y64" s="1057">
        <f>W64-V64</f>
        <v>3</v>
      </c>
      <c r="Z64" s="1154"/>
      <c r="AA64" s="1213" t="s">
        <v>3132</v>
      </c>
      <c r="AB64" s="1175" t="s">
        <v>2932</v>
      </c>
      <c r="AC64" s="1045" t="str">
        <f>IF(AD64&lt;60,"Paket Tepat Waktu/kurang dari 60HK","Tidak Tepat Waktu")</f>
        <v>Paket Tepat Waktu/kurang dari 60HK</v>
      </c>
      <c r="AD64" s="977">
        <f>S64</f>
        <v>4</v>
      </c>
      <c r="AE64" s="960">
        <f>IF(F64="JK",60-AD64,45-AD64)</f>
        <v>56</v>
      </c>
      <c r="AF64" s="961" t="s">
        <v>2528</v>
      </c>
      <c r="AG64" s="976" t="s">
        <v>3123</v>
      </c>
      <c r="AH64" s="1215"/>
      <c r="AI64" s="963" t="s">
        <v>3124</v>
      </c>
      <c r="AJ64" s="1090"/>
      <c r="AK64" s="1090"/>
      <c r="AL64" s="1090"/>
      <c r="AM64" s="1091">
        <v>1037656.416</v>
      </c>
      <c r="AN64" s="1165"/>
      <c r="AO64" s="967">
        <f>AM64/E64*100</f>
        <v>96.137453459763449</v>
      </c>
      <c r="AP64" s="1143"/>
      <c r="AQ64" s="969" t="s">
        <v>3126</v>
      </c>
      <c r="AR64" s="1021" t="s">
        <v>2936</v>
      </c>
    </row>
    <row r="65" spans="1:44" s="17" customFormat="1" ht="42.75">
      <c r="A65" s="937" t="s">
        <v>3133</v>
      </c>
      <c r="B65" s="1063" t="s">
        <v>3134</v>
      </c>
      <c r="C65" s="1144" t="s">
        <v>2541</v>
      </c>
      <c r="D65" s="1065">
        <v>1590315</v>
      </c>
      <c r="E65" s="1065">
        <v>1590315</v>
      </c>
      <c r="F65" s="1067" t="s">
        <v>1949</v>
      </c>
      <c r="G65" s="1067" t="s">
        <v>2542</v>
      </c>
      <c r="H65" s="1067" t="s">
        <v>2543</v>
      </c>
      <c r="I65" s="1145" t="s">
        <v>3135</v>
      </c>
      <c r="J65" s="943" t="s">
        <v>2545</v>
      </c>
      <c r="K65" s="1146" t="s">
        <v>15</v>
      </c>
      <c r="L65" s="1176" t="s">
        <v>3136</v>
      </c>
      <c r="M65" s="1211" t="s">
        <v>3137</v>
      </c>
      <c r="N65" s="947">
        <v>45952</v>
      </c>
      <c r="O65" s="947">
        <v>45967</v>
      </c>
      <c r="P65" s="1134">
        <f t="shared" ref="P65:P67" si="8">O65-N65</f>
        <v>15</v>
      </c>
      <c r="Q65" s="1135">
        <f t="shared" ref="Q65:Q67" ca="1" si="9">IF(N65="",0,TODAY()-N65)</f>
        <v>215</v>
      </c>
      <c r="R65" s="947">
        <v>45967</v>
      </c>
      <c r="S65" s="1217">
        <f>R65-N65</f>
        <v>15</v>
      </c>
      <c r="T65" s="952" t="str">
        <f>IF(F65="JK",IF(S65&lt;=45,"Belum Terlambat (JK)","Terlambat &gt; 45HK(JK)"),IF(F65="PK",IF(S65&lt;=35,"Belum Terlambat (PK)","Terlambat&gt;35(PK)")))</f>
        <v>Belum Terlambat (JK)</v>
      </c>
      <c r="U65" s="1135">
        <f t="shared" ref="U65:U67" ca="1" si="10">IF(F65="JK",45-Q65,35-Q65)</f>
        <v>-170</v>
      </c>
      <c r="V65" s="947">
        <v>45960</v>
      </c>
      <c r="W65" s="947">
        <v>45967</v>
      </c>
      <c r="X65" s="955">
        <f t="shared" ref="X65:X67" ca="1" si="11">IF(V65="",0,TODAY()-V65)</f>
        <v>207</v>
      </c>
      <c r="Y65" s="1057">
        <f t="shared" ref="Y65:Y68" si="12">W65-V65</f>
        <v>7</v>
      </c>
      <c r="Z65" s="1154"/>
      <c r="AA65" s="1155" t="s">
        <v>3138</v>
      </c>
      <c r="AB65" s="1175" t="s">
        <v>2932</v>
      </c>
      <c r="AC65" s="1045" t="str">
        <f t="shared" ref="AC65:AC73" si="13">IF(AD65&lt;60,"Paket Tepat Waktu/kurang dari 60HK","Tidak Tepat Waktu")</f>
        <v>Paket Tepat Waktu/kurang dari 60HK</v>
      </c>
      <c r="AD65" s="977">
        <f>S65</f>
        <v>15</v>
      </c>
      <c r="AE65" s="960">
        <f t="shared" ref="AE65:AE68" si="14">IF(F65="JK",60-AD65,45-AD65)</f>
        <v>45</v>
      </c>
      <c r="AF65" s="961" t="s">
        <v>2529</v>
      </c>
      <c r="AG65" s="1164" t="s">
        <v>3139</v>
      </c>
      <c r="AH65" s="1090"/>
      <c r="AI65" s="1160" t="s">
        <v>3140</v>
      </c>
      <c r="AJ65" s="1090" t="s">
        <v>3141</v>
      </c>
      <c r="AK65" s="1090" t="s">
        <v>3142</v>
      </c>
      <c r="AL65" s="1090" t="s">
        <v>3143</v>
      </c>
      <c r="AM65" s="1168">
        <v>1583246.28</v>
      </c>
      <c r="AN65" s="1165" t="s">
        <v>2557</v>
      </c>
      <c r="AO65" s="967">
        <f>AM65/E65*100</f>
        <v>99.555514473547689</v>
      </c>
      <c r="AP65" s="1143"/>
      <c r="AQ65" s="969" t="s">
        <v>3126</v>
      </c>
      <c r="AR65" s="974" t="s">
        <v>2558</v>
      </c>
    </row>
    <row r="66" spans="1:44" s="17" customFormat="1" ht="42.75">
      <c r="A66" s="937" t="s">
        <v>3144</v>
      </c>
      <c r="B66" s="1063" t="s">
        <v>3145</v>
      </c>
      <c r="C66" s="1144" t="s">
        <v>2541</v>
      </c>
      <c r="D66" s="1065">
        <v>1590315</v>
      </c>
      <c r="E66" s="1065">
        <v>1590315</v>
      </c>
      <c r="F66" s="1067" t="s">
        <v>1949</v>
      </c>
      <c r="G66" s="1067" t="s">
        <v>2542</v>
      </c>
      <c r="H66" s="1067" t="s">
        <v>2543</v>
      </c>
      <c r="I66" s="1145" t="s">
        <v>3135</v>
      </c>
      <c r="J66" s="943" t="s">
        <v>2545</v>
      </c>
      <c r="K66" s="1146" t="s">
        <v>24</v>
      </c>
      <c r="L66" s="1208" t="s">
        <v>3146</v>
      </c>
      <c r="M66" s="1211" t="s">
        <v>3137</v>
      </c>
      <c r="N66" s="947">
        <v>45952</v>
      </c>
      <c r="O66" s="947">
        <v>45967</v>
      </c>
      <c r="P66" s="1134">
        <f t="shared" si="8"/>
        <v>15</v>
      </c>
      <c r="Q66" s="1135">
        <f t="shared" ca="1" si="9"/>
        <v>215</v>
      </c>
      <c r="R66" s="947">
        <v>45967</v>
      </c>
      <c r="S66" s="1217">
        <f>R66-N66</f>
        <v>15</v>
      </c>
      <c r="T66" s="952" t="str">
        <f>IF(F66="JK",IF(S66&lt;=45,"Belum Terlambat (JK)","Terlambat &gt; 45HK(JK)"),IF(F66="PK",IF(S66&lt;=35,"Belum Terlambat (PK)","Terlambat&gt;35(PK)")))</f>
        <v>Belum Terlambat (JK)</v>
      </c>
      <c r="U66" s="1135">
        <f t="shared" ca="1" si="10"/>
        <v>-170</v>
      </c>
      <c r="V66" s="947">
        <v>45960</v>
      </c>
      <c r="W66" s="947">
        <v>45967</v>
      </c>
      <c r="X66" s="955">
        <f t="shared" ca="1" si="11"/>
        <v>207</v>
      </c>
      <c r="Y66" s="1057">
        <f t="shared" si="12"/>
        <v>7</v>
      </c>
      <c r="Z66" s="1154"/>
      <c r="AA66" s="1155" t="s">
        <v>3138</v>
      </c>
      <c r="AB66" s="1175" t="s">
        <v>2932</v>
      </c>
      <c r="AC66" s="1045" t="str">
        <f t="shared" si="13"/>
        <v>Paket Tepat Waktu/kurang dari 60HK</v>
      </c>
      <c r="AD66" s="977">
        <f>S66</f>
        <v>15</v>
      </c>
      <c r="AE66" s="960">
        <f t="shared" si="14"/>
        <v>45</v>
      </c>
      <c r="AF66" s="961" t="s">
        <v>2529</v>
      </c>
      <c r="AG66" s="1164" t="s">
        <v>3147</v>
      </c>
      <c r="AH66" s="1090"/>
      <c r="AI66" s="1218" t="s">
        <v>3148</v>
      </c>
      <c r="AJ66" s="1090"/>
      <c r="AK66" s="1090"/>
      <c r="AL66" s="1090"/>
      <c r="AM66" s="1091">
        <v>1571950.254</v>
      </c>
      <c r="AN66" s="1165" t="s">
        <v>2557</v>
      </c>
      <c r="AO66" s="967">
        <f>AM66/E66*100</f>
        <v>98.845213306797703</v>
      </c>
      <c r="AP66" s="1143"/>
      <c r="AQ66" s="969" t="s">
        <v>3126</v>
      </c>
      <c r="AR66" s="974" t="s">
        <v>2558</v>
      </c>
    </row>
    <row r="67" spans="1:44" s="17" customFormat="1" ht="45.75">
      <c r="A67" s="937" t="s">
        <v>3149</v>
      </c>
      <c r="B67" s="1063" t="s">
        <v>3150</v>
      </c>
      <c r="C67" s="1144" t="s">
        <v>2918</v>
      </c>
      <c r="D67" s="1065">
        <v>2420880</v>
      </c>
      <c r="E67" s="1065">
        <v>2420880</v>
      </c>
      <c r="F67" s="1067" t="s">
        <v>1949</v>
      </c>
      <c r="G67" s="1067" t="s">
        <v>2939</v>
      </c>
      <c r="H67" s="1067" t="s">
        <v>2543</v>
      </c>
      <c r="I67" s="1145" t="s">
        <v>3151</v>
      </c>
      <c r="J67" s="943" t="s">
        <v>2545</v>
      </c>
      <c r="K67" s="1219" t="s">
        <v>10</v>
      </c>
      <c r="L67" s="982" t="s">
        <v>3152</v>
      </c>
      <c r="M67" s="1220" t="s">
        <v>3153</v>
      </c>
      <c r="N67" s="947">
        <v>45987</v>
      </c>
      <c r="O67" s="947">
        <v>45993</v>
      </c>
      <c r="P67" s="1134">
        <f t="shared" si="8"/>
        <v>6</v>
      </c>
      <c r="Q67" s="1135">
        <f t="shared" ca="1" si="9"/>
        <v>180</v>
      </c>
      <c r="R67" s="947">
        <v>45993</v>
      </c>
      <c r="S67" s="1217">
        <f>R67-N67</f>
        <v>6</v>
      </c>
      <c r="T67" s="952" t="str">
        <f>IF(F67="JK",IF(S67&lt;=45,"Belum Terlambat (JK)","Terlambat &gt; 45HK(JK)"),IF(F67="PK",IF(S67&lt;=35,"Belum Terlambat (PK)","Terlambat&gt;35(PK)")))</f>
        <v>Belum Terlambat (JK)</v>
      </c>
      <c r="U67" s="1135">
        <f t="shared" ca="1" si="10"/>
        <v>-135</v>
      </c>
      <c r="V67" s="947">
        <v>45989</v>
      </c>
      <c r="W67" s="947">
        <v>45993</v>
      </c>
      <c r="X67" s="955">
        <f t="shared" ca="1" si="11"/>
        <v>178</v>
      </c>
      <c r="Y67" s="1057">
        <f t="shared" si="12"/>
        <v>4</v>
      </c>
      <c r="Z67" s="1154"/>
      <c r="AA67" s="1155" t="s">
        <v>3154</v>
      </c>
      <c r="AB67" s="1175" t="s">
        <v>2932</v>
      </c>
      <c r="AC67" s="1045" t="str">
        <f t="shared" si="13"/>
        <v>Paket Tepat Waktu/kurang dari 60HK</v>
      </c>
      <c r="AD67" s="977">
        <f>S67</f>
        <v>6</v>
      </c>
      <c r="AE67" s="1221">
        <f t="shared" si="14"/>
        <v>54</v>
      </c>
      <c r="AF67" s="961" t="s">
        <v>2527</v>
      </c>
      <c r="AG67" s="1164" t="s">
        <v>3155</v>
      </c>
      <c r="AH67" s="1090"/>
      <c r="AI67" s="1160" t="s">
        <v>3156</v>
      </c>
      <c r="AJ67" s="1090"/>
      <c r="AK67" s="1090"/>
      <c r="AL67" s="1090"/>
      <c r="AM67" s="1091">
        <v>2355533.3865</v>
      </c>
      <c r="AN67" s="1165" t="s">
        <v>2557</v>
      </c>
      <c r="AO67" s="967">
        <f>AM67/E67*100</f>
        <v>97.300708275503126</v>
      </c>
      <c r="AP67" s="1143"/>
      <c r="AQ67" s="969" t="s">
        <v>3126</v>
      </c>
      <c r="AR67" s="974" t="s">
        <v>2558</v>
      </c>
    </row>
    <row r="68" spans="1:44" s="17" customFormat="1" ht="61.5">
      <c r="A68" s="937" t="s">
        <v>3157</v>
      </c>
      <c r="B68" s="1063" t="s">
        <v>3158</v>
      </c>
      <c r="C68" s="1144" t="s">
        <v>2918</v>
      </c>
      <c r="D68" s="1065">
        <v>480000</v>
      </c>
      <c r="E68" s="1065">
        <v>480000</v>
      </c>
      <c r="F68" s="1067" t="s">
        <v>1949</v>
      </c>
      <c r="G68" s="1067" t="s">
        <v>2939</v>
      </c>
      <c r="H68" s="1067" t="s">
        <v>2543</v>
      </c>
      <c r="I68" s="1145" t="s">
        <v>3151</v>
      </c>
      <c r="J68" s="1166" t="s">
        <v>3159</v>
      </c>
      <c r="K68" s="1219" t="s">
        <v>10</v>
      </c>
      <c r="L68" s="982" t="s">
        <v>3160</v>
      </c>
      <c r="M68" s="1220" t="s">
        <v>3161</v>
      </c>
      <c r="N68" s="947">
        <v>46001</v>
      </c>
      <c r="O68" s="947">
        <v>46008</v>
      </c>
      <c r="P68" s="1134">
        <f>O68-N68</f>
        <v>7</v>
      </c>
      <c r="Q68" s="1135">
        <f ca="1">IF(N68="",0,TODAY()-N68)</f>
        <v>166</v>
      </c>
      <c r="R68" s="947">
        <v>46008</v>
      </c>
      <c r="S68" s="1136">
        <f>R68-N68</f>
        <v>7</v>
      </c>
      <c r="T68" s="952" t="str">
        <f>IF(F68="JK",IF(S68&lt;=45,"Belum Terlambat (JK)","Terlambat &gt; 45HK(JK)"),IF(F68="PK",IF(S68&lt;=35,"Belum Terlambat (PK)","Terlambat&gt;35(PK)")))</f>
        <v>Belum Terlambat (JK)</v>
      </c>
      <c r="U68" s="1135">
        <f ca="1">IF(F68="JK",45-Q68,35-Q68)</f>
        <v>-121</v>
      </c>
      <c r="V68" s="947">
        <v>46007</v>
      </c>
      <c r="W68" s="947">
        <v>46008</v>
      </c>
      <c r="X68" s="955">
        <f ca="1">IF(V68="",0,TODAY()-V68)</f>
        <v>160</v>
      </c>
      <c r="Y68" s="1057">
        <f t="shared" si="12"/>
        <v>1</v>
      </c>
      <c r="Z68" s="1154"/>
      <c r="AA68" s="1155" t="s">
        <v>3162</v>
      </c>
      <c r="AB68" s="1175" t="s">
        <v>2932</v>
      </c>
      <c r="AC68" s="1045" t="str">
        <f t="shared" si="13"/>
        <v>Paket Tepat Waktu/kurang dari 60HK</v>
      </c>
      <c r="AD68" s="977">
        <f>S68</f>
        <v>7</v>
      </c>
      <c r="AE68" s="1221">
        <f t="shared" si="14"/>
        <v>53</v>
      </c>
      <c r="AF68" s="961" t="s">
        <v>2527</v>
      </c>
      <c r="AG68" s="1164" t="s">
        <v>3163</v>
      </c>
      <c r="AH68" s="1090"/>
      <c r="AI68" s="1160" t="s">
        <v>3164</v>
      </c>
      <c r="AJ68" s="1090"/>
      <c r="AK68" s="1090"/>
      <c r="AL68" s="1090"/>
      <c r="AM68" s="1091">
        <v>466719.21804000001</v>
      </c>
      <c r="AN68" s="1165" t="s">
        <v>2573</v>
      </c>
      <c r="AO68" s="967">
        <f>AM68/E68*100</f>
        <v>97.233170424999997</v>
      </c>
      <c r="AP68" s="1143"/>
      <c r="AQ68" s="969" t="s">
        <v>3126</v>
      </c>
      <c r="AR68" s="974" t="s">
        <v>2558</v>
      </c>
    </row>
    <row r="69" spans="1:44" s="17" customFormat="1" ht="60">
      <c r="A69" s="937" t="s">
        <v>3165</v>
      </c>
      <c r="B69" s="1063" t="s">
        <v>3166</v>
      </c>
      <c r="C69" s="1144" t="s">
        <v>2541</v>
      </c>
      <c r="D69" s="1065">
        <v>1899507</v>
      </c>
      <c r="E69" s="1065">
        <v>1899507</v>
      </c>
      <c r="F69" s="1067" t="s">
        <v>1949</v>
      </c>
      <c r="G69" s="1067" t="s">
        <v>2939</v>
      </c>
      <c r="H69" s="1067" t="s">
        <v>2543</v>
      </c>
      <c r="I69" s="1145" t="s">
        <v>3135</v>
      </c>
      <c r="J69" s="943" t="s">
        <v>2545</v>
      </c>
      <c r="K69" s="1219" t="s">
        <v>279</v>
      </c>
      <c r="L69" s="982" t="s">
        <v>3167</v>
      </c>
      <c r="M69" s="1220" t="s">
        <v>3168</v>
      </c>
      <c r="N69" s="947">
        <v>45965</v>
      </c>
      <c r="O69" s="947">
        <v>45975</v>
      </c>
      <c r="P69" s="1148">
        <f>O69-N69</f>
        <v>10</v>
      </c>
      <c r="Q69" s="1198"/>
      <c r="R69" s="947">
        <v>45975</v>
      </c>
      <c r="S69" s="1222">
        <f>R69-N69</f>
        <v>10</v>
      </c>
      <c r="T69" s="952" t="str">
        <f>IF(F69="JK",IF(S69&lt;=45,"Belum Terlambat (JK)","Terlambat &gt; 45HK(JK)"),IF(F69="PK",IF(S69&lt;=35,"Belum Terlambat (PK)","Terlambat&gt;35(PK)")))</f>
        <v>Belum Terlambat (JK)</v>
      </c>
      <c r="U69" s="1151"/>
      <c r="V69" s="947">
        <v>45971</v>
      </c>
      <c r="W69" s="947">
        <v>45974</v>
      </c>
      <c r="X69" s="1151"/>
      <c r="Y69" s="1153">
        <f>W69-V69</f>
        <v>3</v>
      </c>
      <c r="Z69" s="1154"/>
      <c r="AA69" s="1223" t="s">
        <v>3169</v>
      </c>
      <c r="AB69" s="1175" t="s">
        <v>3062</v>
      </c>
      <c r="AC69" s="1045" t="str">
        <f t="shared" si="13"/>
        <v>Paket Tepat Waktu/kurang dari 60HK</v>
      </c>
      <c r="AD69" s="977">
        <f>S69</f>
        <v>10</v>
      </c>
      <c r="AE69" s="1087"/>
      <c r="AF69" s="961" t="s">
        <v>2529</v>
      </c>
      <c r="AG69" s="1164" t="s">
        <v>3170</v>
      </c>
      <c r="AH69" s="1090"/>
      <c r="AI69" s="1160" t="s">
        <v>2730</v>
      </c>
      <c r="AJ69" s="1090"/>
      <c r="AK69" s="1090"/>
      <c r="AL69" s="1090"/>
      <c r="AM69" s="1224">
        <v>1851982.1640000001</v>
      </c>
      <c r="AN69" s="1165" t="s">
        <v>2557</v>
      </c>
      <c r="AO69" s="967">
        <f>AM69/E69*100</f>
        <v>97.498043650273473</v>
      </c>
      <c r="AP69" s="1225">
        <v>45978</v>
      </c>
      <c r="AQ69" s="969" t="str">
        <f>IF(OR(AF69="Sudah Penetapan",AF69="Kontrak",AF69="BAHP",AF69="SPPBJ"),"SUDAH",IF(J69="03 Sudah Usul SIPBJ (Dok. dlm Reviu)","BELUM TAYANG",IF(AF69="PROSES","PROSES")))</f>
        <v>SUDAH</v>
      </c>
      <c r="AR69" s="974" t="s">
        <v>2558</v>
      </c>
    </row>
    <row r="70" spans="1:44" s="17" customFormat="1" ht="76.5">
      <c r="A70" s="937" t="s">
        <v>3171</v>
      </c>
      <c r="B70" s="1226" t="s">
        <v>3172</v>
      </c>
      <c r="C70" s="1144" t="s">
        <v>2633</v>
      </c>
      <c r="D70" s="1065">
        <v>3806000</v>
      </c>
      <c r="E70" s="1065">
        <v>3806000</v>
      </c>
      <c r="F70" s="1067" t="s">
        <v>1949</v>
      </c>
      <c r="G70" s="1067" t="s">
        <v>2939</v>
      </c>
      <c r="H70" s="1067" t="s">
        <v>2543</v>
      </c>
      <c r="I70" s="1145" t="s">
        <v>2634</v>
      </c>
      <c r="J70" s="943" t="s">
        <v>2545</v>
      </c>
      <c r="K70" s="1219" t="s">
        <v>2602</v>
      </c>
      <c r="L70" s="1176" t="s">
        <v>3173</v>
      </c>
      <c r="M70" s="1227" t="s">
        <v>3174</v>
      </c>
      <c r="N70" s="989">
        <v>45961</v>
      </c>
      <c r="O70" s="989">
        <v>45968</v>
      </c>
      <c r="P70" s="1148">
        <f>O70-N70</f>
        <v>7</v>
      </c>
      <c r="Q70" s="1198"/>
      <c r="R70" s="989">
        <v>45968</v>
      </c>
      <c r="S70" s="1222">
        <f>R70-N70</f>
        <v>7</v>
      </c>
      <c r="T70" s="952" t="str">
        <f>IF(F70="JK",IF(S70&lt;=45,"Belum Terlambat (JK)","Terlambat &gt; 45HK(JK)"),IF(F70="PK",IF(S70&lt;=35,"Belum Terlambat (PK)","Terlambat&gt;35(PK)")))</f>
        <v>Belum Terlambat (JK)</v>
      </c>
      <c r="U70" s="1151"/>
      <c r="V70" s="989">
        <v>45965</v>
      </c>
      <c r="W70" s="989">
        <v>45968</v>
      </c>
      <c r="X70" s="1151"/>
      <c r="Y70" s="1153">
        <f>W70-V70</f>
        <v>3</v>
      </c>
      <c r="Z70" s="1154"/>
      <c r="AA70" s="1223" t="s">
        <v>3175</v>
      </c>
      <c r="AB70" s="1175" t="s">
        <v>3062</v>
      </c>
      <c r="AC70" s="1045" t="str">
        <f t="shared" si="13"/>
        <v>Paket Tepat Waktu/kurang dari 60HK</v>
      </c>
      <c r="AD70" s="1228">
        <f>S70</f>
        <v>7</v>
      </c>
      <c r="AE70" s="1087"/>
      <c r="AF70" s="1159" t="s">
        <v>2529</v>
      </c>
      <c r="AG70" s="1164" t="s">
        <v>3176</v>
      </c>
      <c r="AH70" s="1090"/>
      <c r="AI70" s="1160" t="s">
        <v>3177</v>
      </c>
      <c r="AJ70" s="1090"/>
      <c r="AK70" s="1090"/>
      <c r="AL70" s="1090"/>
      <c r="AM70" s="1091">
        <v>3715185.5954999998</v>
      </c>
      <c r="AN70" s="1165" t="s">
        <v>2573</v>
      </c>
      <c r="AO70" s="967">
        <f>AM70/E70*100</f>
        <v>97.613914753021533</v>
      </c>
      <c r="AP70" s="1143"/>
      <c r="AQ70" s="969" t="str">
        <f>IF(OR(AF70="Sudah Penetapan",AF70="Kontrak",AF70="BAHP",AF70="SPPBJ"),"SUDAH",IF(J70="03 Sudah Usul SIPBJ (Dok. dlm Reviu)","BELUM TAYANG",IF(AF70="PROSES","PROSES")))</f>
        <v>SUDAH</v>
      </c>
      <c r="AR70" s="974" t="s">
        <v>2558</v>
      </c>
    </row>
    <row r="71" spans="1:44" s="17" customFormat="1" ht="60">
      <c r="A71" s="937" t="s">
        <v>3178</v>
      </c>
      <c r="B71" s="1063" t="s">
        <v>3179</v>
      </c>
      <c r="C71" s="1144" t="s">
        <v>2541</v>
      </c>
      <c r="D71" s="1065">
        <v>4204279</v>
      </c>
      <c r="E71" s="1065">
        <v>4204279</v>
      </c>
      <c r="F71" s="1067" t="s">
        <v>1949</v>
      </c>
      <c r="G71" s="1067" t="s">
        <v>2939</v>
      </c>
      <c r="H71" s="1067" t="s">
        <v>2543</v>
      </c>
      <c r="I71" s="1145" t="s">
        <v>3135</v>
      </c>
      <c r="J71" s="943" t="s">
        <v>2545</v>
      </c>
      <c r="K71" s="1219" t="s">
        <v>279</v>
      </c>
      <c r="L71" s="1176" t="s">
        <v>3180</v>
      </c>
      <c r="M71" s="1227" t="s">
        <v>3181</v>
      </c>
      <c r="N71" s="989">
        <v>45989</v>
      </c>
      <c r="O71" s="989">
        <v>45999</v>
      </c>
      <c r="P71" s="1148"/>
      <c r="Q71" s="1198"/>
      <c r="R71" s="989">
        <v>45999</v>
      </c>
      <c r="S71" s="1222">
        <f>R71-N71</f>
        <v>10</v>
      </c>
      <c r="T71" s="952" t="str">
        <f>IF(F71="JK",IF(S71&lt;=45,"Belum Terlambat (JK)","Terlambat &gt; 45HK(JK)"),IF(F71="PK",IF(S71&lt;=35,"Belum Terlambat (PK)","Terlambat&gt;35(PK)")))</f>
        <v>Belum Terlambat (JK)</v>
      </c>
      <c r="U71" s="1151"/>
      <c r="V71" s="989">
        <v>45995</v>
      </c>
      <c r="W71" s="989">
        <v>45999</v>
      </c>
      <c r="X71" s="1151"/>
      <c r="Y71" s="1153">
        <f>W71-V71</f>
        <v>4</v>
      </c>
      <c r="Z71" s="1154"/>
      <c r="AA71" s="1223" t="s">
        <v>3182</v>
      </c>
      <c r="AB71" s="1175" t="s">
        <v>3031</v>
      </c>
      <c r="AC71" s="1045" t="str">
        <f t="shared" si="13"/>
        <v>Paket Tepat Waktu/kurang dari 60HK</v>
      </c>
      <c r="AD71" s="977">
        <f>S71</f>
        <v>10</v>
      </c>
      <c r="AE71" s="960">
        <f t="shared" ref="AE71:AE73" si="15">IF(F71="JK",60-AD71,45-AD71)</f>
        <v>50</v>
      </c>
      <c r="AF71" s="961" t="s">
        <v>2529</v>
      </c>
      <c r="AG71" s="1164" t="s">
        <v>2661</v>
      </c>
      <c r="AH71" s="1090"/>
      <c r="AI71" s="1160" t="s">
        <v>3183</v>
      </c>
      <c r="AJ71" s="1090"/>
      <c r="AK71" s="1090"/>
      <c r="AL71" s="1090"/>
      <c r="AM71" s="1091">
        <v>4065042.5550000002</v>
      </c>
      <c r="AN71" s="1165" t="s">
        <v>2573</v>
      </c>
      <c r="AO71" s="967">
        <f>AM71/E71*100</f>
        <v>96.688220619992165</v>
      </c>
      <c r="AP71" s="1143"/>
      <c r="AQ71" s="969" t="str">
        <f>IF(OR(AF71="Sudah Penetapan",AF71="Kontrak",AF71="BAHP",AF71="SPPBJ"),"SUDAH",IF(J71="03 Sudah Usul SIPBJ (Dok. dlm Reviu)","BELUM TAYANG",IF(AF71="PROSES","PROSES")))</f>
        <v>SUDAH</v>
      </c>
      <c r="AR71" s="974" t="s">
        <v>2558</v>
      </c>
    </row>
    <row r="72" spans="1:44" s="17" customFormat="1" ht="61.5">
      <c r="A72" s="937" t="s">
        <v>3184</v>
      </c>
      <c r="B72" s="1229" t="s">
        <v>3185</v>
      </c>
      <c r="C72" s="1144" t="s">
        <v>2561</v>
      </c>
      <c r="D72" s="1065">
        <v>16464764</v>
      </c>
      <c r="E72" s="1065"/>
      <c r="F72" s="1067" t="s">
        <v>1949</v>
      </c>
      <c r="G72" s="1067" t="s">
        <v>2939</v>
      </c>
      <c r="H72" s="1067" t="s">
        <v>2543</v>
      </c>
      <c r="I72" s="1145" t="s">
        <v>3186</v>
      </c>
      <c r="J72" s="1166" t="s">
        <v>3159</v>
      </c>
      <c r="K72" s="1219" t="s">
        <v>3187</v>
      </c>
      <c r="L72" s="1176" t="s">
        <v>3188</v>
      </c>
      <c r="M72" s="1227" t="s">
        <v>3189</v>
      </c>
      <c r="N72" s="989">
        <v>46003</v>
      </c>
      <c r="O72" s="989">
        <v>46010</v>
      </c>
      <c r="P72" s="1230">
        <f>O72-N72</f>
        <v>7</v>
      </c>
      <c r="Q72" s="1231">
        <f ca="1">IF(N72="",0,TODAY()-N72)</f>
        <v>164</v>
      </c>
      <c r="R72" s="989"/>
      <c r="S72" s="1232">
        <f>O72-N72</f>
        <v>7</v>
      </c>
      <c r="T72" s="952" t="str">
        <f>IF(F72="JK",IF(S72&lt;=45,"Belum Terlambat (JK)","Terlambat &gt; 45HK(JK)"),IF(F72="PK",IF(S72&lt;=35,"Belum Terlambat (PK)","Terlambat&gt;35(PK)")))</f>
        <v>Belum Terlambat (JK)</v>
      </c>
      <c r="U72" s="1231">
        <f ca="1">IF(F72="JK",45-Q72,35-Q72)</f>
        <v>-119</v>
      </c>
      <c r="V72" s="1233">
        <v>46006</v>
      </c>
      <c r="W72" s="1233">
        <v>46010</v>
      </c>
      <c r="X72" s="1057">
        <f ca="1">IF(V72="",0,TODAY()-V72)</f>
        <v>161</v>
      </c>
      <c r="Y72" s="1234">
        <f>W72-V72</f>
        <v>4</v>
      </c>
      <c r="Z72" s="1154"/>
      <c r="AA72" s="1223" t="s">
        <v>3190</v>
      </c>
      <c r="AB72" s="1175" t="s">
        <v>3191</v>
      </c>
      <c r="AC72" s="1045" t="str">
        <f t="shared" si="13"/>
        <v>Paket Tepat Waktu/kurang dari 60HK</v>
      </c>
      <c r="AD72" s="977">
        <f>S72</f>
        <v>7</v>
      </c>
      <c r="AE72" s="960">
        <f t="shared" si="15"/>
        <v>53</v>
      </c>
      <c r="AF72" s="961" t="s">
        <v>2527</v>
      </c>
      <c r="AG72" s="1164"/>
      <c r="AH72" s="1090"/>
      <c r="AI72" s="1160"/>
      <c r="AJ72" s="1090"/>
      <c r="AK72" s="1090"/>
      <c r="AL72" s="1090"/>
      <c r="AM72" s="1091"/>
      <c r="AN72" s="1165"/>
      <c r="AO72" s="1235"/>
      <c r="AP72" s="1143"/>
      <c r="AQ72" s="969" t="s">
        <v>3126</v>
      </c>
      <c r="AR72" s="974" t="s">
        <v>3192</v>
      </c>
    </row>
    <row r="73" spans="1:44" s="17" customFormat="1" ht="61.5">
      <c r="A73" s="937" t="s">
        <v>3193</v>
      </c>
      <c r="B73" s="1229" t="s">
        <v>3194</v>
      </c>
      <c r="C73" s="1144" t="s">
        <v>2633</v>
      </c>
      <c r="D73" s="1065">
        <v>3134640</v>
      </c>
      <c r="E73" s="1065"/>
      <c r="F73" s="1067" t="s">
        <v>1949</v>
      </c>
      <c r="G73" s="1067" t="s">
        <v>2939</v>
      </c>
      <c r="H73" s="1067" t="s">
        <v>2543</v>
      </c>
      <c r="I73" s="1145" t="s">
        <v>3195</v>
      </c>
      <c r="J73" s="1166" t="s">
        <v>3159</v>
      </c>
      <c r="K73" s="1219" t="s">
        <v>3196</v>
      </c>
      <c r="L73" s="1176" t="s">
        <v>3197</v>
      </c>
      <c r="M73" s="1227" t="s">
        <v>3198</v>
      </c>
      <c r="N73" s="989">
        <v>46002</v>
      </c>
      <c r="O73" s="989">
        <v>46009</v>
      </c>
      <c r="P73" s="1230">
        <f>O73-N73</f>
        <v>7</v>
      </c>
      <c r="Q73" s="1231">
        <f ca="1">IF(N73="",0,TODAY()-N73)</f>
        <v>165</v>
      </c>
      <c r="R73" s="950">
        <v>46009</v>
      </c>
      <c r="S73" s="1232">
        <f>O73-N73</f>
        <v>7</v>
      </c>
      <c r="T73" s="952" t="str">
        <f>IF(F73="JK",IF(S73&lt;=45,"Belum Terlambat (JK)","Terlambat &gt; 45HK(JK)"),IF(F73="PK",IF(S73&lt;=35,"Belum Terlambat (PK)","Terlambat&gt;35(PK)")))</f>
        <v>Belum Terlambat (JK)</v>
      </c>
      <c r="U73" s="1231">
        <f ca="1">IF(F73="JK",45-Q73,35-Q73)</f>
        <v>-120</v>
      </c>
      <c r="V73" s="947">
        <v>46007</v>
      </c>
      <c r="W73" s="947">
        <v>46009</v>
      </c>
      <c r="X73" s="1057">
        <f ca="1">IF(V73="",0,TODAY()-V73)</f>
        <v>160</v>
      </c>
      <c r="Y73" s="1153">
        <f>W73-V73</f>
        <v>2</v>
      </c>
      <c r="Z73" s="1154"/>
      <c r="AA73" s="1223" t="s">
        <v>3199</v>
      </c>
      <c r="AB73" s="1175" t="s">
        <v>3191</v>
      </c>
      <c r="AC73" s="1045" t="str">
        <f t="shared" si="13"/>
        <v>Paket Tepat Waktu/kurang dari 60HK</v>
      </c>
      <c r="AD73" s="977">
        <f>S73</f>
        <v>7</v>
      </c>
      <c r="AE73" s="960">
        <f t="shared" si="15"/>
        <v>53</v>
      </c>
      <c r="AF73" s="1159" t="s">
        <v>2527</v>
      </c>
      <c r="AG73" s="1164" t="s">
        <v>3200</v>
      </c>
      <c r="AH73" s="1090"/>
      <c r="AI73" s="1160" t="s">
        <v>3201</v>
      </c>
      <c r="AJ73" s="1090"/>
      <c r="AK73" s="1090"/>
      <c r="AL73" s="1090"/>
      <c r="AM73" s="1091">
        <v>3115009017.3000002</v>
      </c>
      <c r="AN73" s="1165" t="s">
        <v>2557</v>
      </c>
      <c r="AO73" s="1235"/>
      <c r="AP73" s="1225">
        <v>46008</v>
      </c>
      <c r="AQ73" s="969" t="s">
        <v>3126</v>
      </c>
      <c r="AR73" s="974" t="s">
        <v>3202</v>
      </c>
    </row>
    <row r="74" spans="1:44" ht="41.25" customHeight="1">
      <c r="A74" s="1236" t="s">
        <v>3203</v>
      </c>
      <c r="B74" s="1237"/>
      <c r="C74" s="1237"/>
      <c r="D74" s="1238"/>
      <c r="E74" s="1238"/>
      <c r="F74" s="1237"/>
      <c r="G74" s="1237"/>
      <c r="H74" s="1237"/>
      <c r="I74" s="1239"/>
      <c r="J74" s="1237"/>
      <c r="K74" s="1240"/>
      <c r="L74" s="1237"/>
      <c r="M74" s="1237"/>
      <c r="N74" s="1237"/>
      <c r="O74" s="1237"/>
      <c r="P74" s="1237"/>
      <c r="Q74" s="1237"/>
      <c r="R74" s="1237"/>
      <c r="S74" s="1237"/>
      <c r="T74" s="1237"/>
      <c r="U74" s="1237"/>
      <c r="V74" s="1241"/>
      <c r="W74" s="1241"/>
      <c r="X74" s="1241"/>
      <c r="Y74" s="1241"/>
      <c r="Z74" s="1241"/>
      <c r="AA74" s="1237"/>
      <c r="AB74" s="1237"/>
      <c r="AC74" s="1242"/>
      <c r="AD74" s="1242"/>
      <c r="AE74" s="1237"/>
      <c r="AF74" s="1243"/>
      <c r="AG74" s="1244"/>
      <c r="AH74" s="1245"/>
      <c r="AI74" s="1246"/>
      <c r="AJ74" s="1246"/>
      <c r="AK74" s="1246"/>
      <c r="AL74" s="1247"/>
      <c r="AM74" s="1248"/>
      <c r="AN74" s="1249"/>
      <c r="AO74" s="1249"/>
      <c r="AP74" s="1250"/>
      <c r="AQ74" s="969" t="b">
        <f>IF(OR(AF74="Sudah Penetapan",AF74="Kontrak",AF74="BAHP",AF74="SPPBJ"),"SUDAH",IF(J74="03 Sudah Usul SIPBJ (Dok. dlm Reviu)","BELUM TAYANG",IF(AF74="PROSES","PROSES")))</f>
        <v>0</v>
      </c>
      <c r="AR74" s="997"/>
    </row>
    <row r="75" spans="1:44" s="17" customFormat="1" ht="48">
      <c r="A75" s="937" t="s">
        <v>3204</v>
      </c>
      <c r="B75" s="1030" t="s">
        <v>3205</v>
      </c>
      <c r="C75" s="1144" t="s">
        <v>2541</v>
      </c>
      <c r="D75" s="940">
        <v>63729580</v>
      </c>
      <c r="E75" s="1065">
        <v>63725165</v>
      </c>
      <c r="F75" s="1067" t="s">
        <v>3206</v>
      </c>
      <c r="G75" s="1067" t="s">
        <v>2542</v>
      </c>
      <c r="H75" s="1067" t="s">
        <v>3207</v>
      </c>
      <c r="I75" s="1145" t="s">
        <v>3208</v>
      </c>
      <c r="J75" s="1070" t="s">
        <v>2545</v>
      </c>
      <c r="K75" s="944" t="s">
        <v>2779</v>
      </c>
      <c r="L75" s="1205" t="s">
        <v>2821</v>
      </c>
      <c r="M75" s="1205" t="s">
        <v>3209</v>
      </c>
      <c r="N75" s="988">
        <v>45709</v>
      </c>
      <c r="O75" s="989">
        <v>45757</v>
      </c>
      <c r="P75" s="990">
        <f>O75-N75</f>
        <v>48</v>
      </c>
      <c r="Q75" s="1251">
        <f ca="1">IF(N75="",0,TODAY()-N75)</f>
        <v>458</v>
      </c>
      <c r="R75" s="1167">
        <v>45757</v>
      </c>
      <c r="S75" s="1252">
        <f>R75-N75</f>
        <v>48</v>
      </c>
      <c r="T75" s="952" t="str">
        <f>IF(F75="JK",IF(S75&lt;=45,"Belum Terlambat (JK)","Terlambat &gt; 45HK(JK)"),IF(F75="PK",IF(S75&lt;=35,"Belum Terlambat (PK)","Terlambat&gt;35(PK)")))</f>
        <v>Terlambat&gt;35(PK)</v>
      </c>
      <c r="U75" s="1253">
        <f ca="1">IF(I75="JK",60-Q75,45-Q75)</f>
        <v>-413</v>
      </c>
      <c r="V75" s="988">
        <v>45719</v>
      </c>
      <c r="W75" s="989">
        <v>45757</v>
      </c>
      <c r="X75" s="1080"/>
      <c r="Y75" s="1127">
        <f>W75-V75</f>
        <v>38</v>
      </c>
      <c r="Z75" s="1082"/>
      <c r="AA75" s="1028" t="s">
        <v>2549</v>
      </c>
      <c r="AB75" s="1254" t="s">
        <v>3210</v>
      </c>
      <c r="AC75" s="1255" t="str">
        <f>IF(AD75&lt;=45,"Paket Tepat Waktu/kurang dari 45HK","Tidak Tepat Waktu")</f>
        <v>Paket Tepat Waktu/kurang dari 45HK</v>
      </c>
      <c r="AD75" s="1228">
        <f>S75-11-2</f>
        <v>35</v>
      </c>
      <c r="AE75" s="960">
        <f>IF(F75="JK",60-AD75,45-AD75)</f>
        <v>10</v>
      </c>
      <c r="AF75" s="961" t="s">
        <v>2529</v>
      </c>
      <c r="AG75" s="976" t="s">
        <v>3211</v>
      </c>
      <c r="AH75" s="976" t="s">
        <v>3212</v>
      </c>
      <c r="AI75" s="963" t="s">
        <v>3213</v>
      </c>
      <c r="AJ75" s="976" t="s">
        <v>3214</v>
      </c>
      <c r="AK75" s="976" t="s">
        <v>3215</v>
      </c>
      <c r="AL75" s="985" t="s">
        <v>3216</v>
      </c>
      <c r="AM75" s="1256">
        <v>50980132</v>
      </c>
      <c r="AN75" s="963" t="s">
        <v>2573</v>
      </c>
      <c r="AO75" s="967">
        <f>AM75/E75*100</f>
        <v>80</v>
      </c>
      <c r="AP75" s="973"/>
      <c r="AQ75" s="969" t="str">
        <f>IF(OR(AF75="Sudah Penetapan",AF75="Kontrak",AF75="BAHP",AF75="SPPBJ"),"SUDAH",IF(J75="03 Sudah Usul SIPBJ (Dok. dlm Reviu)","BELUM TAYANG",IF(AF75="PROSES","PROSES")))</f>
        <v>SUDAH</v>
      </c>
      <c r="AR75" s="974" t="s">
        <v>3217</v>
      </c>
    </row>
    <row r="76" spans="1:44" s="17" customFormat="1" ht="48">
      <c r="A76" s="937" t="s">
        <v>3218</v>
      </c>
      <c r="B76" s="1030" t="s">
        <v>3219</v>
      </c>
      <c r="C76" s="939" t="s">
        <v>2541</v>
      </c>
      <c r="D76" s="940">
        <v>56984541</v>
      </c>
      <c r="E76" s="1065">
        <v>35259001</v>
      </c>
      <c r="F76" s="1067" t="s">
        <v>3206</v>
      </c>
      <c r="G76" s="1067" t="s">
        <v>2542</v>
      </c>
      <c r="H76" s="1067" t="s">
        <v>3207</v>
      </c>
      <c r="I76" s="942" t="s">
        <v>3220</v>
      </c>
      <c r="J76" s="943" t="s">
        <v>2545</v>
      </c>
      <c r="K76" s="944" t="s">
        <v>2726</v>
      </c>
      <c r="L76" s="1257" t="s">
        <v>2737</v>
      </c>
      <c r="M76" s="1258" t="s">
        <v>2738</v>
      </c>
      <c r="N76" s="947">
        <v>45758</v>
      </c>
      <c r="O76" s="947">
        <v>45786</v>
      </c>
      <c r="P76" s="1259">
        <f>O76-N76</f>
        <v>28</v>
      </c>
      <c r="Q76" s="1260">
        <f ca="1">IF(N76="",0,TODAY()-N76)</f>
        <v>409</v>
      </c>
      <c r="R76" s="947">
        <v>45813</v>
      </c>
      <c r="S76" s="1261">
        <f>R76-N76</f>
        <v>55</v>
      </c>
      <c r="T76" s="952" t="str">
        <f>IF(F76="JK",IF(S76&lt;=45,"Belum Terlambat (JK)","Terlambat &gt; 45HK(JK)"),IF(F76="PK",IF(S76&lt;=35,"Belum Terlambat (PK)","Terlambat&gt;35(PK)")))</f>
        <v>Terlambat&gt;35(PK)</v>
      </c>
      <c r="U76" s="1262">
        <f ca="1">IF(I76="JK",60-Q76,45-Q76)</f>
        <v>-364</v>
      </c>
      <c r="V76" s="947">
        <v>45768</v>
      </c>
      <c r="W76" s="947">
        <v>45813</v>
      </c>
      <c r="X76" s="1096"/>
      <c r="Y76" s="1127">
        <f>W76-V76</f>
        <v>45</v>
      </c>
      <c r="Z76" s="1098"/>
      <c r="AA76" s="1263" t="s">
        <v>3221</v>
      </c>
      <c r="AB76" s="972" t="s">
        <v>3222</v>
      </c>
      <c r="AC76" s="1255" t="str">
        <f>IF(AD76&lt;=45,"Paket Tepat Waktu/kurang dari 45HK","Tidak Tepat Waktu")</f>
        <v>Paket Tepat Waktu/kurang dari 45HK</v>
      </c>
      <c r="AD76" s="165">
        <f>S76-1-1-2-2-4</f>
        <v>45</v>
      </c>
      <c r="AE76" s="960">
        <f>IF(F76="JK",60-AD76,45-AD76)</f>
        <v>0</v>
      </c>
      <c r="AF76" s="961" t="s">
        <v>2529</v>
      </c>
      <c r="AG76" s="976" t="s">
        <v>3223</v>
      </c>
      <c r="AH76" s="976" t="s">
        <v>3224</v>
      </c>
      <c r="AI76" s="963" t="s">
        <v>3225</v>
      </c>
      <c r="AJ76" s="976" t="s">
        <v>3226</v>
      </c>
      <c r="AK76" s="1264" t="s">
        <v>3227</v>
      </c>
      <c r="AL76" s="985" t="s">
        <v>3228</v>
      </c>
      <c r="AM76" s="1256">
        <v>27819108.497850001</v>
      </c>
      <c r="AN76" s="963" t="s">
        <v>2573</v>
      </c>
      <c r="AO76" s="967">
        <f>AM76/E76*100</f>
        <v>78.899309988533133</v>
      </c>
      <c r="AP76" s="973"/>
      <c r="AQ76" s="969" t="str">
        <f>IF(OR(AF76="Sudah Penetapan",AF76="Kontrak",AF76="BAHP",AF76="SPPBJ"),"SUDAH",IF(J76="03 Sudah Usul SIPBJ (Dok. dlm Reviu)","BELUM TAYANG",IF(AF76="PROSES","PROSES")))</f>
        <v>SUDAH</v>
      </c>
      <c r="AR76" s="974" t="s">
        <v>3217</v>
      </c>
    </row>
    <row r="77" spans="1:44" s="17" customFormat="1" ht="48">
      <c r="A77" s="937" t="s">
        <v>3229</v>
      </c>
      <c r="B77" s="938" t="s">
        <v>3230</v>
      </c>
      <c r="C77" s="942" t="s">
        <v>2541</v>
      </c>
      <c r="D77" s="940">
        <v>55755486</v>
      </c>
      <c r="E77" s="1065">
        <v>55754795</v>
      </c>
      <c r="F77" s="1067" t="s">
        <v>3206</v>
      </c>
      <c r="G77" s="1067" t="s">
        <v>2542</v>
      </c>
      <c r="H77" s="1067" t="s">
        <v>3207</v>
      </c>
      <c r="I77" s="942" t="s">
        <v>3231</v>
      </c>
      <c r="J77" s="943" t="s">
        <v>2545</v>
      </c>
      <c r="K77" s="944" t="s">
        <v>38</v>
      </c>
      <c r="L77" s="945" t="s">
        <v>2727</v>
      </c>
      <c r="M77" s="945" t="s">
        <v>2728</v>
      </c>
      <c r="N77" s="946">
        <v>45770</v>
      </c>
      <c r="O77" s="947">
        <v>45804</v>
      </c>
      <c r="P77" s="955">
        <f>O77-N77</f>
        <v>34</v>
      </c>
      <c r="Q77" s="1265">
        <f ca="1">IF(N77="",0,TODAY()-N77)</f>
        <v>397</v>
      </c>
      <c r="R77" s="989">
        <v>45813</v>
      </c>
      <c r="S77" s="1261">
        <f>R77-N77</f>
        <v>43</v>
      </c>
      <c r="T77" s="952" t="str">
        <f>IF(F77="JK",IF(S77&lt;=45,"Belum Terlambat (JK)","Terlambat &gt; 45HK(JK)"),IF(F77="PK",IF(S77&lt;=35,"Belum Terlambat (PK)","Terlambat&gt;35(PK)")))</f>
        <v>Terlambat&gt;35(PK)</v>
      </c>
      <c r="U77" s="953"/>
      <c r="V77" s="946">
        <v>45779</v>
      </c>
      <c r="W77" s="947">
        <v>45813</v>
      </c>
      <c r="X77" s="1096"/>
      <c r="Y77" s="1127">
        <f>W77-V77</f>
        <v>34</v>
      </c>
      <c r="Z77" s="1118"/>
      <c r="AA77" s="1266" t="s">
        <v>2549</v>
      </c>
      <c r="AB77" s="972" t="s">
        <v>3232</v>
      </c>
      <c r="AC77" s="1255" t="str">
        <f>IF(AD77&lt;=45,"Paket Tepat Waktu/kurang dari 45HK","Tidak Tepat Waktu")</f>
        <v>Paket Tepat Waktu/kurang dari 45HK</v>
      </c>
      <c r="AD77" s="977">
        <f>S77-2-1-2</f>
        <v>38</v>
      </c>
      <c r="AE77" s="960">
        <f>IF(F77="JK",60-AD77,45-AD77)</f>
        <v>7</v>
      </c>
      <c r="AF77" s="961" t="s">
        <v>2529</v>
      </c>
      <c r="AG77" s="976" t="s">
        <v>3233</v>
      </c>
      <c r="AH77" s="976" t="s">
        <v>3234</v>
      </c>
      <c r="AI77" s="963" t="s">
        <v>3235</v>
      </c>
      <c r="AJ77" s="964" t="s">
        <v>3236</v>
      </c>
      <c r="AK77" s="976" t="s">
        <v>3237</v>
      </c>
      <c r="AL77" s="964" t="s">
        <v>3238</v>
      </c>
      <c r="AM77" s="1256">
        <v>50175000</v>
      </c>
      <c r="AN77" s="963" t="s">
        <v>2557</v>
      </c>
      <c r="AO77" s="967">
        <f>AM77/E77*100</f>
        <v>89.992259858546703</v>
      </c>
      <c r="AP77" s="973"/>
      <c r="AQ77" s="969" t="str">
        <f>IF(OR(AF77="Sudah Penetapan",AF77="Kontrak",AF77="BAHP",AF77="SPPBJ"),"SUDAH",IF(J77="03 Sudah Usul SIPBJ (Dok. dlm Reviu)","BELUM TAYANG",IF(AF77="PROSES","PROSES")))</f>
        <v>SUDAH</v>
      </c>
      <c r="AR77" s="974" t="s">
        <v>3217</v>
      </c>
    </row>
    <row r="78" spans="1:44" s="17" customFormat="1" ht="61.5">
      <c r="A78" s="937" t="s">
        <v>3239</v>
      </c>
      <c r="B78" s="938" t="s">
        <v>3240</v>
      </c>
      <c r="C78" s="942" t="s">
        <v>2561</v>
      </c>
      <c r="D78" s="940">
        <v>110000000</v>
      </c>
      <c r="E78" s="1065">
        <v>109970003.853</v>
      </c>
      <c r="F78" s="1067" t="s">
        <v>3206</v>
      </c>
      <c r="G78" s="1067" t="s">
        <v>2542</v>
      </c>
      <c r="H78" s="1067" t="s">
        <v>2578</v>
      </c>
      <c r="I78" s="942" t="s">
        <v>2778</v>
      </c>
      <c r="J78" s="943" t="s">
        <v>2545</v>
      </c>
      <c r="K78" s="944" t="s">
        <v>2659</v>
      </c>
      <c r="L78" s="945" t="s">
        <v>3241</v>
      </c>
      <c r="M78" s="945" t="s">
        <v>3242</v>
      </c>
      <c r="N78" s="946">
        <v>45779</v>
      </c>
      <c r="O78" s="947">
        <v>45813</v>
      </c>
      <c r="P78" s="955">
        <v>34</v>
      </c>
      <c r="Q78" s="1265">
        <f ca="1">IF(N78="",0,TODAY()-N78)</f>
        <v>388</v>
      </c>
      <c r="R78" s="947">
        <v>45841</v>
      </c>
      <c r="S78" s="1261">
        <f>R78-N78</f>
        <v>62</v>
      </c>
      <c r="T78" s="952" t="str">
        <f>IF(F78="JK",IF(S78&lt;=45,"Belum Terlambat (JK)","Terlambat &gt; 45HK(JK)"),IF(F78="PK",IF(S78&lt;=35,"Belum Terlambat (PK)","Terlambat&gt;35(PK)")))</f>
        <v>Terlambat&gt;35(PK)</v>
      </c>
      <c r="U78" s="953"/>
      <c r="V78" s="947">
        <v>45791</v>
      </c>
      <c r="W78" s="947">
        <v>45841</v>
      </c>
      <c r="X78" s="1096"/>
      <c r="Y78" s="1127">
        <f>W78-V78</f>
        <v>50</v>
      </c>
      <c r="Z78" s="1118"/>
      <c r="AA78" s="1266" t="s">
        <v>2549</v>
      </c>
      <c r="AB78" s="975" t="s">
        <v>3243</v>
      </c>
      <c r="AC78" s="1255" t="str">
        <f>IF(AD78&lt;=45,"Paket Tepat Waktu/kurang dari 45HK","Tidak Tepat Waktu")</f>
        <v>Paket Tepat Waktu/kurang dari 45HK</v>
      </c>
      <c r="AD78" s="977">
        <f>S78-2-2-4-1-16</f>
        <v>37</v>
      </c>
      <c r="AE78" s="960">
        <f>IF(F78="JK",60-AD78,45-AD78)</f>
        <v>8</v>
      </c>
      <c r="AF78" s="961" t="s">
        <v>2529</v>
      </c>
      <c r="AG78" s="976" t="s">
        <v>3244</v>
      </c>
      <c r="AH78" s="976" t="s">
        <v>3245</v>
      </c>
      <c r="AI78" s="963" t="s">
        <v>3246</v>
      </c>
      <c r="AJ78" s="963" t="s">
        <v>3247</v>
      </c>
      <c r="AK78" s="1007" t="s">
        <v>3248</v>
      </c>
      <c r="AL78" s="964" t="s">
        <v>3249</v>
      </c>
      <c r="AM78" s="1267">
        <v>87976003.082399994</v>
      </c>
      <c r="AN78" s="963" t="s">
        <v>2573</v>
      </c>
      <c r="AO78" s="967">
        <f>AM78/E78*100</f>
        <v>80</v>
      </c>
      <c r="AP78" s="973"/>
      <c r="AQ78" s="969" t="str">
        <f>IF(OR(AF78="Sudah Penetapan",AF78="Kontrak",AF78="BAHP",AF78="SPPBJ"),"SUDAH",IF(J78="03 Sudah Usul SIPBJ (Dok. dlm Reviu)","BELUM TAYANG",IF(AF78="PROSES","PROSES")))</f>
        <v>SUDAH</v>
      </c>
      <c r="AR78" s="974" t="s">
        <v>3217</v>
      </c>
    </row>
    <row r="79" spans="1:44" s="17" customFormat="1" ht="48">
      <c r="A79" s="937" t="s">
        <v>3250</v>
      </c>
      <c r="B79" s="938" t="s">
        <v>3251</v>
      </c>
      <c r="C79" s="945" t="s">
        <v>2541</v>
      </c>
      <c r="D79" s="940">
        <v>41413086</v>
      </c>
      <c r="E79" s="1065">
        <v>41105000</v>
      </c>
      <c r="F79" s="1067" t="s">
        <v>3206</v>
      </c>
      <c r="G79" s="1067" t="s">
        <v>2542</v>
      </c>
      <c r="H79" s="1067" t="s">
        <v>3207</v>
      </c>
      <c r="I79" s="942" t="s">
        <v>3252</v>
      </c>
      <c r="J79" s="943" t="s">
        <v>2545</v>
      </c>
      <c r="K79" s="944" t="s">
        <v>33</v>
      </c>
      <c r="L79" s="945" t="s">
        <v>3253</v>
      </c>
      <c r="M79" s="945" t="s">
        <v>3254</v>
      </c>
      <c r="N79" s="946">
        <v>45772</v>
      </c>
      <c r="O79" s="947">
        <v>45806</v>
      </c>
      <c r="P79" s="948">
        <f>O79-N79</f>
        <v>34</v>
      </c>
      <c r="Q79" s="1265">
        <f ca="1">IF(N79="",0,TODAY()-N79)</f>
        <v>395</v>
      </c>
      <c r="R79" s="947">
        <v>45819</v>
      </c>
      <c r="S79" s="1261">
        <f>R79-N79</f>
        <v>47</v>
      </c>
      <c r="T79" s="952" t="str">
        <f>IF(F79="JK",IF(S79&lt;=45,"Belum Terlambat (JK)","Terlambat &gt; 45HK(JK)"),IF(F79="PK",IF(S79&lt;=35,"Belum Terlambat (PK)","Terlambat&gt;35(PK)")))</f>
        <v>Terlambat&gt;35(PK)</v>
      </c>
      <c r="U79" s="953">
        <f ca="1">IF(I79="JK",60-Q79,45-Q79)</f>
        <v>-350</v>
      </c>
      <c r="V79" s="946">
        <v>45779</v>
      </c>
      <c r="W79" s="947">
        <v>45819</v>
      </c>
      <c r="X79" s="1096"/>
      <c r="Y79" s="1127">
        <f>W79-V79</f>
        <v>40</v>
      </c>
      <c r="Z79" s="1118"/>
      <c r="AA79" s="1266" t="s">
        <v>2549</v>
      </c>
      <c r="AB79" s="1268" t="s">
        <v>3255</v>
      </c>
      <c r="AC79" s="1255" t="str">
        <f>IF(AD79&lt;=45,"Paket Tepat Waktu/kurang dari 45HK","Tidak Tepat Waktu")</f>
        <v>Paket Tepat Waktu/kurang dari 45HK</v>
      </c>
      <c r="AD79" s="977">
        <f>S79-1-2-2</f>
        <v>42</v>
      </c>
      <c r="AE79" s="960">
        <f>IF(F79="JK",60-AD79,45-AD79)</f>
        <v>3</v>
      </c>
      <c r="AF79" s="961" t="s">
        <v>2529</v>
      </c>
      <c r="AG79" s="976" t="s">
        <v>3256</v>
      </c>
      <c r="AH79" s="976" t="s">
        <v>3257</v>
      </c>
      <c r="AI79" s="964" t="s">
        <v>3258</v>
      </c>
      <c r="AJ79" s="964" t="s">
        <v>3259</v>
      </c>
      <c r="AK79" s="976" t="s">
        <v>3260</v>
      </c>
      <c r="AL79" s="964" t="s">
        <v>3261</v>
      </c>
      <c r="AM79" s="1269">
        <v>34351230.34183</v>
      </c>
      <c r="AN79" s="963" t="s">
        <v>2573</v>
      </c>
      <c r="AO79" s="967">
        <f>AM79/E79*100</f>
        <v>83.56946926609902</v>
      </c>
      <c r="AP79" s="973"/>
      <c r="AQ79" s="969" t="str">
        <f>IF(OR(AF79="Sudah Penetapan",AF79="Kontrak",AF79="BAHP",AF79="SPPBJ"),"SUDAH",IF(J79="03 Sudah Usul SIPBJ (Dok. dlm Reviu)","BELUM TAYANG",IF(AF79="PROSES","PROSES")))</f>
        <v>SUDAH</v>
      </c>
      <c r="AR79" s="974" t="s">
        <v>3217</v>
      </c>
    </row>
    <row r="80" spans="1:44" s="17" customFormat="1" ht="48">
      <c r="A80" s="1270" t="s">
        <v>3262</v>
      </c>
      <c r="B80" s="938" t="s">
        <v>3263</v>
      </c>
      <c r="C80" s="1024" t="s">
        <v>2561</v>
      </c>
      <c r="D80" s="1032">
        <v>28676339</v>
      </c>
      <c r="E80" s="1271">
        <v>28676338</v>
      </c>
      <c r="F80" s="1206" t="s">
        <v>3206</v>
      </c>
      <c r="G80" s="1206" t="s">
        <v>2542</v>
      </c>
      <c r="H80" s="1206" t="s">
        <v>2578</v>
      </c>
      <c r="I80" s="1000" t="s">
        <v>2768</v>
      </c>
      <c r="J80" s="1033" t="s">
        <v>2545</v>
      </c>
      <c r="K80" s="944" t="s">
        <v>811</v>
      </c>
      <c r="L80" s="945" t="s">
        <v>2769</v>
      </c>
      <c r="M80" s="945" t="s">
        <v>2770</v>
      </c>
      <c r="N80" s="946">
        <v>45792</v>
      </c>
      <c r="O80" s="947">
        <v>45826</v>
      </c>
      <c r="P80" s="948">
        <f>O80-N80</f>
        <v>34</v>
      </c>
      <c r="Q80" s="1265">
        <f ca="1">IF(N80="",0,TODAY()-N80)</f>
        <v>375</v>
      </c>
      <c r="R80" s="947">
        <v>45826</v>
      </c>
      <c r="S80" s="1261">
        <f>R80-N80</f>
        <v>34</v>
      </c>
      <c r="T80" s="952" t="str">
        <f>IF(F80="JK",IF(S80&lt;=45,"Belum Terlambat (JK)","Terlambat &gt; 45HK(JK)"),IF(F80="PK",IF(S80&lt;=35,"Belum Terlambat (PK)","Terlambat&gt;35(PK)")))</f>
        <v>Belum Terlambat (PK)</v>
      </c>
      <c r="U80" s="953"/>
      <c r="V80" s="946">
        <v>45800</v>
      </c>
      <c r="W80" s="947">
        <v>45826</v>
      </c>
      <c r="X80" s="1096"/>
      <c r="Y80" s="1127">
        <f>W80-V80</f>
        <v>26</v>
      </c>
      <c r="Z80" s="1118"/>
      <c r="AA80" s="1272" t="s">
        <v>3264</v>
      </c>
      <c r="AB80" s="1010" t="s">
        <v>3265</v>
      </c>
      <c r="AC80" s="1255" t="str">
        <f>IF(AD80&lt;=45,"Paket Tepat Waktu/kurang dari 45HK","Tidak Tepat Waktu")</f>
        <v>Paket Tepat Waktu/kurang dari 45HK</v>
      </c>
      <c r="AD80" s="977">
        <f>S80-2-2</f>
        <v>30</v>
      </c>
      <c r="AE80" s="960">
        <f>IF(F80="JK",60-AD80,45-AD80)</f>
        <v>15</v>
      </c>
      <c r="AF80" s="961" t="s">
        <v>2529</v>
      </c>
      <c r="AG80" s="976" t="s">
        <v>3266</v>
      </c>
      <c r="AH80" s="976" t="s">
        <v>3267</v>
      </c>
      <c r="AI80" s="963" t="s">
        <v>3268</v>
      </c>
      <c r="AJ80" s="964" t="s">
        <v>3269</v>
      </c>
      <c r="AK80" s="1007" t="s">
        <v>3270</v>
      </c>
      <c r="AL80" s="1273" t="s">
        <v>3271</v>
      </c>
      <c r="AM80" s="1267">
        <v>22941070.399999999</v>
      </c>
      <c r="AN80" s="963" t="s">
        <v>2573</v>
      </c>
      <c r="AO80" s="967">
        <f>AM80/E80*100</f>
        <v>80</v>
      </c>
      <c r="AP80" s="973"/>
      <c r="AQ80" s="1274" t="str">
        <f>IF(OR(AF80="Sudah Penetapan",AF80="Kontrak",AF80="BAHP",AF80="SPPBJ"),"SUDAH",IF(J80="03 Sudah Usul SIPBJ (Dok. dlm Reviu)","BELUM TAYANG",IF(AF80="PROSES","PROSES")))</f>
        <v>SUDAH</v>
      </c>
      <c r="AR80" s="1275" t="s">
        <v>3217</v>
      </c>
    </row>
    <row r="81" spans="1:46" s="17" customFormat="1" ht="76.5">
      <c r="A81" s="1276" t="s">
        <v>3272</v>
      </c>
      <c r="B81" s="1277" t="s">
        <v>3273</v>
      </c>
      <c r="C81" s="1278" t="s">
        <v>2561</v>
      </c>
      <c r="D81" s="1032">
        <v>33600000</v>
      </c>
      <c r="E81" s="1032">
        <v>33599995.740999997</v>
      </c>
      <c r="F81" s="999" t="s">
        <v>3206</v>
      </c>
      <c r="G81" s="999" t="s">
        <v>2542</v>
      </c>
      <c r="H81" s="999" t="s">
        <v>2578</v>
      </c>
      <c r="I81" s="1279" t="s">
        <v>3274</v>
      </c>
      <c r="J81" s="1033" t="s">
        <v>2545</v>
      </c>
      <c r="K81" s="1207" t="s">
        <v>2668</v>
      </c>
      <c r="L81" s="1280" t="s">
        <v>3241</v>
      </c>
      <c r="M81" s="1280" t="s">
        <v>3275</v>
      </c>
      <c r="N81" s="1002">
        <v>45798</v>
      </c>
      <c r="O81" s="1003">
        <v>45833</v>
      </c>
      <c r="P81" s="1004">
        <f>O81-N81</f>
        <v>35</v>
      </c>
      <c r="Q81" s="1281">
        <f ca="1">IF(N81="",0,TODAY()-N81)</f>
        <v>369</v>
      </c>
      <c r="R81" s="1003">
        <v>45856</v>
      </c>
      <c r="S81" s="1282">
        <f>R81-N81</f>
        <v>58</v>
      </c>
      <c r="T81" s="952" t="str">
        <f>IF(F81="JK",IF(S81&lt;=45,"Belum Terlambat (JK)","Terlambat &gt; 45HK(JK)"),IF(F81="PK",IF(S81&lt;=35,"Belum Terlambat (PK)","Terlambat&gt;35(PK)")))</f>
        <v>Terlambat&gt;35(PK)</v>
      </c>
      <c r="U81" s="1036">
        <f ca="1">IF(I81="JK",60-Q81,45-Q81)</f>
        <v>-324</v>
      </c>
      <c r="V81" s="1003">
        <v>45810</v>
      </c>
      <c r="W81" s="1003">
        <v>45856</v>
      </c>
      <c r="X81" s="1112"/>
      <c r="Y81" s="1283">
        <f>W81-V81</f>
        <v>46</v>
      </c>
      <c r="Z81" s="1284"/>
      <c r="AA81" s="1272" t="s">
        <v>3276</v>
      </c>
      <c r="AB81" s="1285" t="s">
        <v>3277</v>
      </c>
      <c r="AC81" s="1286" t="str">
        <f>IF(AD81&lt;=45,"Paket Tepat Waktu/kurang dari 45HK","Tidak Tepat Waktu")</f>
        <v>Paket Tepat Waktu/kurang dari 45HK</v>
      </c>
      <c r="AD81" s="217">
        <f>S81-2-2-2-12-5-4-5</f>
        <v>26</v>
      </c>
      <c r="AE81" s="1163">
        <f>IF(F81="JK",60-AD81,45-AD81)</f>
        <v>19</v>
      </c>
      <c r="AF81" s="961" t="s">
        <v>2529</v>
      </c>
      <c r="AG81" s="1049" t="s">
        <v>3278</v>
      </c>
      <c r="AH81" s="1049"/>
      <c r="AI81" s="1062" t="s">
        <v>3279</v>
      </c>
      <c r="AJ81" s="1062"/>
      <c r="AK81" s="1062"/>
      <c r="AL81" s="1062"/>
      <c r="AM81" s="1287">
        <v>27888000</v>
      </c>
      <c r="AN81" s="1062" t="s">
        <v>2573</v>
      </c>
      <c r="AO81" s="967">
        <f>AM81/E81*100</f>
        <v>83.000010520745391</v>
      </c>
      <c r="AP81" s="980"/>
      <c r="AQ81" s="1274" t="str">
        <f>IF(OR(AF81="Sudah Penetapan",AF81="Kontrak",AF81="BAHP",AF81="SPPBJ"),"SUDAH",IF(J81="03 Sudah Usul SIPBJ (Dok. dlm Reviu)","BELUM TAYANG",IF(AF81="PROSES","PROSES")))</f>
        <v>SUDAH</v>
      </c>
      <c r="AR81" s="1275" t="s">
        <v>3217</v>
      </c>
    </row>
    <row r="82" spans="1:46" s="17" customFormat="1" ht="48">
      <c r="A82" s="1288" t="s">
        <v>3280</v>
      </c>
      <c r="B82" s="1030" t="s">
        <v>3281</v>
      </c>
      <c r="C82" s="1031" t="s">
        <v>2561</v>
      </c>
      <c r="D82" s="1032">
        <v>38000000</v>
      </c>
      <c r="E82" s="1289">
        <v>37999979.267279997</v>
      </c>
      <c r="F82" s="999" t="s">
        <v>3206</v>
      </c>
      <c r="G82" s="999" t="s">
        <v>2542</v>
      </c>
      <c r="H82" s="999" t="s">
        <v>2578</v>
      </c>
      <c r="I82" s="1000" t="s">
        <v>2646</v>
      </c>
      <c r="J82" s="1277" t="s">
        <v>2545</v>
      </c>
      <c r="K82" s="1290" t="s">
        <v>187</v>
      </c>
      <c r="L82" s="1290" t="s">
        <v>2564</v>
      </c>
      <c r="M82" s="1290" t="s">
        <v>3282</v>
      </c>
      <c r="N82" s="1003">
        <v>45786</v>
      </c>
      <c r="O82" s="1003">
        <v>45856</v>
      </c>
      <c r="P82" s="1037">
        <f t="shared" ref="P82" si="16">O82-N82</f>
        <v>70</v>
      </c>
      <c r="Q82" s="1281">
        <f ca="1">IF(N82="",0,TODAY()-N82)</f>
        <v>381</v>
      </c>
      <c r="R82" s="1003">
        <v>45856</v>
      </c>
      <c r="S82" s="1291">
        <f>R82-N82</f>
        <v>70</v>
      </c>
      <c r="T82" s="952" t="str">
        <f>IF(F82="JK",IF(S82&lt;=45,"Belum Terlambat (JK)","Terlambat &gt; 45HK(JK)"),IF(F82="PK",IF(S82&lt;=35,"Belum Terlambat (PK)","Terlambat&gt;35(PK)")))</f>
        <v>Terlambat&gt;35(PK)</v>
      </c>
      <c r="U82" s="1036">
        <f ca="1">IF(I82="JK",60-Q82,45-Q82)</f>
        <v>-336</v>
      </c>
      <c r="V82" s="1003">
        <v>45796</v>
      </c>
      <c r="W82" s="1003">
        <v>45856</v>
      </c>
      <c r="X82" s="1037">
        <f ca="1">IF(V82="",0,TODAY()-V82)</f>
        <v>371</v>
      </c>
      <c r="Y82" s="1292">
        <f>W82-V82</f>
        <v>60</v>
      </c>
      <c r="Z82" s="1098"/>
      <c r="AA82" s="1272" t="s">
        <v>3283</v>
      </c>
      <c r="AB82" s="1293" t="s">
        <v>3284</v>
      </c>
      <c r="AC82" s="1286" t="str">
        <f>IF(AD82&lt;45,"Paket Tepat Waktu/kurang dari 45HK","Tidak Tepat Waktu")</f>
        <v>Paket Tepat Waktu/kurang dari 45HK</v>
      </c>
      <c r="AD82" s="977">
        <f>S82-2-2-2-4-2-12-5</f>
        <v>41</v>
      </c>
      <c r="AE82" s="1046">
        <f>IF(F82="JK",60-AD82,45-AD82)</f>
        <v>4</v>
      </c>
      <c r="AF82" s="1122" t="s">
        <v>2529</v>
      </c>
      <c r="AG82" s="1294" t="s">
        <v>3285</v>
      </c>
      <c r="AH82" s="1049"/>
      <c r="AI82" s="1062" t="s">
        <v>3286</v>
      </c>
      <c r="AJ82" s="1062" t="s">
        <v>3287</v>
      </c>
      <c r="AK82" s="1062"/>
      <c r="AL82" s="1062"/>
      <c r="AM82" s="1051">
        <v>35256380.000030003</v>
      </c>
      <c r="AN82" s="1062" t="s">
        <v>2573</v>
      </c>
      <c r="AO82" s="967">
        <f>AM82/E82*100</f>
        <v>92.779997989071589</v>
      </c>
      <c r="AP82" s="980"/>
      <c r="AQ82" s="1274" t="str">
        <f>IF(OR(AF82="Sudah Penetapan",AF82="Kontrak",AF82="BAHP",AF82="SPPBJ"),"SUDAH",IF(J82="03 Sudah Usul SIPBJ (Dok. dlm Reviu)","BELUM TAYANG",IF(AF82="PROSES","PROSES")))</f>
        <v>SUDAH</v>
      </c>
      <c r="AR82" s="1275" t="s">
        <v>3217</v>
      </c>
    </row>
    <row r="83" spans="1:46" ht="48">
      <c r="A83" s="1288" t="s">
        <v>3288</v>
      </c>
      <c r="B83" s="1053" t="s">
        <v>3289</v>
      </c>
      <c r="C83" s="939" t="s">
        <v>2561</v>
      </c>
      <c r="D83" s="940">
        <v>10050000</v>
      </c>
      <c r="E83" s="940">
        <v>10050000</v>
      </c>
      <c r="F83" s="941" t="s">
        <v>3206</v>
      </c>
      <c r="G83" s="941" t="s">
        <v>2542</v>
      </c>
      <c r="H83" s="941" t="s">
        <v>2578</v>
      </c>
      <c r="I83" s="942" t="s">
        <v>3290</v>
      </c>
      <c r="J83" s="1053" t="s">
        <v>2545</v>
      </c>
      <c r="K83" s="944" t="s">
        <v>2563</v>
      </c>
      <c r="L83" s="939" t="s">
        <v>2833</v>
      </c>
      <c r="M83" s="939" t="s">
        <v>3131</v>
      </c>
      <c r="N83" s="947">
        <v>45870</v>
      </c>
      <c r="O83" s="947">
        <v>45904</v>
      </c>
      <c r="P83" s="1134">
        <f>O83-N83</f>
        <v>34</v>
      </c>
      <c r="Q83" s="1295">
        <f ca="1">IF(N83="",0,TODAY()-N83)</f>
        <v>297</v>
      </c>
      <c r="R83" s="947">
        <v>45904</v>
      </c>
      <c r="S83" s="1296">
        <f>R83-N83</f>
        <v>34</v>
      </c>
      <c r="T83" s="1043" t="str">
        <f ca="1">IF(F83="JK",IF(S83&lt;=45,"Belum Terlambat (JK)","Terlambat &gt; 45HK(JK)"),IF(F83="PK",IF(Q83&lt;=35,"Belum Terlambat (PK)","Terlambat&gt;35(PK)")))</f>
        <v>Terlambat&gt;35(PK)</v>
      </c>
      <c r="U83" s="1137">
        <f ca="1">IF(F83="JK",45-Q83,35-Q83)</f>
        <v>-262</v>
      </c>
      <c r="V83" s="954">
        <v>45880</v>
      </c>
      <c r="W83" s="954">
        <v>45904</v>
      </c>
      <c r="X83" s="955">
        <f ca="1">IF(V83="",0,TODAY()-V83)</f>
        <v>287</v>
      </c>
      <c r="Y83" s="1297">
        <f>W83-V83</f>
        <v>24</v>
      </c>
      <c r="Z83" s="1057"/>
      <c r="AA83" s="1298" t="s">
        <v>3291</v>
      </c>
      <c r="AB83" s="1268" t="s">
        <v>3292</v>
      </c>
      <c r="AC83" s="299" t="str">
        <f>IF(AD83&lt;=45,"Paket Tepat Waktu/kurang dari 45HK","Tidak Tepat Waktu")</f>
        <v>Paket Tepat Waktu/kurang dari 45HK</v>
      </c>
      <c r="AD83" s="1299">
        <f>S83</f>
        <v>34</v>
      </c>
      <c r="AE83" s="1300">
        <f>IF(D83="JK",60-AD83,45-AD83)</f>
        <v>11</v>
      </c>
      <c r="AF83" s="1301" t="s">
        <v>2529</v>
      </c>
      <c r="AG83" s="1302" t="s">
        <v>3293</v>
      </c>
      <c r="AH83" s="1303"/>
      <c r="AI83" s="1304" t="s">
        <v>3294</v>
      </c>
      <c r="AJ83" s="1304" t="s">
        <v>3295</v>
      </c>
      <c r="AK83" s="1305" t="s">
        <v>3296</v>
      </c>
      <c r="AL83" s="1306" t="s">
        <v>3297</v>
      </c>
      <c r="AM83" s="1307">
        <v>8000000</v>
      </c>
      <c r="AN83" s="1308" t="s">
        <v>2573</v>
      </c>
      <c r="AO83" s="967">
        <f>AM83/E83*100</f>
        <v>79.601990049751251</v>
      </c>
      <c r="AP83" s="1309"/>
      <c r="AQ83" s="1274" t="str">
        <f>IF(OR(AF83="Sudah Penetapan",AF83="Kontrak",AF83="BAHP",AF83="SPPBJ"),"SUDAH",IF(J83="03 Sudah Usul SIPBJ (Dok. dlm Reviu)","BELUM TAYANG",IF(AF83="PROSES","PROSES")))</f>
        <v>SUDAH</v>
      </c>
      <c r="AR83" s="1310" t="s">
        <v>3217</v>
      </c>
    </row>
    <row r="84" spans="1:46" ht="48">
      <c r="A84" s="1288" t="s">
        <v>3298</v>
      </c>
      <c r="B84" s="938" t="s">
        <v>3299</v>
      </c>
      <c r="C84" s="939" t="s">
        <v>2561</v>
      </c>
      <c r="D84" s="940">
        <v>27500000</v>
      </c>
      <c r="E84" s="940">
        <v>27491644</v>
      </c>
      <c r="F84" s="941" t="s">
        <v>3206</v>
      </c>
      <c r="G84" s="941" t="s">
        <v>2542</v>
      </c>
      <c r="H84" s="941" t="s">
        <v>2578</v>
      </c>
      <c r="I84" s="942" t="s">
        <v>3300</v>
      </c>
      <c r="J84" s="943" t="s">
        <v>2545</v>
      </c>
      <c r="K84" s="944" t="s">
        <v>2579</v>
      </c>
      <c r="L84" s="939" t="s">
        <v>2821</v>
      </c>
      <c r="M84" s="939" t="s">
        <v>3301</v>
      </c>
      <c r="N84" s="947">
        <v>45813</v>
      </c>
      <c r="O84" s="947">
        <v>45882</v>
      </c>
      <c r="P84" s="955">
        <f>O84-N84</f>
        <v>69</v>
      </c>
      <c r="Q84" s="1295">
        <f ca="1">IF(N84="",0,TODAY()-N84)</f>
        <v>354</v>
      </c>
      <c r="R84" s="947">
        <v>45882</v>
      </c>
      <c r="S84" s="1311">
        <f>R84-N84</f>
        <v>69</v>
      </c>
      <c r="T84" s="1043" t="str">
        <f ca="1">IF(F84="JK",IF(Q84&lt;=45,"Belum Terlambat (JK)","Terlambat &gt; 45HK(JK)"),IF(F84="PK",IF(Q84&lt;=35,"Belum Terlambat (PK)","Terlambat&gt;35(PK)")))</f>
        <v>Terlambat&gt;35(PK)</v>
      </c>
      <c r="U84" s="1137">
        <f ca="1">IF(F84="JK",45-Q84,35-Q84)</f>
        <v>-319</v>
      </c>
      <c r="V84" s="954">
        <v>45824</v>
      </c>
      <c r="W84" s="954">
        <v>45882</v>
      </c>
      <c r="X84" s="955">
        <f ca="1">IF(V84="",0,TODAY()-V84)</f>
        <v>343</v>
      </c>
      <c r="Y84" s="1297">
        <f>W84-V84</f>
        <v>58</v>
      </c>
      <c r="Z84" s="1312"/>
      <c r="AA84" s="1006" t="s">
        <v>3302</v>
      </c>
      <c r="AB84" s="1044" t="s">
        <v>3303</v>
      </c>
      <c r="AC84" s="1045" t="str">
        <f>IF(AD84&lt;=45,"Paket Tepat Waktu/kurang dari 45HK","Tidak Tepat Waktu")</f>
        <v>Paket Tepat Waktu/kurang dari 45HK</v>
      </c>
      <c r="AD84" s="1313">
        <f>S84-2-2-12-5-4-13</f>
        <v>31</v>
      </c>
      <c r="AE84" s="1300">
        <f>IF(D84="JK",60-AD84,45-AD84)</f>
        <v>14</v>
      </c>
      <c r="AF84" s="961" t="s">
        <v>2529</v>
      </c>
      <c r="AG84" s="976" t="s">
        <v>3304</v>
      </c>
      <c r="AH84" s="1314"/>
      <c r="AI84" s="963" t="s">
        <v>3305</v>
      </c>
      <c r="AJ84" s="1315"/>
      <c r="AK84" s="1315"/>
      <c r="AL84" s="1315"/>
      <c r="AM84" s="1256">
        <v>21993315.199999999</v>
      </c>
      <c r="AN84" s="1316" t="s">
        <v>2557</v>
      </c>
      <c r="AO84" s="967">
        <f>AM84/E84*100</f>
        <v>80</v>
      </c>
      <c r="AP84" s="1317"/>
      <c r="AQ84" s="1274" t="str">
        <f>IF(OR(AF84="Sudah Penetapan",AF84="Kontrak",AF84="BAHP",AF84="SPPBJ"),"SUDAH",IF(J84="03 Sudah Usul SIPBJ (Dok. dlm Reviu)","BELUM TAYANG",IF(AF84="PROSES","PROSES")))</f>
        <v>SUDAH</v>
      </c>
      <c r="AR84" s="1310" t="s">
        <v>3306</v>
      </c>
    </row>
    <row r="85" spans="1:46" ht="48">
      <c r="A85" s="1288" t="s">
        <v>3307</v>
      </c>
      <c r="B85" s="1053" t="s">
        <v>3308</v>
      </c>
      <c r="C85" s="939" t="s">
        <v>2561</v>
      </c>
      <c r="D85" s="940">
        <v>66500000</v>
      </c>
      <c r="E85" s="940">
        <v>30000000</v>
      </c>
      <c r="F85" s="941" t="s">
        <v>3206</v>
      </c>
      <c r="G85" s="941" t="s">
        <v>2542</v>
      </c>
      <c r="H85" s="941" t="s">
        <v>2578</v>
      </c>
      <c r="I85" s="942" t="s">
        <v>2646</v>
      </c>
      <c r="J85" s="943" t="s">
        <v>2545</v>
      </c>
      <c r="K85" s="944" t="s">
        <v>2546</v>
      </c>
      <c r="L85" s="939" t="s">
        <v>2769</v>
      </c>
      <c r="M85" s="939" t="s">
        <v>3309</v>
      </c>
      <c r="N85" s="947">
        <v>45881</v>
      </c>
      <c r="O85" s="947">
        <v>45915</v>
      </c>
      <c r="P85" s="955">
        <f>O85-N85</f>
        <v>34</v>
      </c>
      <c r="Q85" s="1265">
        <f ca="1">IF(N85="",0,TODAY()-N85)</f>
        <v>286</v>
      </c>
      <c r="R85" s="947">
        <v>45910</v>
      </c>
      <c r="S85" s="1311">
        <f>R85-N85</f>
        <v>29</v>
      </c>
      <c r="T85" s="1043" t="str">
        <f ca="1">IF(F85="JK",IF(Q85&lt;=45,"Belum Terlambat (JK)","Terlambat &gt; 45HK(JK)"),IF(F85="PK",IF(Q85&lt;=35,"Belum Terlambat (PK)","Terlambat&gt;35(PK)")))</f>
        <v>Terlambat&gt;35(PK)</v>
      </c>
      <c r="U85" s="1137">
        <f ca="1">IF(F85="JK",45-Q85,35-Q85)</f>
        <v>-251</v>
      </c>
      <c r="V85" s="947">
        <v>45889</v>
      </c>
      <c r="W85" s="947">
        <v>45910</v>
      </c>
      <c r="X85" s="955">
        <f ca="1">IF(V85="",0,TODAY()-V85)</f>
        <v>278</v>
      </c>
      <c r="Y85" s="1297">
        <f>W85-V85</f>
        <v>21</v>
      </c>
      <c r="Z85" s="1312"/>
      <c r="AA85" s="1128" t="s">
        <v>3310</v>
      </c>
      <c r="AB85" s="1318" t="s">
        <v>3311</v>
      </c>
      <c r="AC85" s="1045" t="str">
        <f>IF(AD85&lt;45,"Paket Tepat Waktu/kurang dari 45HK","Tidak Tepat Waktu")</f>
        <v>Paket Tepat Waktu/kurang dari 45HK</v>
      </c>
      <c r="AD85" s="1319">
        <f>S85</f>
        <v>29</v>
      </c>
      <c r="AE85" s="1046">
        <f>IF(F85="JK",60-AD85,45-AD85)</f>
        <v>16</v>
      </c>
      <c r="AF85" s="1122" t="s">
        <v>2529</v>
      </c>
      <c r="AG85" s="1320" t="s">
        <v>3312</v>
      </c>
      <c r="AH85" s="1321"/>
      <c r="AI85" s="1308" t="s">
        <v>3313</v>
      </c>
      <c r="AJ85" s="1322" t="s">
        <v>3314</v>
      </c>
      <c r="AK85" s="1322" t="s">
        <v>3315</v>
      </c>
      <c r="AL85" s="1322" t="s">
        <v>3316</v>
      </c>
      <c r="AM85" s="1323">
        <v>22382838.61022</v>
      </c>
      <c r="AN85" s="1308" t="s">
        <v>2557</v>
      </c>
      <c r="AO85" s="967">
        <f>AM85/E85*100</f>
        <v>74.609462034066667</v>
      </c>
      <c r="AP85" s="1309"/>
      <c r="AQ85" s="1274" t="str">
        <f>IF(OR(AF85="Sudah Penetapan",AF85="Kontrak",AF85="BAHP",AF85="SPPBJ"),"SUDAH",IF(J85="03 Sudah Usul SIPBJ (Dok. dlm Reviu)","BELUM TAYANG",IF(AF85="PROSES","PROSES")))</f>
        <v>SUDAH</v>
      </c>
      <c r="AR85" s="1310" t="s">
        <v>3217</v>
      </c>
    </row>
    <row r="86" spans="1:46" ht="48">
      <c r="A86" s="1324" t="s">
        <v>3317</v>
      </c>
      <c r="B86" s="1063" t="s">
        <v>3318</v>
      </c>
      <c r="C86" s="1144" t="s">
        <v>2633</v>
      </c>
      <c r="D86" s="1065">
        <v>22000000</v>
      </c>
      <c r="E86" s="1065">
        <v>21141725.27079</v>
      </c>
      <c r="F86" s="1067" t="s">
        <v>3206</v>
      </c>
      <c r="G86" s="1067" t="s">
        <v>2542</v>
      </c>
      <c r="H86" s="1067" t="s">
        <v>2578</v>
      </c>
      <c r="I86" s="1145" t="s">
        <v>3319</v>
      </c>
      <c r="J86" s="1070" t="s">
        <v>2545</v>
      </c>
      <c r="K86" s="1325" t="s">
        <v>2681</v>
      </c>
      <c r="L86" s="1144" t="s">
        <v>2821</v>
      </c>
      <c r="M86" s="1144" t="s">
        <v>3320</v>
      </c>
      <c r="N86" s="989">
        <v>45825</v>
      </c>
      <c r="O86" s="989">
        <v>45877</v>
      </c>
      <c r="P86" s="1152">
        <f>O86-N86</f>
        <v>52</v>
      </c>
      <c r="Q86" s="1251">
        <f ca="1">IF(N86="",0,TODAY()-N86)</f>
        <v>342</v>
      </c>
      <c r="R86" s="1167">
        <v>45877</v>
      </c>
      <c r="S86" s="1326">
        <f>R86-N86</f>
        <v>52</v>
      </c>
      <c r="T86" s="1327" t="str">
        <f>IF(F86="JK",IF(S86&lt;=45,"Belum Terlambat (JK)","Terlambat &gt; 45HK(JK)"),IF(F86="PK",IF(S86&lt;=35,"Belum Terlambat (PK)","Terlambat&gt;35(PK)")))</f>
        <v>Terlambat&gt;35(PK)</v>
      </c>
      <c r="U86" s="1253">
        <f ca="1">IF(I86="JK",60-Q86,45-Q86)</f>
        <v>-297</v>
      </c>
      <c r="V86" s="1328">
        <v>45840</v>
      </c>
      <c r="W86" s="1328">
        <v>45877</v>
      </c>
      <c r="X86" s="1152">
        <f ca="1">IF(V86="",0,TODAY()-V86)</f>
        <v>327</v>
      </c>
      <c r="Y86" s="1329">
        <f>W86-V86</f>
        <v>37</v>
      </c>
      <c r="Z86" s="1330"/>
      <c r="AA86" s="1331" t="s">
        <v>3321</v>
      </c>
      <c r="AB86" s="1332" t="s">
        <v>3322</v>
      </c>
      <c r="AC86" s="1333" t="str">
        <f>IF(AD86&lt;45,"Paket Tepat Waktu/kurang dari 45HK","Tidak Tepat Waktu")</f>
        <v>Paket Tepat Waktu/kurang dari 45HK</v>
      </c>
      <c r="AD86" s="977">
        <f>S86-1-3-4-2-7-13</f>
        <v>22</v>
      </c>
      <c r="AE86" s="1334">
        <f>IF(F86="JK",60-AD86,45-AD86)</f>
        <v>23</v>
      </c>
      <c r="AF86" s="961" t="s">
        <v>2529</v>
      </c>
      <c r="AG86" s="1335" t="s">
        <v>3323</v>
      </c>
      <c r="AH86" s="1314"/>
      <c r="AI86" s="1336" t="s">
        <v>3324</v>
      </c>
      <c r="AJ86" s="1315" t="s">
        <v>3325</v>
      </c>
      <c r="AK86" s="1315" t="s">
        <v>3326</v>
      </c>
      <c r="AL86" s="1315" t="s">
        <v>3327</v>
      </c>
      <c r="AM86" s="1194">
        <v>16913380.216630001</v>
      </c>
      <c r="AN86" s="1336" t="s">
        <v>2557</v>
      </c>
      <c r="AO86" s="967">
        <f>AM86/E86*100</f>
        <v>79.99999999999055</v>
      </c>
      <c r="AP86" s="1317"/>
      <c r="AQ86" s="969" t="str">
        <f>IF(OR(AF86="Sudah Penetapan",AF86="Kontrak",AF86="BAHP",AF86="SPPBJ"),"SUDAH",IF(J86="03 Sudah Usul SIPBJ (Dok. dlm Reviu)","BELUM TAYANG",IF(AF86="PROSES","PROSES")))</f>
        <v>SUDAH</v>
      </c>
      <c r="AR86" s="1337" t="s">
        <v>3217</v>
      </c>
    </row>
    <row r="87" spans="1:46" ht="48">
      <c r="A87" s="1324" t="s">
        <v>3328</v>
      </c>
      <c r="B87" s="938" t="s">
        <v>3329</v>
      </c>
      <c r="C87" s="939" t="s">
        <v>2918</v>
      </c>
      <c r="D87" s="940">
        <v>16200000</v>
      </c>
      <c r="E87" s="940">
        <v>16200000</v>
      </c>
      <c r="F87" s="941" t="s">
        <v>3206</v>
      </c>
      <c r="G87" s="941" t="s">
        <v>2542</v>
      </c>
      <c r="H87" s="941" t="s">
        <v>2578</v>
      </c>
      <c r="I87" s="942" t="s">
        <v>2919</v>
      </c>
      <c r="J87" s="943" t="s">
        <v>2545</v>
      </c>
      <c r="K87" s="944" t="s">
        <v>2726</v>
      </c>
      <c r="L87" s="939" t="s">
        <v>3330</v>
      </c>
      <c r="M87" s="939" t="s">
        <v>3331</v>
      </c>
      <c r="N87" s="947">
        <v>45867</v>
      </c>
      <c r="O87" s="947">
        <v>45880</v>
      </c>
      <c r="P87" s="955">
        <f>O87-N87</f>
        <v>13</v>
      </c>
      <c r="Q87" s="1295">
        <f t="shared" ref="Q87" ca="1" si="17">IF(N87="",0,TODAY()-N87)</f>
        <v>300</v>
      </c>
      <c r="R87" s="947">
        <v>45882</v>
      </c>
      <c r="S87" s="1311">
        <f>R87-N87</f>
        <v>15</v>
      </c>
      <c r="T87" s="1043" t="str">
        <f>IF(F87="JK",IF(S87&lt;=45,"Belum Terlambat (JK)","Terlambat &gt; 45HK(JK)"),IF(F87="PK",IF(S87&lt;=35,"Belum Terlambat (PK)","Terlambat&gt;35(PK)")))</f>
        <v>Belum Terlambat (PK)</v>
      </c>
      <c r="U87" s="953">
        <f ca="1">IF(I87="JK",60-Q87,45-Q87)</f>
        <v>-255</v>
      </c>
      <c r="V87" s="947">
        <v>45873</v>
      </c>
      <c r="W87" s="947">
        <v>45880</v>
      </c>
      <c r="X87" s="955">
        <f ca="1">IF(V87="",0,TODAY()-V87)</f>
        <v>294</v>
      </c>
      <c r="Y87" s="1127">
        <f>W87-V87</f>
        <v>7</v>
      </c>
      <c r="Z87" s="1312"/>
      <c r="AA87" s="1338" t="s">
        <v>3332</v>
      </c>
      <c r="AB87" s="1268" t="s">
        <v>3333</v>
      </c>
      <c r="AC87" s="1339" t="str">
        <f>IF(AD87&lt;45,"Paket Tepat Waktu/kurang dari 45HK","Tidak Tepat Waktu")</f>
        <v>Paket Tepat Waktu/kurang dari 45HK</v>
      </c>
      <c r="AD87" s="977">
        <f>S87</f>
        <v>15</v>
      </c>
      <c r="AE87" s="1121">
        <f>IF(F87="JK",60-AD87,45-AD87)</f>
        <v>30</v>
      </c>
      <c r="AF87" s="961" t="s">
        <v>2529</v>
      </c>
      <c r="AG87" s="1340" t="s">
        <v>3334</v>
      </c>
      <c r="AH87" s="1341"/>
      <c r="AI87" s="963" t="s">
        <v>3335</v>
      </c>
      <c r="AJ87" s="1342"/>
      <c r="AK87" s="1342"/>
      <c r="AL87" s="1342"/>
      <c r="AM87" s="1267">
        <v>13557557.12064</v>
      </c>
      <c r="AN87" s="1342"/>
      <c r="AO87" s="967">
        <f>AM87/E87*100</f>
        <v>83.688624201481488</v>
      </c>
      <c r="AP87" s="996"/>
      <c r="AQ87" s="969" t="str">
        <f>IF(OR(AF87="Sudah Penetapan",AF87="Kontrak",AF87="BAHP",AF87="SPPBJ"),"SUDAH",IF(J87="03 Sudah Usul SIPBJ (Dok. dlm Reviu)","BELUM TAYANG",IF(AF87="PROSES","PROSES")))</f>
        <v>SUDAH</v>
      </c>
      <c r="AR87" s="997" t="s">
        <v>3336</v>
      </c>
    </row>
    <row r="88" spans="1:46" ht="48">
      <c r="A88" s="1288" t="s">
        <v>3337</v>
      </c>
      <c r="B88" s="1063" t="s">
        <v>3338</v>
      </c>
      <c r="C88" s="1064" t="s">
        <v>2541</v>
      </c>
      <c r="D88" s="1065">
        <v>102233273</v>
      </c>
      <c r="E88" s="1065">
        <v>102233273</v>
      </c>
      <c r="F88" s="1206" t="s">
        <v>3206</v>
      </c>
      <c r="G88" s="1206" t="s">
        <v>2939</v>
      </c>
      <c r="H88" s="1206" t="s">
        <v>3207</v>
      </c>
      <c r="I88" s="1343" t="s">
        <v>3339</v>
      </c>
      <c r="J88" s="1344" t="s">
        <v>2545</v>
      </c>
      <c r="K88" s="1345" t="s">
        <v>31</v>
      </c>
      <c r="L88" s="1064" t="s">
        <v>3340</v>
      </c>
      <c r="M88" s="1064" t="s">
        <v>3341</v>
      </c>
      <c r="N88" s="1074">
        <v>45874</v>
      </c>
      <c r="O88" s="1074">
        <v>45968</v>
      </c>
      <c r="P88" s="1346">
        <f>O88-N88</f>
        <v>94</v>
      </c>
      <c r="Q88" s="1347">
        <f ca="1">IF(N88="",0,TODAY()-N88)</f>
        <v>293</v>
      </c>
      <c r="R88" s="1074">
        <v>45968</v>
      </c>
      <c r="S88" s="1348">
        <f>R88-N88</f>
        <v>94</v>
      </c>
      <c r="T88" s="1078" t="str">
        <f>IF(F88="JK",IF(S88&lt;=45,"Belum Terlambat (JK)","Terlambat &gt; 45HK(JK)"),IF(F88="PK",IF(S88&lt;=35,"Belum Terlambat (PK)","Terlambat&gt;35(PK)")))</f>
        <v>Terlambat&gt;35(PK)</v>
      </c>
      <c r="U88" s="1349">
        <f ca="1">IF(I88="JK",60-Q88,45-Q88)</f>
        <v>-248</v>
      </c>
      <c r="V88" s="1074">
        <v>45884</v>
      </c>
      <c r="W88" s="1074">
        <v>45968</v>
      </c>
      <c r="X88" s="1152">
        <f ca="1">IF(V88="",0,TODAY()-V88)</f>
        <v>283</v>
      </c>
      <c r="Y88" s="1350">
        <f>W88-V88</f>
        <v>84</v>
      </c>
      <c r="Z88" s="1351" t="s">
        <v>3342</v>
      </c>
      <c r="AA88" s="1352" t="s">
        <v>3343</v>
      </c>
      <c r="AB88" s="1353" t="s">
        <v>3344</v>
      </c>
      <c r="AC88" s="1255" t="str">
        <f>IF(AD88&lt;45,"Paket Tepat Waktu/kurang dari 45HK","Tidak Tepat Waktu")</f>
        <v>Paket Tepat Waktu/kurang dari 45HK</v>
      </c>
      <c r="AD88" s="1157">
        <f>S88-3-4-5-3-3-35</f>
        <v>41</v>
      </c>
      <c r="AE88" s="960">
        <f>IF(F88="JK",60-AD88,45-AD88)</f>
        <v>4</v>
      </c>
      <c r="AF88" s="961" t="s">
        <v>2529</v>
      </c>
      <c r="AG88" s="1321" t="s">
        <v>3345</v>
      </c>
      <c r="AH88" s="1321"/>
      <c r="AI88" s="1322" t="s">
        <v>3346</v>
      </c>
      <c r="AJ88" s="1322" t="s">
        <v>3347</v>
      </c>
      <c r="AK88" s="1322" t="s">
        <v>3348</v>
      </c>
      <c r="AL88" s="1354" t="s">
        <v>3349</v>
      </c>
      <c r="AM88" s="1355">
        <v>91457746.426520005</v>
      </c>
      <c r="AN88" s="1322" t="s">
        <v>2557</v>
      </c>
      <c r="AO88" s="967">
        <f>AM88/E88*100</f>
        <v>89.459863450248733</v>
      </c>
      <c r="AP88" s="1356">
        <v>45974</v>
      </c>
      <c r="AQ88" s="969" t="str">
        <f>IF(OR(AF88="Sudah Penetapan",AF88="Kontrak",AF88="BAHP",AF88="SPPBJ"),"SUDAH",IF(J88="03 Sudah Usul SIPBJ (Dok. dlm Reviu)","BELUM TAYANG",IF(AF88="PROSES","PROSES")))</f>
        <v>SUDAH</v>
      </c>
      <c r="AR88" s="1337" t="s">
        <v>3217</v>
      </c>
    </row>
    <row r="89" spans="1:46" ht="61.5">
      <c r="A89" s="1357" t="s">
        <v>3350</v>
      </c>
      <c r="B89" s="1131" t="s">
        <v>3351</v>
      </c>
      <c r="C89" s="939" t="s">
        <v>2561</v>
      </c>
      <c r="D89" s="940">
        <v>64153446</v>
      </c>
      <c r="E89" s="940">
        <v>64153446</v>
      </c>
      <c r="F89" s="941" t="s">
        <v>3206</v>
      </c>
      <c r="G89" s="941" t="s">
        <v>2542</v>
      </c>
      <c r="H89" s="941" t="s">
        <v>2578</v>
      </c>
      <c r="I89" s="942" t="s">
        <v>2768</v>
      </c>
      <c r="J89" s="943" t="s">
        <v>2545</v>
      </c>
      <c r="K89" s="1358" t="s">
        <v>33</v>
      </c>
      <c r="L89" s="944" t="s">
        <v>3352</v>
      </c>
      <c r="M89" s="944" t="s">
        <v>3353</v>
      </c>
      <c r="N89" s="1003">
        <v>45883</v>
      </c>
      <c r="O89" s="1003">
        <v>45890</v>
      </c>
      <c r="P89" s="1359">
        <f>O89-N89</f>
        <v>7</v>
      </c>
      <c r="Q89" s="1360">
        <f ca="1">IF(N89="",0,TODAY()-N89)</f>
        <v>284</v>
      </c>
      <c r="R89" s="1003">
        <v>45890</v>
      </c>
      <c r="S89" s="1361">
        <f>R89-N89</f>
        <v>7</v>
      </c>
      <c r="T89" s="952" t="str">
        <f>IF(F89="JK",IF(S89&lt;=45,"Belum Terlambat (JK)","Terlambat &gt; 45HK(JK)"),IF(F89="PK",IF(S89&lt;=35,"Belum Terlambat (PK)","Terlambat&gt;35(PK)")))</f>
        <v>Belum Terlambat (PK)</v>
      </c>
      <c r="U89" s="1362">
        <f ca="1">IF(F89="JK",45-Q89,35-Q89)</f>
        <v>-249</v>
      </c>
      <c r="V89" s="1003">
        <v>45888</v>
      </c>
      <c r="W89" s="1003">
        <v>45890</v>
      </c>
      <c r="X89" s="1037">
        <f ca="1">IF(V89="",0,TODAY()-V89)</f>
        <v>279</v>
      </c>
      <c r="Y89" s="1186">
        <f>W89-V89</f>
        <v>2</v>
      </c>
      <c r="Z89" s="1363"/>
      <c r="AA89" s="1338" t="s">
        <v>3354</v>
      </c>
      <c r="AB89" s="1364" t="s">
        <v>3355</v>
      </c>
      <c r="AC89" s="1255" t="str">
        <f>IF(AD89&lt;45,"Paket Tepat Waktu/kurang dari 45HK","Tidak Tepat Waktu")</f>
        <v>Paket Tepat Waktu/kurang dari 45HK</v>
      </c>
      <c r="AD89" s="1039">
        <f>S89</f>
        <v>7</v>
      </c>
      <c r="AE89" s="1036">
        <f>IF(D89="JK",60-AD89,45-AD89)</f>
        <v>38</v>
      </c>
      <c r="AF89" s="961" t="s">
        <v>2529</v>
      </c>
      <c r="AG89" s="1365" t="s">
        <v>3356</v>
      </c>
      <c r="AH89" s="1341"/>
      <c r="AI89" s="1342" t="s">
        <v>3357</v>
      </c>
      <c r="AJ89" s="1342"/>
      <c r="AK89" s="1342"/>
      <c r="AL89" s="1342"/>
      <c r="AM89" s="1161">
        <v>64072018.373939998</v>
      </c>
      <c r="AN89" s="1366" t="s">
        <v>2557</v>
      </c>
      <c r="AO89" s="967">
        <f>AM89/E89*100</f>
        <v>99.873073652099691</v>
      </c>
      <c r="AP89" s="996"/>
      <c r="AQ89" s="969" t="str">
        <f>IF(OR(AF89="Sudah Penetapan",AF89="Kontrak",AF89="BAHP",AF89="SPPBJ"),"SUDAH",IF(J89="03 Sudah Usul SIPBJ (Dok. dlm Reviu)","BELUM TAYANG",IF(AF89="PROSES","PROSES")))</f>
        <v>SUDAH</v>
      </c>
      <c r="AR89" s="1337" t="s">
        <v>2936</v>
      </c>
    </row>
    <row r="90" spans="1:46" ht="48">
      <c r="A90" s="1357" t="s">
        <v>3358</v>
      </c>
      <c r="B90" s="938" t="s">
        <v>3359</v>
      </c>
      <c r="C90" s="939" t="s">
        <v>2541</v>
      </c>
      <c r="D90" s="940">
        <v>59882394</v>
      </c>
      <c r="E90" s="940">
        <v>59882394</v>
      </c>
      <c r="F90" s="941" t="s">
        <v>3206</v>
      </c>
      <c r="G90" s="941" t="s">
        <v>2939</v>
      </c>
      <c r="H90" s="941" t="s">
        <v>2578</v>
      </c>
      <c r="I90" s="942" t="s">
        <v>3220</v>
      </c>
      <c r="J90" s="943" t="s">
        <v>2545</v>
      </c>
      <c r="K90" s="944" t="s">
        <v>811</v>
      </c>
      <c r="L90" s="944" t="s">
        <v>3360</v>
      </c>
      <c r="M90" s="944" t="s">
        <v>3361</v>
      </c>
      <c r="N90" s="947">
        <v>45884</v>
      </c>
      <c r="O90" s="947">
        <v>45988</v>
      </c>
      <c r="P90" s="1359">
        <f>O90-N90</f>
        <v>104</v>
      </c>
      <c r="Q90" s="1360">
        <f ca="1">IF(N90="",0,TODAY()-N90)</f>
        <v>283</v>
      </c>
      <c r="R90" s="947">
        <v>45987</v>
      </c>
      <c r="S90" s="1361">
        <f>R90-N90</f>
        <v>103</v>
      </c>
      <c r="T90" s="952" t="str">
        <f ca="1">IF(F90="JK",IF(Q90&lt;=45,"Belum Terlambat (JK)","Terlambat &gt; 45HK(JK)"),IF(F90="PK",IF(Q90&lt;=35,"Belum Terlambat (PK)","Terlambat&gt;35(PK)")))</f>
        <v>Terlambat&gt;35(PK)</v>
      </c>
      <c r="U90" s="1362">
        <f ca="1">IF(F90="JK",45-Q90,35-Q90)</f>
        <v>-248</v>
      </c>
      <c r="V90" s="947">
        <v>45891</v>
      </c>
      <c r="W90" s="947">
        <v>45987</v>
      </c>
      <c r="X90" s="1037">
        <f ca="1">IF(V90="",0,TODAY()-V90)</f>
        <v>276</v>
      </c>
      <c r="Y90" s="1186">
        <f>W90-V90</f>
        <v>96</v>
      </c>
      <c r="Z90" s="1363"/>
      <c r="AA90" s="1213" t="s">
        <v>3362</v>
      </c>
      <c r="AB90" s="1364" t="s">
        <v>3363</v>
      </c>
      <c r="AC90" s="1255" t="str">
        <f>IF(AD90&lt;45,"Paket Tepat Waktu/kurang dari 45HK","Tidak Tepat Waktu")</f>
        <v>Paket Tepat Waktu/kurang dari 45HK</v>
      </c>
      <c r="AD90" s="1039">
        <f>S90-5-3-34-22</f>
        <v>39</v>
      </c>
      <c r="AE90" s="1036">
        <f>IF(D90="JK",60-AD90,45-AD90)</f>
        <v>6</v>
      </c>
      <c r="AF90" s="961" t="s">
        <v>2527</v>
      </c>
      <c r="AG90" s="1340" t="s">
        <v>3345</v>
      </c>
      <c r="AH90" s="1340"/>
      <c r="AI90" s="1367" t="s">
        <v>3346</v>
      </c>
      <c r="AJ90" s="1342"/>
      <c r="AK90" s="1342"/>
      <c r="AL90" s="1342"/>
      <c r="AM90" s="965">
        <v>53836480.043909997</v>
      </c>
      <c r="AN90" s="1366" t="s">
        <v>2557</v>
      </c>
      <c r="AO90" s="967">
        <f>AM90/E90*100</f>
        <v>89.903686956653729</v>
      </c>
      <c r="AP90" s="996"/>
      <c r="AQ90" s="969" t="str">
        <f>IF(OR(AF90="Sudah Penetapan",AF90="Kontrak",AF90="BAHP",AF90="SPPBJ"),"SUDAH",IF(J90="03 Sudah Usul SIPBJ (Dok. dlm Reviu)","BELUM TAYANG",IF(AF90="PROSES","PROSES")))</f>
        <v>SUDAH</v>
      </c>
      <c r="AR90" s="1166" t="s">
        <v>3364</v>
      </c>
    </row>
    <row r="91" spans="1:46" ht="48">
      <c r="A91" s="1357" t="s">
        <v>3365</v>
      </c>
      <c r="B91" s="938" t="s">
        <v>3366</v>
      </c>
      <c r="C91" s="939" t="s">
        <v>2541</v>
      </c>
      <c r="D91" s="940">
        <v>14608000</v>
      </c>
      <c r="E91" s="940">
        <v>14608000</v>
      </c>
      <c r="F91" s="941" t="s">
        <v>3206</v>
      </c>
      <c r="G91" s="941" t="s">
        <v>2939</v>
      </c>
      <c r="H91" s="941" t="s">
        <v>2578</v>
      </c>
      <c r="I91" s="942" t="s">
        <v>3367</v>
      </c>
      <c r="J91" s="943" t="s">
        <v>2545</v>
      </c>
      <c r="K91" s="1368" t="s">
        <v>38</v>
      </c>
      <c r="L91" s="944" t="s">
        <v>3368</v>
      </c>
      <c r="M91" s="944" t="s">
        <v>3369</v>
      </c>
      <c r="N91" s="947">
        <v>45889</v>
      </c>
      <c r="O91" s="947">
        <v>45980</v>
      </c>
      <c r="P91" s="1359">
        <f>O91-N91</f>
        <v>91</v>
      </c>
      <c r="Q91" s="1360">
        <f ca="1">IF(N91="",0,TODAY()-N91)</f>
        <v>278</v>
      </c>
      <c r="R91" s="950">
        <f>O91</f>
        <v>45980</v>
      </c>
      <c r="S91" s="1361">
        <f>R91-N91</f>
        <v>91</v>
      </c>
      <c r="T91" s="952" t="str">
        <f ca="1">IF(F91="JK",IF(Q91&lt;=45,"Belum Terlambat (JK)","Terlambat &gt; 45HK(JK)"),IF(F91="PK",IF(Q91&lt;=35,"Belum Terlambat (PK)","Terlambat&gt;35(PK)")))</f>
        <v>Terlambat&gt;35(PK)</v>
      </c>
      <c r="U91" s="1362">
        <f ca="1">IF(F91="JK",45-Q91,35-Q91)</f>
        <v>-243</v>
      </c>
      <c r="V91" s="947">
        <v>45898</v>
      </c>
      <c r="W91" s="947">
        <v>45980</v>
      </c>
      <c r="X91" s="1037">
        <f ca="1">IF(V91="",0,TODAY()-V91)</f>
        <v>269</v>
      </c>
      <c r="Y91" s="1369">
        <f>W91-V91</f>
        <v>82</v>
      </c>
      <c r="Z91" s="1363"/>
      <c r="AA91" s="1338" t="s">
        <v>3370</v>
      </c>
      <c r="AB91" s="1364" t="s">
        <v>3371</v>
      </c>
      <c r="AC91" s="1255" t="str">
        <f>IF(AD91&lt;45,"Paket Tepat Waktu/kurang dari 45HK","Tidak Tepat Waktu")</f>
        <v>Paket Tepat Waktu/kurang dari 45HK</v>
      </c>
      <c r="AD91" s="1039">
        <f>S91-5-30-8-8</f>
        <v>40</v>
      </c>
      <c r="AE91" s="1036">
        <f>IF(D91="JK",60-AD91,45-AD91)</f>
        <v>5</v>
      </c>
      <c r="AF91" s="961" t="s">
        <v>2529</v>
      </c>
      <c r="AG91" s="1340" t="s">
        <v>3293</v>
      </c>
      <c r="AH91" s="1340"/>
      <c r="AI91" s="1370" t="s">
        <v>3294</v>
      </c>
      <c r="AJ91" s="1371"/>
      <c r="AK91" s="1372"/>
      <c r="AL91" s="1370"/>
      <c r="AM91" s="986">
        <v>11686400</v>
      </c>
      <c r="AN91" s="1370" t="s">
        <v>2573</v>
      </c>
      <c r="AO91" s="967">
        <f>AM91/E91*100</f>
        <v>80</v>
      </c>
      <c r="AP91" s="1373"/>
      <c r="AQ91" s="969" t="str">
        <f>IF(OR(AF91="Sudah Penetapan",AF91="Kontrak",AF91="BAHP",AF91="SPPBJ"),"SUDAH",IF(J91="03 Sudah Usul SIPBJ (Dok. dlm Reviu)","BELUM TAYANG",IF(AF91="PROSES","PROSES")))</f>
        <v>SUDAH</v>
      </c>
      <c r="AR91" s="1166" t="s">
        <v>3364</v>
      </c>
    </row>
    <row r="92" spans="1:46" ht="48">
      <c r="A92" s="1357" t="s">
        <v>3372</v>
      </c>
      <c r="B92" s="938" t="s">
        <v>3373</v>
      </c>
      <c r="C92" s="939" t="s">
        <v>2541</v>
      </c>
      <c r="D92" s="940">
        <v>3152236</v>
      </c>
      <c r="E92" s="940">
        <v>3147625</v>
      </c>
      <c r="F92" s="941" t="s">
        <v>3206</v>
      </c>
      <c r="G92" s="941" t="s">
        <v>2542</v>
      </c>
      <c r="H92" s="941" t="s">
        <v>2578</v>
      </c>
      <c r="I92" s="942" t="s">
        <v>3367</v>
      </c>
      <c r="J92" s="943" t="s">
        <v>2545</v>
      </c>
      <c r="K92" s="1368" t="s">
        <v>187</v>
      </c>
      <c r="L92" s="944" t="s">
        <v>3374</v>
      </c>
      <c r="M92" s="944" t="s">
        <v>3375</v>
      </c>
      <c r="N92" s="947">
        <v>45889</v>
      </c>
      <c r="O92" s="1374">
        <v>45922</v>
      </c>
      <c r="P92" s="1375">
        <f>O92-N92</f>
        <v>33</v>
      </c>
      <c r="Q92" s="1376">
        <f ca="1">IF(N92="",0,TODAY()-N92)</f>
        <v>278</v>
      </c>
      <c r="R92" s="1374">
        <v>45922</v>
      </c>
      <c r="S92" s="1361">
        <f>R92-N92</f>
        <v>33</v>
      </c>
      <c r="T92" s="952" t="str">
        <f ca="1">IF(F92="JK",IF(Q92&lt;=45,"Belum Terlambat (JK)","Terlambat &gt; 45HK(JK)"),IF(F92="PK",IF(Q92&lt;=35,"Belum Terlambat (PK)","Terlambat&gt;35(PK)")))</f>
        <v>Terlambat&gt;35(PK)</v>
      </c>
      <c r="U92" s="1362">
        <f ca="1">IF(F92="JK",45-Q92,35-Q92)</f>
        <v>-243</v>
      </c>
      <c r="V92" s="1003">
        <v>45898</v>
      </c>
      <c r="W92" s="1003">
        <v>45922</v>
      </c>
      <c r="X92" s="1037">
        <f ca="1">IF(V92="",0,TODAY()-V92)</f>
        <v>269</v>
      </c>
      <c r="Y92" s="1186">
        <f>W92-V92</f>
        <v>24</v>
      </c>
      <c r="Z92" s="1363"/>
      <c r="AA92" s="1338" t="s">
        <v>3376</v>
      </c>
      <c r="AB92" s="1268" t="s">
        <v>3377</v>
      </c>
      <c r="AC92" s="1255" t="str">
        <f>IF(AD92&lt;45,"Paket Tepat Waktu/kurang dari 45HK","Tidak Tepat Waktu")</f>
        <v>Paket Tepat Waktu/kurang dari 45HK</v>
      </c>
      <c r="AD92" s="1039">
        <f>S92</f>
        <v>33</v>
      </c>
      <c r="AE92" s="1036">
        <f>IF(D92="JK",60-AD92,45-AD92)</f>
        <v>12</v>
      </c>
      <c r="AF92" s="961" t="s">
        <v>2529</v>
      </c>
      <c r="AG92" s="1365" t="s">
        <v>3378</v>
      </c>
      <c r="AH92" s="1365"/>
      <c r="AI92" s="1377" t="s">
        <v>3379</v>
      </c>
      <c r="AJ92" s="1377"/>
      <c r="AK92" s="1377"/>
      <c r="AL92" s="1377"/>
      <c r="AM92" s="1378">
        <v>2518100.0000499999</v>
      </c>
      <c r="AN92" s="1377" t="s">
        <v>2573</v>
      </c>
      <c r="AO92" s="967">
        <f>AM92/E92*100</f>
        <v>80.000000001588504</v>
      </c>
      <c r="AP92" s="1379"/>
      <c r="AQ92" s="969" t="str">
        <f>IF(OR(AF92="Sudah Penetapan",AF92="Kontrak",AF92="BAHP",AF92="SPPBJ"),"SUDAH",IF(J92="03 Sudah Usul SIPBJ (Dok. dlm Reviu)","BELUM TAYANG",IF(AF92="PROSES","PROSES")))</f>
        <v>SUDAH</v>
      </c>
      <c r="AR92" s="1166" t="s">
        <v>3364</v>
      </c>
      <c r="AS92" s="1380">
        <f>80%*3147625000.06</f>
        <v>2518100000.0479999</v>
      </c>
    </row>
    <row r="93" spans="1:46" s="1145" customFormat="1" ht="48">
      <c r="A93" s="1381" t="s">
        <v>3380</v>
      </c>
      <c r="B93" s="938" t="s">
        <v>3381</v>
      </c>
      <c r="C93" s="1145" t="s">
        <v>2561</v>
      </c>
      <c r="D93" s="940">
        <v>279961000</v>
      </c>
      <c r="E93" s="1271">
        <v>279961000</v>
      </c>
      <c r="F93" s="1343" t="s">
        <v>3206</v>
      </c>
      <c r="G93" s="1343" t="s">
        <v>2939</v>
      </c>
      <c r="H93" s="1343" t="s">
        <v>2578</v>
      </c>
      <c r="I93" s="1000" t="s">
        <v>2768</v>
      </c>
      <c r="J93" s="943" t="s">
        <v>3159</v>
      </c>
      <c r="K93" s="944" t="s">
        <v>2659</v>
      </c>
      <c r="L93" s="1382" t="s">
        <v>3382</v>
      </c>
      <c r="M93" s="1382" t="s">
        <v>3383</v>
      </c>
      <c r="N93" s="947">
        <v>45909</v>
      </c>
      <c r="O93" s="947">
        <v>45975</v>
      </c>
      <c r="P93" s="1134">
        <f>O93-N93</f>
        <v>66</v>
      </c>
      <c r="Q93" s="1295">
        <f ca="1">IF(N93="",0,TODAY()-N93)</f>
        <v>258</v>
      </c>
      <c r="R93" s="947">
        <v>45997</v>
      </c>
      <c r="S93" s="1311">
        <f>R93-N93</f>
        <v>88</v>
      </c>
      <c r="T93" s="1043" t="str">
        <f ca="1">IF(F93="JK",IF(Q93&lt;=45,"Belum Terlambat (JK)","Terlambat &gt; 45HK(JK)"),IF(F93="PK",IF(Q93&lt;=35,"Belum Terlambat (PK)","Terlambat&gt;35(PK)")))</f>
        <v>Terlambat&gt;35(PK)</v>
      </c>
      <c r="U93" s="1137">
        <f ca="1">IF(F93="JK",45-Q93,35-Q93)</f>
        <v>-223</v>
      </c>
      <c r="V93" s="947">
        <v>45919</v>
      </c>
      <c r="W93" s="947">
        <v>45975</v>
      </c>
      <c r="X93" s="955">
        <f ca="1">IF(V93="",0,TODAY()-V93)</f>
        <v>248</v>
      </c>
      <c r="Y93" s="1383">
        <f>W93-V93</f>
        <v>56</v>
      </c>
      <c r="Z93" s="1384"/>
      <c r="AA93" s="1338" t="s">
        <v>3384</v>
      </c>
      <c r="AB93" s="1268" t="s">
        <v>3385</v>
      </c>
      <c r="AC93" s="1255" t="str">
        <f>IF(AD93&lt;=45,"Paket Tepat Waktu/kurang dari 45HK","Tidak Tepat Waktu")</f>
        <v>Paket Tepat Waktu/kurang dari 45HK</v>
      </c>
      <c r="AD93" s="1039">
        <v>45</v>
      </c>
      <c r="AE93" s="1385">
        <f>IF(D93="JK",60-AD93,45-AD93)</f>
        <v>0</v>
      </c>
      <c r="AF93" s="961" t="s">
        <v>2528</v>
      </c>
      <c r="AG93" s="1145" t="s">
        <v>3386</v>
      </c>
      <c r="AI93" s="1144" t="s">
        <v>3387</v>
      </c>
      <c r="AJ93" s="1145" t="s">
        <v>3388</v>
      </c>
      <c r="AM93" s="1386">
        <v>268334856.76866001</v>
      </c>
      <c r="AN93" s="1145" t="s">
        <v>2573</v>
      </c>
      <c r="AO93" s="967">
        <f>AM93/E93*100</f>
        <v>95.847227566932531</v>
      </c>
      <c r="AP93" s="1387" t="s">
        <v>3364</v>
      </c>
      <c r="AQ93" s="969" t="str">
        <f>IF(OR(AF93="Sudah Penetapan",AF93="Kontrak",AF93="BAHP",AF93="SPPBJ"),"SUDAH",IF(J93="03 Sudah Usul SIPBJ (Dok. dlm Reviu)","BELUM TAYANG",IF(AF93="PROSES","PROSES")))</f>
        <v>SUDAH</v>
      </c>
      <c r="AR93" s="1166" t="s">
        <v>3364</v>
      </c>
      <c r="AS93" s="1388">
        <v>268414019193.66</v>
      </c>
      <c r="AT93" s="1389">
        <f>80%*279961000000</f>
        <v>223968800000</v>
      </c>
    </row>
    <row r="94" spans="1:46" s="1069" customFormat="1" ht="48">
      <c r="A94" s="1390" t="s">
        <v>3389</v>
      </c>
      <c r="B94" s="938" t="s">
        <v>3390</v>
      </c>
      <c r="C94" s="1069" t="s">
        <v>2918</v>
      </c>
      <c r="D94" s="1132">
        <v>29136198</v>
      </c>
      <c r="E94" s="1132">
        <v>29136183</v>
      </c>
      <c r="F94" s="942" t="s">
        <v>3206</v>
      </c>
      <c r="G94" s="942" t="s">
        <v>3391</v>
      </c>
      <c r="H94" s="942" t="s">
        <v>2578</v>
      </c>
      <c r="I94" s="942" t="s">
        <v>3195</v>
      </c>
      <c r="J94" s="1000" t="s">
        <v>3159</v>
      </c>
      <c r="K94" s="1358" t="s">
        <v>29</v>
      </c>
      <c r="L94" s="944" t="s">
        <v>3392</v>
      </c>
      <c r="M94" s="1391" t="s">
        <v>3393</v>
      </c>
      <c r="N94" s="947">
        <v>45904</v>
      </c>
      <c r="O94" s="947">
        <v>46003</v>
      </c>
      <c r="P94" s="1134">
        <f>O94-N94</f>
        <v>99</v>
      </c>
      <c r="Q94" s="1295">
        <f ca="1">IF(N94="",0,TODAY()-N94)</f>
        <v>263</v>
      </c>
      <c r="R94" s="947">
        <v>46003</v>
      </c>
      <c r="S94" s="1311">
        <f>R94-N94</f>
        <v>99</v>
      </c>
      <c r="T94" s="1043" t="str">
        <f ca="1">IF(F94="JK",IF(Q94&lt;=45,"Belum Terlambat (JK)","Terlambat &gt; 45HK(JK)"),IF(F94="PK",IF(Q94&lt;=35,"Belum Terlambat (PK)","Terlambat&gt;35(PK)")))</f>
        <v>Terlambat&gt;35(PK)</v>
      </c>
      <c r="U94" s="1137">
        <f ca="1">IF(F94="JK",45-Q94,35-Q94)</f>
        <v>-228</v>
      </c>
      <c r="V94" s="947">
        <v>45915</v>
      </c>
      <c r="W94" s="947">
        <v>46003</v>
      </c>
      <c r="X94" s="955">
        <f ca="1">IF(V94="",0,TODAY()-V94)</f>
        <v>252</v>
      </c>
      <c r="Y94" s="1383">
        <f>W94-V94</f>
        <v>88</v>
      </c>
      <c r="Z94" s="942"/>
      <c r="AA94" s="958" t="s">
        <v>3394</v>
      </c>
      <c r="AB94" s="1268" t="s">
        <v>3395</v>
      </c>
      <c r="AC94" s="1255" t="str">
        <f>IF(AD94&lt;45,"Paket Tepat Waktu/kurang dari 45HK","Tidak Tepat Waktu")</f>
        <v>Paket Tepat Waktu/kurang dari 45HK</v>
      </c>
      <c r="AD94" s="977">
        <f>S94-1-3-70</f>
        <v>25</v>
      </c>
      <c r="AE94" s="1385">
        <f>IF(D94="JK",60-AD94,45-AD94)</f>
        <v>20</v>
      </c>
      <c r="AF94" s="961" t="s">
        <v>2529</v>
      </c>
      <c r="AG94" s="1343" t="s">
        <v>3396</v>
      </c>
      <c r="AH94" s="1343"/>
      <c r="AI94" s="1343" t="s">
        <v>3397</v>
      </c>
      <c r="AJ94" s="1343"/>
      <c r="AK94" s="1343"/>
      <c r="AL94" s="1343"/>
      <c r="AM94" s="1392">
        <v>23308946400</v>
      </c>
      <c r="AN94" s="1393" t="s">
        <v>2573</v>
      </c>
      <c r="AO94" s="967">
        <f>AM94/E94*100</f>
        <v>80000</v>
      </c>
      <c r="AP94" s="1387" t="s">
        <v>3364</v>
      </c>
      <c r="AQ94" s="969" t="str">
        <f>IF(OR(AF94="Sudah Penetapan",AF94="Kontrak",AF94="BAHP",AF94="SPPBJ"),"SUDAH",IF(J94="03 Sudah Usul SIPBJ (Dok. dlm Reviu)","BELUM TAYANG",IF(AF94="PROSES","PROSES")))</f>
        <v>SUDAH</v>
      </c>
      <c r="AR94" s="1166" t="s">
        <v>3364</v>
      </c>
      <c r="AS94" s="1394">
        <f>80%*29136183000</f>
        <v>23308946400</v>
      </c>
      <c r="AT94" s="1395">
        <f>29136183000*80%</f>
        <v>23308946400</v>
      </c>
    </row>
    <row r="95" spans="1:46" s="1069" customFormat="1" ht="48">
      <c r="A95" s="1396" t="s">
        <v>3398</v>
      </c>
      <c r="B95" s="938" t="s">
        <v>3399</v>
      </c>
      <c r="C95" s="942" t="s">
        <v>2918</v>
      </c>
      <c r="D95" s="1065">
        <v>47098429</v>
      </c>
      <c r="E95" s="1065">
        <v>47098419</v>
      </c>
      <c r="F95" s="1145" t="s">
        <v>3206</v>
      </c>
      <c r="G95" s="942" t="s">
        <v>3391</v>
      </c>
      <c r="H95" s="942" t="s">
        <v>2578</v>
      </c>
      <c r="I95" s="1145" t="s">
        <v>3195</v>
      </c>
      <c r="J95" s="1000" t="s">
        <v>3159</v>
      </c>
      <c r="K95" s="944" t="s">
        <v>2659</v>
      </c>
      <c r="L95" s="1325" t="s">
        <v>3400</v>
      </c>
      <c r="M95" s="1325" t="s">
        <v>3393</v>
      </c>
      <c r="N95" s="947">
        <v>45904</v>
      </c>
      <c r="O95" s="947">
        <v>46010</v>
      </c>
      <c r="P95" s="1134">
        <f>O95-N95</f>
        <v>106</v>
      </c>
      <c r="Q95" s="1295">
        <f ca="1">IF(N95="",0,TODAY()-N95)</f>
        <v>263</v>
      </c>
      <c r="R95" s="947">
        <v>46008</v>
      </c>
      <c r="S95" s="1311">
        <f>R95-N95</f>
        <v>104</v>
      </c>
      <c r="T95" s="1043" t="str">
        <f ca="1">IF(F95="JK",IF(Q95&lt;=45,"Belum Terlambat (JK)","Terlambat &gt; 45HK(JK)"),IF(F95="PK",IF(Q95&lt;=35,"Belum Terlambat (PK)","Terlambat&gt;35(PK)")))</f>
        <v>Terlambat&gt;35(PK)</v>
      </c>
      <c r="U95" s="1137">
        <f ca="1">IF(F95="JK",45-Q95,35-Q95)</f>
        <v>-228</v>
      </c>
      <c r="V95" s="947">
        <v>45915</v>
      </c>
      <c r="W95" s="947">
        <v>46008</v>
      </c>
      <c r="X95" s="955">
        <f ca="1">IF(V95="",0,TODAY()-V95)</f>
        <v>252</v>
      </c>
      <c r="Y95" s="1383">
        <f>W95-V95</f>
        <v>93</v>
      </c>
      <c r="Z95" s="1145"/>
      <c r="AA95" s="958" t="s">
        <v>3401</v>
      </c>
      <c r="AB95" s="1268" t="s">
        <v>3402</v>
      </c>
      <c r="AC95" s="1255" t="str">
        <f>IF(AD95&lt;45,"Paket Tepat Waktu/kurang dari 45HK","Tidak Tepat Waktu")</f>
        <v>Paket Tepat Waktu/kurang dari 45HK</v>
      </c>
      <c r="AD95" s="977">
        <f>S95-5-3-77</f>
        <v>19</v>
      </c>
      <c r="AE95" s="1036">
        <f>IF(D95="JK",60-AD95,45-AD95)</f>
        <v>26</v>
      </c>
      <c r="AF95" s="961" t="s">
        <v>2527</v>
      </c>
      <c r="AG95" s="942" t="s">
        <v>3403</v>
      </c>
      <c r="AH95" s="942"/>
      <c r="AI95" s="942" t="s">
        <v>3404</v>
      </c>
      <c r="AJ95" s="942"/>
      <c r="AK95" s="942"/>
      <c r="AL95" s="942"/>
      <c r="AM95" s="942">
        <v>36225806093.440002</v>
      </c>
      <c r="AN95" s="942" t="s">
        <v>2557</v>
      </c>
      <c r="AO95" s="967">
        <f>AM95/E95*100</f>
        <v>76915.121277085753</v>
      </c>
      <c r="AP95" s="1387" t="s">
        <v>3364</v>
      </c>
      <c r="AQ95" s="969" t="str">
        <f>IF(OR(AF95="Sudah Penetapan",AF95="Kontrak",AF95="BAHP",AF95="SPPBJ"),"SUDAH",IF(J95="03 Sudah Usul SIPBJ (Dok. dlm Reviu)","BELUM TAYANG",IF(AF95="PROSES","PROSES")))</f>
        <v>SUDAH</v>
      </c>
      <c r="AR95" s="1166" t="s">
        <v>3364</v>
      </c>
      <c r="AS95" s="1397">
        <f>80%*47098419000</f>
        <v>37678735200</v>
      </c>
    </row>
    <row r="96" spans="1:46" s="1069" customFormat="1" ht="48">
      <c r="A96" s="1396" t="s">
        <v>3405</v>
      </c>
      <c r="B96" s="938" t="s">
        <v>3406</v>
      </c>
      <c r="C96" s="942" t="s">
        <v>2918</v>
      </c>
      <c r="D96" s="1032">
        <v>23339423</v>
      </c>
      <c r="E96" s="1032">
        <v>23339423</v>
      </c>
      <c r="F96" s="1000" t="s">
        <v>3206</v>
      </c>
      <c r="G96" s="942" t="s">
        <v>3391</v>
      </c>
      <c r="H96" s="942" t="s">
        <v>2578</v>
      </c>
      <c r="I96" s="1000" t="s">
        <v>2919</v>
      </c>
      <c r="J96" s="1166" t="s">
        <v>3159</v>
      </c>
      <c r="K96" s="1146" t="s">
        <v>2668</v>
      </c>
      <c r="L96" s="1290" t="s">
        <v>3407</v>
      </c>
      <c r="M96" s="1290" t="s">
        <v>3408</v>
      </c>
      <c r="N96" s="947">
        <v>45911</v>
      </c>
      <c r="O96" s="947">
        <v>45989</v>
      </c>
      <c r="P96" s="1134">
        <f>O96-N96</f>
        <v>78</v>
      </c>
      <c r="Q96" s="1295">
        <f ca="1">IF(N96="",0,TODAY()-N96)</f>
        <v>256</v>
      </c>
      <c r="R96" s="1398">
        <f>O96</f>
        <v>45989</v>
      </c>
      <c r="S96" s="1311">
        <f>R96-N96</f>
        <v>78</v>
      </c>
      <c r="T96" s="1043" t="str">
        <f ca="1">IF(F96="JK",IF(Q96&lt;=45,"Belum Terlambat (JK)","Terlambat &gt; 45HK(JK)"),IF(F96="PK",IF(Q96&lt;=35,"Belum Terlambat (PK)","Terlambat&gt;35(PK)")))</f>
        <v>Terlambat&gt;35(PK)</v>
      </c>
      <c r="U96" s="1137">
        <f ca="1">IF(F96="JK",45-Q96,35-Q96)</f>
        <v>-221</v>
      </c>
      <c r="V96" s="947">
        <v>45919</v>
      </c>
      <c r="W96" s="947">
        <v>45989</v>
      </c>
      <c r="X96" s="955">
        <f ca="1">IF(V96="",0,TODAY()-V96)</f>
        <v>248</v>
      </c>
      <c r="Y96" s="1383">
        <f>W96-V96</f>
        <v>70</v>
      </c>
      <c r="Z96" s="1000"/>
      <c r="AA96" s="1338" t="s">
        <v>3409</v>
      </c>
      <c r="AB96" s="1268" t="s">
        <v>3410</v>
      </c>
      <c r="AC96" s="1255" t="str">
        <f>IF(AD96&lt;45,"Paket Tepat Waktu/kurang dari 45HK","Tidak Tepat Waktu")</f>
        <v>Paket Tepat Waktu/kurang dari 45HK</v>
      </c>
      <c r="AD96" s="977">
        <f>S96-63</f>
        <v>15</v>
      </c>
      <c r="AE96" s="1036">
        <f>IF(D96="JK",60-AD96,45-AD96)</f>
        <v>30</v>
      </c>
      <c r="AF96" s="961" t="s">
        <v>2527</v>
      </c>
      <c r="AG96" s="1000" t="s">
        <v>3411</v>
      </c>
      <c r="AH96" s="1000"/>
      <c r="AI96" s="1000" t="s">
        <v>3412</v>
      </c>
      <c r="AJ96" s="1000"/>
      <c r="AK96" s="1000"/>
      <c r="AL96" s="1000"/>
      <c r="AM96" s="1000">
        <v>18671538.399999999</v>
      </c>
      <c r="AN96" s="1000" t="s">
        <v>2557</v>
      </c>
      <c r="AO96" s="967">
        <f>AM96/E96*100</f>
        <v>80</v>
      </c>
      <c r="AP96" s="1387" t="s">
        <v>3364</v>
      </c>
      <c r="AQ96" s="969" t="str">
        <f>IF(OR(AF96="Sudah Penetapan",AF96="Kontrak",AF96="BAHP",AF96="SPPBJ"),"SUDAH",IF(J96="03 Sudah Usul SIPBJ (Dok. dlm Reviu)","BELUM TAYANG",IF(AF96="PROSES","PROSES")))</f>
        <v>SUDAH</v>
      </c>
      <c r="AR96" s="1166" t="s">
        <v>3364</v>
      </c>
      <c r="AS96" s="1394">
        <f>80%*23339423000</f>
        <v>18671538400</v>
      </c>
    </row>
    <row r="97" spans="1:47" s="1069" customFormat="1" ht="48">
      <c r="A97" s="1396" t="s">
        <v>3413</v>
      </c>
      <c r="B97" s="1399" t="s">
        <v>3414</v>
      </c>
      <c r="C97" s="1000" t="s">
        <v>2918</v>
      </c>
      <c r="D97" s="1032">
        <v>44786000</v>
      </c>
      <c r="E97" s="1032">
        <v>44786000</v>
      </c>
      <c r="F97" s="1000" t="s">
        <v>3206</v>
      </c>
      <c r="G97" s="942" t="s">
        <v>3391</v>
      </c>
      <c r="H97" s="942" t="s">
        <v>2578</v>
      </c>
      <c r="I97" s="1000" t="s">
        <v>2919</v>
      </c>
      <c r="J97" s="1166" t="s">
        <v>3159</v>
      </c>
      <c r="K97" s="1358" t="s">
        <v>54</v>
      </c>
      <c r="L97" s="944" t="s">
        <v>3028</v>
      </c>
      <c r="M97" s="944" t="s">
        <v>3415</v>
      </c>
      <c r="N97" s="947">
        <v>45910</v>
      </c>
      <c r="O97" s="947">
        <v>45973</v>
      </c>
      <c r="P97" s="1134">
        <f>O97-N97</f>
        <v>63</v>
      </c>
      <c r="Q97" s="1295">
        <f ca="1">IF(N97="",0,TODAY()-N97)</f>
        <v>257</v>
      </c>
      <c r="R97" s="947">
        <v>45973</v>
      </c>
      <c r="S97" s="1311">
        <f>R97-N97</f>
        <v>63</v>
      </c>
      <c r="T97" s="1043" t="str">
        <f ca="1">IF(F97="JK",IF(Q97&lt;=45,"Belum Terlambat (JK)","Terlambat &gt; 45HK(JK)"),IF(F97="PK",IF(Q97&lt;=35,"Belum Terlambat (PK)","Terlambat&gt;35(PK)")))</f>
        <v>Terlambat&gt;35(PK)</v>
      </c>
      <c r="U97" s="1137">
        <f ca="1">IF(F97="JK",45-Q97,35-Q97)</f>
        <v>-222</v>
      </c>
      <c r="V97" s="947">
        <v>45919</v>
      </c>
      <c r="W97" s="947">
        <v>45973</v>
      </c>
      <c r="X97" s="955">
        <f ca="1">IF(V97="",0,TODAY()-V97)</f>
        <v>248</v>
      </c>
      <c r="Y97" s="1383">
        <f>W97-V97</f>
        <v>54</v>
      </c>
      <c r="Z97" s="942"/>
      <c r="AA97" s="958" t="s">
        <v>3416</v>
      </c>
      <c r="AB97" s="1268" t="s">
        <v>3417</v>
      </c>
      <c r="AC97" s="1255" t="str">
        <f>IF(AD97&lt;45,"Paket Tepat Waktu/kurang dari 45HK","Tidak Tepat Waktu")</f>
        <v>Paket Tepat Waktu/kurang dari 45HK</v>
      </c>
      <c r="AD97" s="977">
        <f>S97-1-7-7-2-7</f>
        <v>39</v>
      </c>
      <c r="AE97" s="1036">
        <f>IF(D97="JK",60-AD97,45-AD97)</f>
        <v>6</v>
      </c>
      <c r="AF97" s="961" t="s">
        <v>2527</v>
      </c>
      <c r="AG97" s="942" t="s">
        <v>3418</v>
      </c>
      <c r="AH97" s="942"/>
      <c r="AI97" s="942" t="s">
        <v>3419</v>
      </c>
      <c r="AJ97" s="1400" t="s">
        <v>3420</v>
      </c>
      <c r="AK97" s="1401" t="s">
        <v>3421</v>
      </c>
      <c r="AL97" s="942" t="s">
        <v>3422</v>
      </c>
      <c r="AM97" s="1402">
        <v>34500000</v>
      </c>
      <c r="AN97" s="942" t="s">
        <v>2573</v>
      </c>
      <c r="AO97" s="967">
        <f>AM97/E97*100</f>
        <v>77.033001384361185</v>
      </c>
      <c r="AP97" s="1387" t="s">
        <v>3364</v>
      </c>
      <c r="AQ97" s="969" t="str">
        <f>IF(OR(AF97="Sudah Penetapan",AF97="Kontrak",AF97="BAHP",AF97="SPPBJ"),"SUDAH",IF(J97="03 Sudah Usul SIPBJ (Dok. dlm Reviu)","BELUM TAYANG",IF(AF97="PROSES","PROSES")))</f>
        <v>SUDAH</v>
      </c>
      <c r="AR97" s="1166" t="s">
        <v>3364</v>
      </c>
      <c r="AS97" s="1394">
        <f>80%*44786000000</f>
        <v>35828800000</v>
      </c>
    </row>
    <row r="98" spans="1:47" s="1069" customFormat="1" ht="48">
      <c r="A98" s="1403" t="s">
        <v>3423</v>
      </c>
      <c r="B98" s="1399" t="s">
        <v>3424</v>
      </c>
      <c r="C98" s="942" t="s">
        <v>2918</v>
      </c>
      <c r="D98" s="940">
        <v>16615261</v>
      </c>
      <c r="E98" s="940">
        <v>16615261</v>
      </c>
      <c r="F98" s="942" t="s">
        <v>3206</v>
      </c>
      <c r="G98" s="942" t="s">
        <v>3391</v>
      </c>
      <c r="H98" s="942" t="s">
        <v>2578</v>
      </c>
      <c r="I98" s="942" t="s">
        <v>2919</v>
      </c>
      <c r="J98" s="1166" t="s">
        <v>2545</v>
      </c>
      <c r="K98" s="1358" t="s">
        <v>54</v>
      </c>
      <c r="L98" s="1290" t="s">
        <v>3425</v>
      </c>
      <c r="M98" s="1290" t="s">
        <v>3004</v>
      </c>
      <c r="N98" s="1003">
        <v>45910</v>
      </c>
      <c r="O98" s="1003">
        <v>45959</v>
      </c>
      <c r="P98" s="1375">
        <f>O98-N98</f>
        <v>49</v>
      </c>
      <c r="Q98" s="1360">
        <f ca="1">IF(N98="",0,TODAY()-N98)</f>
        <v>257</v>
      </c>
      <c r="R98" s="1003">
        <v>45959</v>
      </c>
      <c r="S98" s="1361">
        <f>R98-N98</f>
        <v>49</v>
      </c>
      <c r="T98" s="952" t="str">
        <f ca="1">IF(F98="JK",IF(Q98&lt;=45,"Belum Terlambat (JK)","Terlambat &gt; 45HK(JK)"),IF(F98="PK",IF(Q98&lt;=35,"Belum Terlambat (PK)","Terlambat&gt;35(PK)")))</f>
        <v>Terlambat&gt;35(PK)</v>
      </c>
      <c r="U98" s="1362">
        <f ca="1">IF(F98="JK",45-Q98,35-Q98)</f>
        <v>-222</v>
      </c>
      <c r="V98" s="1003">
        <v>45919</v>
      </c>
      <c r="W98" s="1003">
        <v>45959</v>
      </c>
      <c r="X98" s="1037">
        <f ca="1">IF(V98="",0,TODAY()-V98)</f>
        <v>248</v>
      </c>
      <c r="Y98" s="1186">
        <f>W98-V98</f>
        <v>40</v>
      </c>
      <c r="Z98" s="1000"/>
      <c r="AA98" s="1272" t="s">
        <v>3426</v>
      </c>
      <c r="AB98" s="1364" t="s">
        <v>3427</v>
      </c>
      <c r="AC98" s="1085" t="str">
        <f>IF(AD98&lt;45,"Paket Tepat Waktu/kurang dari 45HK","Tidak Tepat Waktu")</f>
        <v>Paket Tepat Waktu/kurang dari 45HK</v>
      </c>
      <c r="AD98" s="977">
        <f>S98-7</f>
        <v>42</v>
      </c>
      <c r="AE98" s="1036">
        <f>IF(D98="JK",60-AD98,45-AD98)</f>
        <v>3</v>
      </c>
      <c r="AF98" s="961" t="s">
        <v>2527</v>
      </c>
      <c r="AG98" s="942" t="s">
        <v>3418</v>
      </c>
      <c r="AH98" s="942"/>
      <c r="AI98" s="942" t="s">
        <v>3419</v>
      </c>
      <c r="AJ98" s="1400" t="s">
        <v>3420</v>
      </c>
      <c r="AK98" s="1401" t="s">
        <v>3421</v>
      </c>
      <c r="AL98" s="942" t="s">
        <v>3422</v>
      </c>
      <c r="AM98" s="1402">
        <v>13000000</v>
      </c>
      <c r="AN98" s="942" t="s">
        <v>2573</v>
      </c>
      <c r="AO98" s="967">
        <f>AM98/E98*100</f>
        <v>78.241322841693545</v>
      </c>
      <c r="AP98" s="1387" t="s">
        <v>3364</v>
      </c>
      <c r="AQ98" s="969" t="str">
        <f>IF(OR(AF98="Sudah Penetapan",AF98="Kontrak",AF98="BAHP",AF98="SPPBJ"),"SUDAH",IF(J98="03 Sudah Usul SIPBJ (Dok. dlm Reviu)","BELUM TAYANG",IF(AF98="PROSES","PROSES")))</f>
        <v>SUDAH</v>
      </c>
      <c r="AR98" s="1166" t="s">
        <v>3364</v>
      </c>
      <c r="AS98" s="1394">
        <f>80%*16615261000</f>
        <v>13292208800</v>
      </c>
    </row>
    <row r="99" spans="1:47" s="1069" customFormat="1" ht="48">
      <c r="A99" s="1381" t="s">
        <v>3428</v>
      </c>
      <c r="B99" s="938" t="s">
        <v>3429</v>
      </c>
      <c r="C99" s="1145" t="s">
        <v>2918</v>
      </c>
      <c r="D99" s="1065">
        <v>53419988</v>
      </c>
      <c r="E99" s="1065">
        <v>53419987</v>
      </c>
      <c r="F99" s="942" t="s">
        <v>3206</v>
      </c>
      <c r="G99" s="942" t="s">
        <v>3391</v>
      </c>
      <c r="H99" s="942" t="s">
        <v>2578</v>
      </c>
      <c r="I99" s="1145" t="s">
        <v>3195</v>
      </c>
      <c r="J99" s="1404" t="s">
        <v>2545</v>
      </c>
      <c r="K99" s="944" t="s">
        <v>3051</v>
      </c>
      <c r="L99" s="944" t="s">
        <v>3430</v>
      </c>
      <c r="M99" s="944" t="s">
        <v>3431</v>
      </c>
      <c r="N99" s="947">
        <v>45917</v>
      </c>
      <c r="O99" s="947">
        <v>45953</v>
      </c>
      <c r="P99" s="1134">
        <f>O99-N99</f>
        <v>36</v>
      </c>
      <c r="Q99" s="1295">
        <f ca="1">IF(N99="",0,TODAY()-N99)</f>
        <v>250</v>
      </c>
      <c r="R99" s="947">
        <v>45953</v>
      </c>
      <c r="S99" s="1311">
        <f>R99-N99</f>
        <v>36</v>
      </c>
      <c r="T99" s="1043" t="str">
        <f ca="1">IF(F99="JK",IF(Q99&lt;=45,"Belum Terlambat (JK)","Terlambat &gt; 45HK(JK)"),IF(F99="PK",IF(Q99&lt;=35,"Belum Terlambat (PK)","Terlambat&gt;35(PK)")))</f>
        <v>Terlambat&gt;35(PK)</v>
      </c>
      <c r="U99" s="1137">
        <f ca="1">IF(F99="JK",45-Q99,35-Q99)</f>
        <v>-215</v>
      </c>
      <c r="V99" s="947">
        <v>45929</v>
      </c>
      <c r="W99" s="947">
        <v>45953</v>
      </c>
      <c r="X99" s="955">
        <f ca="1">IF(V99="",0,TODAY()-V99)</f>
        <v>238</v>
      </c>
      <c r="Y99" s="1057">
        <f>W99-V99</f>
        <v>24</v>
      </c>
      <c r="Z99" s="942"/>
      <c r="AA99" s="1338" t="s">
        <v>3432</v>
      </c>
      <c r="AB99" s="1268" t="s">
        <v>3292</v>
      </c>
      <c r="AC99" s="1045" t="str">
        <f>IF(AD99&lt;45,"Paket Tepat Waktu/kurang dari 45HK","Tidak Tepat Waktu")</f>
        <v>Paket Tepat Waktu/kurang dari 45HK</v>
      </c>
      <c r="AD99" s="1319">
        <f>S99</f>
        <v>36</v>
      </c>
      <c r="AE99" s="1036">
        <f>IF(D99="JK",60-AD99,45-AD99)</f>
        <v>9</v>
      </c>
      <c r="AF99" s="961" t="s">
        <v>2529</v>
      </c>
      <c r="AG99" s="942" t="s">
        <v>3433</v>
      </c>
      <c r="AH99" s="942"/>
      <c r="AI99" s="942" t="s">
        <v>3434</v>
      </c>
      <c r="AJ99" s="942"/>
      <c r="AK99" s="942"/>
      <c r="AL99" s="942"/>
      <c r="AM99" s="1402">
        <v>43008539.31707</v>
      </c>
      <c r="AN99" s="942" t="s">
        <v>2573</v>
      </c>
      <c r="AO99" s="967">
        <f>AM99/E99*100</f>
        <v>80.510201765998175</v>
      </c>
      <c r="AP99" s="1387" t="s">
        <v>3364</v>
      </c>
      <c r="AQ99" s="969" t="str">
        <f>IF(OR(AF99="Sudah Penetapan",AF99="Kontrak",AF99="BAHP",AF99="SPPBJ"),"SUDAH",IF(J99="03 Sudah Usul SIPBJ (Dok. dlm Reviu)","BELUM TAYANG",IF(AF99="PROSES","PROSES")))</f>
        <v>SUDAH</v>
      </c>
      <c r="AR99" s="1166" t="s">
        <v>3364</v>
      </c>
      <c r="AS99" s="1394">
        <f>80%*53419987000</f>
        <v>42735989600</v>
      </c>
    </row>
    <row r="100" spans="1:47" s="1069" customFormat="1" ht="48">
      <c r="A100" s="1396" t="s">
        <v>3435</v>
      </c>
      <c r="B100" s="938" t="s">
        <v>3436</v>
      </c>
      <c r="C100" s="942" t="s">
        <v>2918</v>
      </c>
      <c r="D100" s="1032">
        <v>28597296</v>
      </c>
      <c r="E100" s="1032">
        <v>28597295</v>
      </c>
      <c r="F100" s="942" t="s">
        <v>3206</v>
      </c>
      <c r="G100" s="942" t="s">
        <v>3391</v>
      </c>
      <c r="H100" s="942" t="s">
        <v>2578</v>
      </c>
      <c r="I100" s="1145" t="s">
        <v>3195</v>
      </c>
      <c r="J100" s="1278" t="s">
        <v>3159</v>
      </c>
      <c r="K100" s="944" t="s">
        <v>2659</v>
      </c>
      <c r="L100" s="944" t="s">
        <v>3437</v>
      </c>
      <c r="M100" s="944" t="s">
        <v>3022</v>
      </c>
      <c r="N100" s="947">
        <v>45915</v>
      </c>
      <c r="O100" s="947">
        <v>46009</v>
      </c>
      <c r="P100" s="1134">
        <f>O100-N100</f>
        <v>94</v>
      </c>
      <c r="Q100" s="1295">
        <f ca="1">IF(N100="",0,TODAY()-N100)</f>
        <v>252</v>
      </c>
      <c r="R100" s="947">
        <v>46003</v>
      </c>
      <c r="S100" s="1311">
        <f>R100-N100</f>
        <v>88</v>
      </c>
      <c r="T100" s="1043" t="str">
        <f ca="1">IF(F100="JK",IF(Q100&lt;=45,"Belum Terlambat (JK)","Terlambat &gt; 45HK(JK)"),IF(F100="PK",IF(Q100&lt;=35,"Belum Terlambat (PK)","Terlambat&gt;35(PK)")))</f>
        <v>Terlambat&gt;35(PK)</v>
      </c>
      <c r="U100" s="1137">
        <f ca="1">IF(F100="JK",45-Q100,35-Q100)</f>
        <v>-217</v>
      </c>
      <c r="V100" s="947">
        <v>45929</v>
      </c>
      <c r="W100" s="947">
        <v>46003</v>
      </c>
      <c r="X100" s="955">
        <f ca="1">IF(V100="",0,TODAY()-V100)</f>
        <v>238</v>
      </c>
      <c r="Y100" s="1383">
        <f>W100-V100</f>
        <v>74</v>
      </c>
      <c r="Z100" s="942"/>
      <c r="AA100" s="1338" t="s">
        <v>3438</v>
      </c>
      <c r="AB100" s="1268" t="s">
        <v>3439</v>
      </c>
      <c r="AC100" s="1045" t="str">
        <f>IF(AD100&lt;45,"Paket Tepat Waktu/kurang dari 45HK","Tidak Tepat Waktu")</f>
        <v>Paket Tepat Waktu/kurang dari 45HK</v>
      </c>
      <c r="AD100" s="1319">
        <f>S100-60</f>
        <v>28</v>
      </c>
      <c r="AE100" s="1036">
        <f>IF(D100="JK",60-AD100,45-AD100)</f>
        <v>17</v>
      </c>
      <c r="AF100" s="961" t="s">
        <v>2527</v>
      </c>
      <c r="AG100" s="1000" t="s">
        <v>3440</v>
      </c>
      <c r="AH100" s="1000"/>
      <c r="AI100" s="1000" t="s">
        <v>3441</v>
      </c>
      <c r="AJ100" s="1000"/>
      <c r="AK100" s="1000"/>
      <c r="AL100" s="1000"/>
      <c r="AM100" s="1000">
        <v>22877836000</v>
      </c>
      <c r="AN100" s="1000" t="s">
        <v>2557</v>
      </c>
      <c r="AO100" s="967">
        <f>AM100/E100*100</f>
        <v>80000</v>
      </c>
      <c r="AP100" s="1387" t="s">
        <v>3364</v>
      </c>
      <c r="AQ100" s="969" t="str">
        <f>IF(OR(AF100="Sudah Penetapan",AF100="Kontrak",AF100="BAHP",AF100="SPPBJ"),"SUDAH",IF(J100="03 Sudah Usul SIPBJ (Dok. dlm Reviu)","BELUM TAYANG",IF(AF100="PROSES","PROSES")))</f>
        <v>SUDAH</v>
      </c>
      <c r="AR100" s="1166" t="s">
        <v>3364</v>
      </c>
    </row>
    <row r="101" spans="1:47" s="1069" customFormat="1" ht="48">
      <c r="A101" s="1403" t="s">
        <v>3442</v>
      </c>
      <c r="B101" s="938" t="s">
        <v>3443</v>
      </c>
      <c r="C101" s="942" t="s">
        <v>2918</v>
      </c>
      <c r="D101" s="940">
        <v>23394877</v>
      </c>
      <c r="E101" s="940">
        <v>23394876</v>
      </c>
      <c r="F101" s="942" t="s">
        <v>3206</v>
      </c>
      <c r="G101" s="942" t="s">
        <v>3391</v>
      </c>
      <c r="H101" s="942" t="s">
        <v>2578</v>
      </c>
      <c r="I101" s="1145" t="s">
        <v>3195</v>
      </c>
      <c r="J101" s="1278" t="s">
        <v>3159</v>
      </c>
      <c r="K101" s="1133" t="s">
        <v>2668</v>
      </c>
      <c r="L101" s="944" t="s">
        <v>3028</v>
      </c>
      <c r="M101" s="944" t="s">
        <v>3444</v>
      </c>
      <c r="N101" s="947">
        <v>45915</v>
      </c>
      <c r="O101" s="947">
        <v>46004</v>
      </c>
      <c r="P101" s="1134">
        <f>O101-N101</f>
        <v>89</v>
      </c>
      <c r="Q101" s="1295">
        <f ca="1">IF(N101="",0,TODAY()-N101)</f>
        <v>252</v>
      </c>
      <c r="R101" s="947">
        <v>46004</v>
      </c>
      <c r="S101" s="1311">
        <f>R101-N101</f>
        <v>89</v>
      </c>
      <c r="T101" s="1043" t="str">
        <f ca="1">IF(F101="JK",IF(Q101&lt;=45,"Belum Terlambat (JK)","Terlambat &gt; 45HK(JK)"),IF(F101="PK",IF(Q101&lt;=35,"Belum Terlambat (PK)","Terlambat&gt;35(PK)")))</f>
        <v>Terlambat&gt;35(PK)</v>
      </c>
      <c r="U101" s="1137">
        <f ca="1">IF(F101="JK",45-Q101,35-Q101)</f>
        <v>-217</v>
      </c>
      <c r="V101" s="947">
        <v>45925</v>
      </c>
      <c r="W101" s="947">
        <v>46004</v>
      </c>
      <c r="X101" s="955">
        <f ca="1">IF(V101="",0,TODAY()-V101)</f>
        <v>242</v>
      </c>
      <c r="Y101" s="1383">
        <f>W101-V101</f>
        <v>79</v>
      </c>
      <c r="Z101" s="942"/>
      <c r="AA101" s="958" t="s">
        <v>3445</v>
      </c>
      <c r="AB101" s="1268" t="s">
        <v>3446</v>
      </c>
      <c r="AC101" s="1045" t="str">
        <f>IF(AD101&lt;45,"Paket Tepat Waktu/kurang dari 45HK","Tidak Tepat Waktu")</f>
        <v>Paket Tepat Waktu/kurang dari 45HK</v>
      </c>
      <c r="AD101" s="1319">
        <f>S101-67</f>
        <v>22</v>
      </c>
      <c r="AE101" s="1036">
        <f>IF(D101="JK",60-AD101,45-AD101)</f>
        <v>23</v>
      </c>
      <c r="AF101" s="961" t="s">
        <v>2527</v>
      </c>
      <c r="AG101" s="942" t="s">
        <v>3440</v>
      </c>
      <c r="AH101" s="942"/>
      <c r="AI101" s="942" t="s">
        <v>3441</v>
      </c>
      <c r="AJ101" s="942"/>
      <c r="AK101" s="942"/>
      <c r="AL101" s="942"/>
      <c r="AM101" s="942">
        <v>18715900800.02</v>
      </c>
      <c r="AN101" s="942" t="s">
        <v>2557</v>
      </c>
      <c r="AO101" s="967">
        <f>AM101/E101*100</f>
        <v>80000.000000085493</v>
      </c>
      <c r="AP101" s="1387" t="s">
        <v>3364</v>
      </c>
      <c r="AQ101" s="969" t="str">
        <f>IF(OR(AF101="Sudah Penetapan",AF101="Kontrak",AF101="BAHP",AF101="SPPBJ"),"SUDAH",IF(J101="03 Sudah Usul SIPBJ (Dok. dlm Reviu)","BELUM TAYANG",IF(AF101="PROSES","PROSES")))</f>
        <v>SUDAH</v>
      </c>
      <c r="AR101" s="1166" t="s">
        <v>3364</v>
      </c>
    </row>
    <row r="102" spans="1:47" s="1069" customFormat="1" ht="48">
      <c r="A102" s="1405" t="s">
        <v>3447</v>
      </c>
      <c r="B102" s="938" t="s">
        <v>3448</v>
      </c>
      <c r="C102" s="1406" t="s">
        <v>2918</v>
      </c>
      <c r="D102" s="940">
        <v>66653367</v>
      </c>
      <c r="E102" s="940">
        <v>66653366</v>
      </c>
      <c r="F102" s="942" t="s">
        <v>3206</v>
      </c>
      <c r="G102" s="942" t="s">
        <v>3391</v>
      </c>
      <c r="H102" s="942" t="s">
        <v>2578</v>
      </c>
      <c r="I102" s="1145" t="s">
        <v>3195</v>
      </c>
      <c r="J102" s="1404" t="s">
        <v>2545</v>
      </c>
      <c r="K102" s="944" t="s">
        <v>2579</v>
      </c>
      <c r="L102" s="944" t="s">
        <v>3036</v>
      </c>
      <c r="M102" s="944" t="s">
        <v>3449</v>
      </c>
      <c r="N102" s="947">
        <v>45915</v>
      </c>
      <c r="O102" s="947">
        <v>45947</v>
      </c>
      <c r="P102" s="1134">
        <f>O102-N102</f>
        <v>32</v>
      </c>
      <c r="Q102" s="1295">
        <f ca="1">IF(N102="",0,TODAY()-N102)</f>
        <v>252</v>
      </c>
      <c r="R102" s="947">
        <v>45947</v>
      </c>
      <c r="S102" s="1311">
        <f>R102-N102</f>
        <v>32</v>
      </c>
      <c r="T102" s="1043" t="str">
        <f ca="1">IF(F102="JK",IF(Q102&lt;=45,"Belum Terlambat (JK)","Terlambat &gt; 45HK(JK)"),IF(F102="PK",IF(Q102&lt;=35,"Belum Terlambat (PK)","Terlambat&gt;35(PK)")))</f>
        <v>Terlambat&gt;35(PK)</v>
      </c>
      <c r="U102" s="1137">
        <f ca="1">IF(F102="JK",45-Q102,35-Q102)</f>
        <v>-217</v>
      </c>
      <c r="V102" s="947">
        <v>45929</v>
      </c>
      <c r="W102" s="947">
        <v>45947</v>
      </c>
      <c r="X102" s="955">
        <f ca="1">IF(V102="",0,TODAY()-V102)</f>
        <v>238</v>
      </c>
      <c r="Y102" s="1057">
        <f>W102-V102</f>
        <v>18</v>
      </c>
      <c r="Z102" s="942"/>
      <c r="AA102" s="1338" t="s">
        <v>3450</v>
      </c>
      <c r="AB102" s="1268" t="s">
        <v>3292</v>
      </c>
      <c r="AC102" s="1045" t="str">
        <f>IF(AD102&lt;45,"Paket Tepat Waktu/kurang dari 45HK","Tidak Tepat Waktu")</f>
        <v>Paket Tepat Waktu/kurang dari 45HK</v>
      </c>
      <c r="AD102" s="1319">
        <f>S102</f>
        <v>32</v>
      </c>
      <c r="AE102" s="953">
        <f>IF(D102="JK",60-AD102,45-AD102)</f>
        <v>13</v>
      </c>
      <c r="AF102" s="1407" t="s">
        <v>2529</v>
      </c>
      <c r="AG102" s="942" t="s">
        <v>3451</v>
      </c>
      <c r="AH102" s="942"/>
      <c r="AI102" s="942" t="s">
        <v>3452</v>
      </c>
      <c r="AJ102" s="942"/>
      <c r="AK102" s="942"/>
      <c r="AL102" s="942"/>
      <c r="AM102" s="1402">
        <v>53322692.799999997</v>
      </c>
      <c r="AN102" s="942" t="s">
        <v>2557</v>
      </c>
      <c r="AO102" s="967">
        <f>AM102/E102*100</f>
        <v>80</v>
      </c>
      <c r="AP102" s="1387" t="s">
        <v>3364</v>
      </c>
      <c r="AQ102" s="969" t="str">
        <f>IF(OR(AF102="Sudah Penetapan",AF102="Kontrak",AF102="BAHP",AF102="SPPBJ"),"SUDAH",IF(J102="03 Sudah Usul SIPBJ (Dok. dlm Reviu)","BELUM TAYANG",IF(AF102="PROSES","PROSES")))</f>
        <v>SUDAH</v>
      </c>
      <c r="AR102" s="1166" t="s">
        <v>3364</v>
      </c>
    </row>
    <row r="103" spans="1:47" s="1069" customFormat="1" ht="48">
      <c r="A103" s="1408" t="s">
        <v>3453</v>
      </c>
      <c r="B103" s="1409" t="s">
        <v>3454</v>
      </c>
      <c r="C103" s="942" t="s">
        <v>2633</v>
      </c>
      <c r="D103" s="940">
        <v>60000000</v>
      </c>
      <c r="E103" s="940">
        <v>59999821</v>
      </c>
      <c r="F103" s="942" t="s">
        <v>3206</v>
      </c>
      <c r="G103" s="942" t="s">
        <v>2939</v>
      </c>
      <c r="H103" s="942" t="s">
        <v>2578</v>
      </c>
      <c r="I103" s="942" t="s">
        <v>3455</v>
      </c>
      <c r="J103" s="942" t="s">
        <v>2545</v>
      </c>
      <c r="K103" s="1146" t="s">
        <v>33</v>
      </c>
      <c r="L103" s="1176" t="s">
        <v>3456</v>
      </c>
      <c r="M103" s="1146" t="s">
        <v>3457</v>
      </c>
      <c r="N103" s="1074">
        <v>45933</v>
      </c>
      <c r="O103" s="1074">
        <v>45978</v>
      </c>
      <c r="P103" s="1201">
        <f>O103-N103</f>
        <v>45</v>
      </c>
      <c r="Q103" s="1347">
        <f ca="1">IF(N103="",0,TODAY()-N103)</f>
        <v>234</v>
      </c>
      <c r="R103" s="1074">
        <v>45989</v>
      </c>
      <c r="S103" s="1348">
        <f>R103-N103</f>
        <v>56</v>
      </c>
      <c r="T103" s="1078" t="str">
        <f ca="1">IF(F103="JK",IF(Q103&lt;=45,"Belum Terlambat (JK)","Terlambat &gt; 45HK(JK)"),IF(F103="PK",IF(Q103&lt;=35,"Belum Terlambat (PK)","Terlambat&gt;35(PK)")))</f>
        <v>Terlambat&gt;35(PK)</v>
      </c>
      <c r="U103" s="1185">
        <f ca="1">IF(F103="JK",45-Q103,35-Q103)</f>
        <v>-199</v>
      </c>
      <c r="V103" s="1074">
        <v>45947</v>
      </c>
      <c r="W103" s="1074">
        <v>45989</v>
      </c>
      <c r="X103" s="1202">
        <f ca="1">IF(V103="",0,TODAY()-V103)</f>
        <v>220</v>
      </c>
      <c r="Y103" s="1203">
        <f>W103-V103</f>
        <v>42</v>
      </c>
      <c r="Z103" s="1145"/>
      <c r="AA103" s="1352" t="s">
        <v>3458</v>
      </c>
      <c r="AB103" s="1410" t="s">
        <v>3459</v>
      </c>
      <c r="AC103" s="1255" t="str">
        <f>IF(AD103&lt;=45,"Paket Tepat Waktu/kurang dari 45HK","Tidak Tepat Waktu")</f>
        <v>Paket Tepat Waktu/kurang dari 45HK</v>
      </c>
      <c r="AD103" s="1039">
        <f>S103-7-4</f>
        <v>45</v>
      </c>
      <c r="AE103" s="1036">
        <f>IF(D103="JK",60-AD103,45-AD103)</f>
        <v>0</v>
      </c>
      <c r="AF103" s="1411" t="s">
        <v>2529</v>
      </c>
      <c r="AG103" s="942" t="s">
        <v>3460</v>
      </c>
      <c r="AH103" s="942"/>
      <c r="AI103" s="942" t="s">
        <v>3461</v>
      </c>
      <c r="AJ103" s="942"/>
      <c r="AK103" s="942"/>
      <c r="AL103" s="942"/>
      <c r="AM103" s="942">
        <v>47138045.200000003</v>
      </c>
      <c r="AN103" s="942" t="s">
        <v>2557</v>
      </c>
      <c r="AO103" s="967">
        <f>AM103/E103*100</f>
        <v>78.563643048201769</v>
      </c>
      <c r="AP103" s="1387" t="s">
        <v>3364</v>
      </c>
      <c r="AQ103" s="969" t="s">
        <v>3126</v>
      </c>
      <c r="AR103" s="1166" t="s">
        <v>3364</v>
      </c>
      <c r="AU103" s="1395">
        <f>80%*59999821000</f>
        <v>47999856800</v>
      </c>
    </row>
    <row r="104" spans="1:47" s="1069" customFormat="1" ht="76.5">
      <c r="A104" s="1408" t="s">
        <v>3462</v>
      </c>
      <c r="B104" s="938" t="s">
        <v>3463</v>
      </c>
      <c r="C104" s="942" t="s">
        <v>2561</v>
      </c>
      <c r="D104" s="940">
        <v>57060890</v>
      </c>
      <c r="E104" s="940">
        <v>57060883.696280003</v>
      </c>
      <c r="F104" s="942" t="s">
        <v>3206</v>
      </c>
      <c r="G104" s="942" t="s">
        <v>2542</v>
      </c>
      <c r="H104" s="942" t="s">
        <v>2578</v>
      </c>
      <c r="I104" s="942" t="s">
        <v>2646</v>
      </c>
      <c r="J104" s="1166" t="s">
        <v>2545</v>
      </c>
      <c r="K104" s="944" t="s">
        <v>811</v>
      </c>
      <c r="L104" s="982" t="s">
        <v>3464</v>
      </c>
      <c r="M104" s="1412" t="s">
        <v>3465</v>
      </c>
      <c r="N104" s="1003">
        <v>45937</v>
      </c>
      <c r="O104" s="1003">
        <v>45946</v>
      </c>
      <c r="P104" s="1375">
        <f>O104-N104</f>
        <v>9</v>
      </c>
      <c r="Q104" s="1360">
        <f ca="1">IF(N104="",0,TODAY()-N104)</f>
        <v>230</v>
      </c>
      <c r="R104" s="1003">
        <v>45946</v>
      </c>
      <c r="S104" s="1361">
        <f>R104-N104</f>
        <v>9</v>
      </c>
      <c r="T104" s="952" t="str">
        <f ca="1">IF(F104="JK",IF(Q104&lt;=45,"Belum Terlambat (JK)","Terlambat &gt; 45HK(JK)"),IF(F104="PK",IF(Q104&lt;=35,"Belum Terlambat (PK)","Terlambat&gt;35(PK)")))</f>
        <v>Terlambat&gt;35(PK)</v>
      </c>
      <c r="U104" s="1362">
        <f ca="1">IF(F104="JK",45-Q104,35-Q104)</f>
        <v>-195</v>
      </c>
      <c r="V104" s="1003">
        <v>45940</v>
      </c>
      <c r="W104" s="1003">
        <v>45946</v>
      </c>
      <c r="X104" s="1037">
        <f ca="1">IF(V104="",0,TODAY()-V104)</f>
        <v>227</v>
      </c>
      <c r="Y104" s="1186">
        <f>W104-V104</f>
        <v>6</v>
      </c>
      <c r="Z104" s="942"/>
      <c r="AA104" s="1338" t="s">
        <v>3466</v>
      </c>
      <c r="AB104" s="1010" t="s">
        <v>3467</v>
      </c>
      <c r="AC104" s="1255" t="str">
        <f>IF(AD104&lt;45,"Paket Tepat Waktu/kurang dari 45HK","Tidak Tepat Waktu")</f>
        <v>Paket Tepat Waktu/kurang dari 45HK</v>
      </c>
      <c r="AD104" s="1039">
        <f>S104</f>
        <v>9</v>
      </c>
      <c r="AE104" s="1036">
        <f>IF(D104="JK",60-AD104,45-AD104)</f>
        <v>36</v>
      </c>
      <c r="AF104" s="1411" t="s">
        <v>2529</v>
      </c>
      <c r="AG104" s="942" t="s">
        <v>3468</v>
      </c>
      <c r="AI104" s="942" t="s">
        <v>3469</v>
      </c>
      <c r="AJ104" s="942" t="s">
        <v>3470</v>
      </c>
      <c r="AK104" s="1401" t="s">
        <v>3471</v>
      </c>
      <c r="AL104" s="1400" t="s">
        <v>3472</v>
      </c>
      <c r="AM104" s="1402">
        <v>56465158.744939998</v>
      </c>
      <c r="AN104" s="1402" t="s">
        <v>2557</v>
      </c>
      <c r="AO104" s="967">
        <f>AM104/E104*100</f>
        <v>98.955983656841184</v>
      </c>
      <c r="AP104" s="1387" t="s">
        <v>2936</v>
      </c>
      <c r="AQ104" s="969" t="s">
        <v>3126</v>
      </c>
      <c r="AR104" s="1166" t="s">
        <v>2936</v>
      </c>
    </row>
    <row r="105" spans="1:47" s="1069" customFormat="1" ht="61.5">
      <c r="A105" s="1408" t="s">
        <v>3473</v>
      </c>
      <c r="B105" s="938" t="s">
        <v>3474</v>
      </c>
      <c r="C105" s="942" t="s">
        <v>2561</v>
      </c>
      <c r="D105" s="940">
        <v>43232922</v>
      </c>
      <c r="E105" s="940">
        <v>43230840</v>
      </c>
      <c r="F105" s="942" t="s">
        <v>3206</v>
      </c>
      <c r="G105" s="942" t="s">
        <v>2542</v>
      </c>
      <c r="H105" s="942" t="s">
        <v>2578</v>
      </c>
      <c r="I105" s="942" t="s">
        <v>3475</v>
      </c>
      <c r="J105" s="1166" t="s">
        <v>2545</v>
      </c>
      <c r="K105" s="1146" t="s">
        <v>33</v>
      </c>
      <c r="L105" s="944" t="s">
        <v>3476</v>
      </c>
      <c r="M105" s="944" t="s">
        <v>3477</v>
      </c>
      <c r="N105" s="947">
        <v>45943</v>
      </c>
      <c r="O105" s="947">
        <v>45946</v>
      </c>
      <c r="P105" s="1375">
        <f>O105-N105</f>
        <v>3</v>
      </c>
      <c r="Q105" s="1360">
        <f ca="1">IF(N105="",0,TODAY()-N105)</f>
        <v>224</v>
      </c>
      <c r="R105" s="1003">
        <v>45946</v>
      </c>
      <c r="S105" s="1361">
        <f>R105-N105</f>
        <v>3</v>
      </c>
      <c r="T105" s="952" t="str">
        <f ca="1">IF(F105="JK",IF(Q105&lt;=45,"Belum Terlambat (JK)","Terlambat &gt; 45HK(JK)"),IF(F105="PK",IF(Q105&lt;=35,"Belum Terlambat (PK)","Terlambat&gt;35(PK)")))</f>
        <v>Terlambat&gt;35(PK)</v>
      </c>
      <c r="U105" s="1362">
        <f ca="1">IF(F105="JK",45-Q105,35-Q105)</f>
        <v>-189</v>
      </c>
      <c r="V105" s="947">
        <v>45944</v>
      </c>
      <c r="W105" s="947">
        <v>45946</v>
      </c>
      <c r="X105" s="1037">
        <f ca="1">IF(V105="",0,TODAY()-V105)</f>
        <v>223</v>
      </c>
      <c r="Y105" s="1186">
        <f>W105-V105</f>
        <v>2</v>
      </c>
      <c r="Z105" s="942"/>
      <c r="AA105" s="1338" t="s">
        <v>3478</v>
      </c>
      <c r="AB105" s="1010" t="s">
        <v>3292</v>
      </c>
      <c r="AC105" s="1255" t="str">
        <f>IF(AD105&lt;45,"Paket Tepat Waktu/kurang dari 45HK","Tidak Tepat Waktu")</f>
        <v>Paket Tepat Waktu/kurang dari 45HK</v>
      </c>
      <c r="AD105" s="1039">
        <f>S105</f>
        <v>3</v>
      </c>
      <c r="AE105" s="1036">
        <f>IF(D105="JK",60-AD105,45-AD105)</f>
        <v>42</v>
      </c>
      <c r="AF105" s="1411" t="s">
        <v>2529</v>
      </c>
      <c r="AG105" s="942" t="s">
        <v>3468</v>
      </c>
      <c r="AH105" s="942"/>
      <c r="AI105" s="942" t="s">
        <v>3469</v>
      </c>
      <c r="AJ105" s="942"/>
      <c r="AK105" s="942"/>
      <c r="AL105" s="942"/>
      <c r="AM105" s="1402">
        <v>43100642.088289998</v>
      </c>
      <c r="AN105" s="1402" t="s">
        <v>2557</v>
      </c>
      <c r="AO105" s="967">
        <f>AM105/E105*100</f>
        <v>99.698830946356807</v>
      </c>
      <c r="AP105" s="1387" t="s">
        <v>2936</v>
      </c>
      <c r="AQ105" s="969" t="s">
        <v>3126</v>
      </c>
      <c r="AR105" s="1166" t="s">
        <v>2936</v>
      </c>
      <c r="AS105" s="1413" t="s">
        <v>3479</v>
      </c>
    </row>
    <row r="106" spans="1:47" s="1069" customFormat="1" ht="48">
      <c r="A106" s="1408" t="s">
        <v>3480</v>
      </c>
      <c r="B106" s="1414" t="s">
        <v>3481</v>
      </c>
      <c r="C106" s="1415" t="s">
        <v>2918</v>
      </c>
      <c r="D106" s="940">
        <v>82000000</v>
      </c>
      <c r="E106" s="940">
        <v>82000000</v>
      </c>
      <c r="F106" s="942" t="s">
        <v>3206</v>
      </c>
      <c r="G106" s="942" t="s">
        <v>2939</v>
      </c>
      <c r="H106" s="942" t="s">
        <v>2578</v>
      </c>
      <c r="I106" s="942" t="s">
        <v>3151</v>
      </c>
      <c r="J106" s="942" t="s">
        <v>3159</v>
      </c>
      <c r="K106" s="1358" t="s">
        <v>56</v>
      </c>
      <c r="L106" s="944" t="s">
        <v>3482</v>
      </c>
      <c r="M106" s="944" t="s">
        <v>3161</v>
      </c>
      <c r="N106" s="947">
        <v>45961</v>
      </c>
      <c r="O106" s="947">
        <v>46002</v>
      </c>
      <c r="P106" s="1230">
        <f>O106-N106</f>
        <v>41</v>
      </c>
      <c r="Q106" s="1296">
        <f ca="1">IF(N106="",0,TODAY()-N106)</f>
        <v>206</v>
      </c>
      <c r="R106" s="1003">
        <v>46010</v>
      </c>
      <c r="S106" s="1311">
        <f>R106-N106</f>
        <v>49</v>
      </c>
      <c r="T106" s="1043" t="str">
        <f ca="1">IF(F106="JK",IF(Q106&lt;=45,"Belum Terlambat (JK)","Terlambat &gt; 45HK(JK)"),IF(F106="PK",IF(Q106&lt;=35,"Belum Terlambat (PK)","Terlambat&gt;35(PK)")))</f>
        <v>Terlambat&gt;35(PK)</v>
      </c>
      <c r="U106" s="1416">
        <f ca="1">IF(F106="JK",45-Q106,35-Q106)</f>
        <v>-171</v>
      </c>
      <c r="V106" s="947">
        <v>45972</v>
      </c>
      <c r="W106" s="947">
        <v>46010</v>
      </c>
      <c r="X106" s="1057">
        <f ca="1">IF(V106="",0,TODAY()-V106)</f>
        <v>195</v>
      </c>
      <c r="Y106" s="1383">
        <f>W106-V106</f>
        <v>38</v>
      </c>
      <c r="Z106" s="942"/>
      <c r="AA106" s="1213" t="s">
        <v>3483</v>
      </c>
      <c r="AB106" s="1268" t="s">
        <v>3484</v>
      </c>
      <c r="AC106" s="1045" t="str">
        <f>IF(AD106&lt;45,"Paket Tepat Waktu/kurang dari 45HK","Tidak Tepat Waktu")</f>
        <v>Paket Tepat Waktu/kurang dari 45HK</v>
      </c>
      <c r="AD106" s="977">
        <f>S106-5-5-6-6</f>
        <v>27</v>
      </c>
      <c r="AE106" s="1417">
        <f>IF(D106="JK",60-AD106,45-AD106)</f>
        <v>18</v>
      </c>
      <c r="AF106" s="961" t="s">
        <v>2527</v>
      </c>
      <c r="AG106" s="942" t="s">
        <v>3485</v>
      </c>
      <c r="AH106" s="942"/>
      <c r="AI106" s="942" t="s">
        <v>3486</v>
      </c>
      <c r="AJ106" s="942"/>
      <c r="AK106" s="942"/>
      <c r="AL106" s="942"/>
      <c r="AM106" s="942">
        <v>63942352566.230003</v>
      </c>
      <c r="AN106" s="942" t="s">
        <v>2557</v>
      </c>
      <c r="AO106" s="1178">
        <f>AM106/E106*100</f>
        <v>77978.47873930489</v>
      </c>
      <c r="AP106" s="942"/>
      <c r="AQ106" s="969" t="s">
        <v>3126</v>
      </c>
      <c r="AR106" s="1166" t="s">
        <v>3364</v>
      </c>
    </row>
    <row r="107" spans="1:47" s="1069" customFormat="1" ht="48">
      <c r="A107" s="1418" t="s">
        <v>3487</v>
      </c>
      <c r="B107" s="938" t="s">
        <v>3488</v>
      </c>
      <c r="C107" s="1419" t="s">
        <v>2918</v>
      </c>
      <c r="D107" s="1065">
        <v>12000000</v>
      </c>
      <c r="E107" s="1065">
        <v>12000000</v>
      </c>
      <c r="F107" s="1145" t="s">
        <v>3206</v>
      </c>
      <c r="G107" s="1145" t="s">
        <v>2939</v>
      </c>
      <c r="H107" s="1145" t="s">
        <v>2578</v>
      </c>
      <c r="I107" s="1145" t="s">
        <v>3151</v>
      </c>
      <c r="J107" s="1145" t="s">
        <v>3159</v>
      </c>
      <c r="K107" s="1420" t="s">
        <v>2681</v>
      </c>
      <c r="L107" s="1325" t="s">
        <v>3489</v>
      </c>
      <c r="M107" s="1325" t="s">
        <v>3490</v>
      </c>
      <c r="N107" s="989">
        <v>45975</v>
      </c>
      <c r="O107" s="989">
        <v>46010</v>
      </c>
      <c r="P107" s="1421">
        <f>O107-N107</f>
        <v>35</v>
      </c>
      <c r="Q107" s="1422">
        <f ca="1">IF(N107="",0,TODAY()-N107)</f>
        <v>192</v>
      </c>
      <c r="R107" s="1423">
        <v>46008</v>
      </c>
      <c r="S107" s="1326">
        <f>R107-N107</f>
        <v>33</v>
      </c>
      <c r="T107" s="1327" t="str">
        <f ca="1">IF(F107="JK",IF(Q107&lt;=45,"Belum Terlambat (JK)","Terlambat &gt; 45HK(JK)"),IF(F107="PK",IF(Q107&lt;=35,"Belum Terlambat (PK)","Terlambat&gt;35(PK)")))</f>
        <v>Terlambat&gt;35(PK)</v>
      </c>
      <c r="U107" s="1151">
        <f ca="1">IF(F107="JK",45-Q107,35-Q107)</f>
        <v>-157</v>
      </c>
      <c r="V107" s="989">
        <v>45985</v>
      </c>
      <c r="W107" s="989">
        <v>46008</v>
      </c>
      <c r="X107" s="1152">
        <f ca="1">IF(V107="",0,TODAY()-V107)</f>
        <v>182</v>
      </c>
      <c r="Y107" s="1234">
        <f>W107-V107</f>
        <v>23</v>
      </c>
      <c r="Z107" s="1145"/>
      <c r="AA107" s="1424" t="s">
        <v>3491</v>
      </c>
      <c r="AB107" s="1425" t="s">
        <v>3292</v>
      </c>
      <c r="AC107" s="1333" t="str">
        <f>IF(AD107&lt;45,"Paket Tepat Waktu/kurang dari 45HK","Tidak Tepat Waktu")</f>
        <v>Paket Tepat Waktu/kurang dari 45HK</v>
      </c>
      <c r="AD107" s="1228">
        <f>S107</f>
        <v>33</v>
      </c>
      <c r="AE107" s="1426">
        <f>IF(D107="JK",60-AD107,45-AD107)</f>
        <v>12</v>
      </c>
      <c r="AF107" s="961" t="s">
        <v>2527</v>
      </c>
      <c r="AG107" s="1145" t="s">
        <v>3492</v>
      </c>
      <c r="AH107" s="1427"/>
      <c r="AI107" s="1145" t="s">
        <v>3493</v>
      </c>
      <c r="AJ107" s="1145"/>
      <c r="AK107" s="1145"/>
      <c r="AL107" s="1145"/>
      <c r="AM107" s="1386">
        <v>9488121816.1200008</v>
      </c>
      <c r="AN107" s="1387" t="s">
        <v>2573</v>
      </c>
      <c r="AO107" s="1235">
        <f>AM107/E107*100</f>
        <v>79067.681800999999</v>
      </c>
      <c r="AP107" s="1428"/>
      <c r="AQ107" s="1429" t="s">
        <v>3126</v>
      </c>
      <c r="AR107" s="1430" t="s">
        <v>3364</v>
      </c>
    </row>
    <row r="108" spans="1:47">
      <c r="B108" s="1431"/>
    </row>
    <row r="109" spans="1:47">
      <c r="B109" s="1431"/>
    </row>
    <row r="110" spans="1:47">
      <c r="B110" s="1431"/>
    </row>
    <row r="111" spans="1:47">
      <c r="B111" s="1431"/>
    </row>
  </sheetData>
  <sheetProtection sort="0" autoFilter="0"/>
  <protectedRanges>
    <protectedRange sqref="AP2:AP3 AP74 AB2 AB3:AF3 AB1:AF1 AC4:AF4 AC85:AE87 AB5:AF28 AB74:AF78 AC79:AF79 AB80:AF82 AC29:AF29 AB108:AF1048576 AC36:AF73 AB30:AF35 AE88 AF83:AF107" name="Range1"/>
    <protectedRange sqref="AC2:AF2" name="Range1_4"/>
    <protectedRange sqref="AB83" name="Range1_5"/>
    <protectedRange sqref="AB88:AD107" name="Range1_1"/>
    <protectedRange sqref="AC83:AD84" name="Range1_7"/>
    <protectedRange sqref="AB84" name="Range1_6"/>
    <protectedRange sqref="AB85" name="Range1_8"/>
    <protectedRange sqref="AB86" name="Range1_9"/>
    <protectedRange sqref="AB87" name="Range1_12"/>
    <protectedRange sqref="AA67 AB4:AB179" name="Range12"/>
    <protectedRange sqref="AH103:AJ103 AI104:AJ104 AH108:AL179 AH105:AJ107 AK103:AL107 AH4:AL102" name="Range13"/>
  </protectedRanges>
  <autoFilter ref="A2:AY107" xr:uid="{00000000-0001-0000-0000-000000000000}"/>
  <mergeCells count="1">
    <mergeCell ref="AG1:AN1"/>
  </mergeCells>
  <conditionalFormatting sqref="D93:E107 C83:C92 D4:E89 I83:I86">
    <cfRule type="containsText" dxfId="111" priority="89" operator="containsText" text="Pemenang">
      <formula>NOT(ISERROR(SEARCH("Pemenang",C4)))</formula>
    </cfRule>
  </conditionalFormatting>
  <conditionalFormatting sqref="C12 I12">
    <cfRule type="containsText" dxfId="110" priority="102" operator="containsText" text="Pemenang">
      <formula>NOT(ISERROR(SEARCH("Pemenang",C12)))</formula>
    </cfRule>
  </conditionalFormatting>
  <conditionalFormatting sqref="I35">
    <cfRule type="containsText" dxfId="109" priority="95" operator="containsText" text="Pemenang">
      <formula>NOT(ISERROR(SEARCH("Pemenang",I35)))</formula>
    </cfRule>
  </conditionalFormatting>
  <conditionalFormatting sqref="I82">
    <cfRule type="containsText" dxfId="108" priority="96" operator="containsText" text="Pemenang">
      <formula>NOT(ISERROR(SEARCH("Pemenang",I82)))</formula>
    </cfRule>
  </conditionalFormatting>
  <conditionalFormatting sqref="J1:J2 AA5:AB5 AB8:AB9 AB11:AB12 AB14 AB16:AB22 AA23:AB28 AB30 P33:Q34 U33:U34 AB33:AB34 X34 Y34:Y35 AA31:AB32 X33:AA33 Z34:AA34 AA35:AB35 J108:J1048576 AB92:AB107">
    <cfRule type="containsText" dxfId="107" priority="110" operator="containsText" text="batal">
      <formula>NOT(ISERROR(SEARCH("batal",J1)))</formula>
    </cfRule>
  </conditionalFormatting>
  <conditionalFormatting sqref="J40:J41 J43:J44 J48:J50">
    <cfRule type="containsText" dxfId="106" priority="28" operator="containsText" text="kirim bahp">
      <formula>NOT(ISERROR(SEARCH("kirim bahp",J40)))</formula>
    </cfRule>
    <cfRule type="containsText" dxfId="105" priority="29" operator="containsText" text="masa sanggah">
      <formula>NOT(ISERROR(SEARCH("masa sanggah",J40)))</formula>
    </cfRule>
    <cfRule type="containsText" dxfId="104" priority="30" operator="containsText" text="Pemenang">
      <formula>NOT(ISERROR(SEARCH("Pemenang",J40)))</formula>
    </cfRule>
    <cfRule type="containsText" dxfId="103" priority="31" operator="containsText" text="terkontrak">
      <formula>NOT(ISERROR(SEARCH("terkontrak",J40)))</formula>
    </cfRule>
    <cfRule type="containsText" dxfId="102" priority="32" operator="containsText" text="batal">
      <formula>NOT(ISERROR(SEARCH("batal",J40)))</formula>
    </cfRule>
  </conditionalFormatting>
  <conditionalFormatting sqref="J96:J99">
    <cfRule type="containsText" dxfId="101" priority="23" operator="containsText" text="kirim bahp">
      <formula>NOT(ISERROR(SEARCH("kirim bahp",J96)))</formula>
    </cfRule>
    <cfRule type="containsText" dxfId="100" priority="24" operator="containsText" text="masa sanggah">
      <formula>NOT(ISERROR(SEARCH("masa sanggah",J96)))</formula>
    </cfRule>
    <cfRule type="containsText" dxfId="99" priority="25" operator="containsText" text="Pemenang">
      <formula>NOT(ISERROR(SEARCH("Pemenang",J96)))</formula>
    </cfRule>
    <cfRule type="containsText" dxfId="98" priority="26" operator="containsText" text="terkontrak">
      <formula>NOT(ISERROR(SEARCH("terkontrak",J96)))</formula>
    </cfRule>
    <cfRule type="containsText" dxfId="97" priority="27" operator="containsText" text="batal">
      <formula>NOT(ISERROR(SEARCH("batal",J96)))</formula>
    </cfRule>
  </conditionalFormatting>
  <conditionalFormatting sqref="J102">
    <cfRule type="containsText" dxfId="96" priority="18" operator="containsText" text="kirim bahp">
      <formula>NOT(ISERROR(SEARCH("kirim bahp",J102)))</formula>
    </cfRule>
    <cfRule type="containsText" dxfId="95" priority="19" operator="containsText" text="masa sanggah">
      <formula>NOT(ISERROR(SEARCH("masa sanggah",J102)))</formula>
    </cfRule>
    <cfRule type="containsText" dxfId="94" priority="20" operator="containsText" text="Pemenang">
      <formula>NOT(ISERROR(SEARCH("Pemenang",J102)))</formula>
    </cfRule>
    <cfRule type="containsText" dxfId="93" priority="21" operator="containsText" text="terkontrak">
      <formula>NOT(ISERROR(SEARCH("terkontrak",J102)))</formula>
    </cfRule>
    <cfRule type="containsText" dxfId="92" priority="22" operator="containsText" text="batal">
      <formula>NOT(ISERROR(SEARCH("batal",J102)))</formula>
    </cfRule>
  </conditionalFormatting>
  <conditionalFormatting sqref="J104:J105">
    <cfRule type="containsText" dxfId="91" priority="13" operator="containsText" text="kirim bahp">
      <formula>NOT(ISERROR(SEARCH("kirim bahp",J104)))</formula>
    </cfRule>
    <cfRule type="containsText" dxfId="90" priority="14" operator="containsText" text="masa sanggah">
      <formula>NOT(ISERROR(SEARCH("masa sanggah",J104)))</formula>
    </cfRule>
    <cfRule type="containsText" dxfId="89" priority="15" operator="containsText" text="Pemenang">
      <formula>NOT(ISERROR(SEARCH("Pemenang",J104)))</formula>
    </cfRule>
    <cfRule type="containsText" dxfId="88" priority="16" operator="containsText" text="terkontrak">
      <formula>NOT(ISERROR(SEARCH("terkontrak",J104)))</formula>
    </cfRule>
    <cfRule type="containsText" dxfId="87" priority="17" operator="containsText" text="batal">
      <formula>NOT(ISERROR(SEARCH("batal",J104)))</formula>
    </cfRule>
  </conditionalFormatting>
  <conditionalFormatting sqref="P33:P34 O1:P2 P4:P30 P37:P73 O108:P1048576 P75:P107">
    <cfRule type="timePeriod" dxfId="86" priority="103" timePeriod="lastMonth">
      <formula>AND(MONTH(O1)=MONTH(EDATE(TODAY(),0-1)),YEAR(O1)=YEAR(EDATE(TODAY(),0-1)))</formula>
    </cfRule>
    <cfRule type="timePeriod" dxfId="85" priority="104" timePeriod="lastWeek">
      <formula>AND(TODAY()-ROUNDDOWN(O1,0)&gt;=(WEEKDAY(TODAY())),TODAY()-ROUNDDOWN(O1,0)&lt;(WEEKDAY(TODAY())+7))</formula>
    </cfRule>
    <cfRule type="timePeriod" dxfId="84" priority="105" timePeriod="last7Days">
      <formula>AND(TODAY()-FLOOR(O1,1)&lt;=6,FLOOR(O1,1)&lt;=TODAY())</formula>
    </cfRule>
    <cfRule type="timePeriod" dxfId="83" priority="106" timePeriod="yesterday">
      <formula>FLOOR(O1,1)=TODAY()-1</formula>
    </cfRule>
    <cfRule type="timePeriod" dxfId="82" priority="107" timePeriod="today">
      <formula>FLOOR(O1,1)=TODAY()</formula>
    </cfRule>
  </conditionalFormatting>
  <conditionalFormatting sqref="P33:Q34 AA23:AB28 J1:J2 AA5:AB5 AB8:AB9 AB11:AB12 AB14 AB16:AB22 AB30 U33:U34 AB33:AB34 X34 Y34:Y35 AA31:AB32 X33:AA33 Z34:AA34 AA35:AB35 J108:J1048576 AB92:AB107">
    <cfRule type="containsText" dxfId="81" priority="108" operator="containsText" text="Pemenang">
      <formula>NOT(ISERROR(SEARCH("Pemenang",J1)))</formula>
    </cfRule>
    <cfRule type="containsText" dxfId="80" priority="109" operator="containsText" text="terkontrak">
      <formula>NOT(ISERROR(SEARCH("terkontrak",J1)))</formula>
    </cfRule>
  </conditionalFormatting>
  <conditionalFormatting sqref="J108:J1048576 AB92:AB107">
    <cfRule type="containsText" dxfId="79" priority="81" operator="containsText" text="kirim bahp">
      <formula>NOT(ISERROR(SEARCH("kirim bahp",J92)))</formula>
    </cfRule>
    <cfRule type="containsText" dxfId="78" priority="82" operator="containsText" text="masa sanggah">
      <formula>NOT(ISERROR(SEARCH("masa sanggah",J92)))</formula>
    </cfRule>
  </conditionalFormatting>
  <conditionalFormatting sqref="Y30:Y32">
    <cfRule type="containsText" dxfId="77" priority="66" operator="containsText" text="kirim bahp">
      <formula>NOT(ISERROR(SEARCH("kirim bahp",Y30)))</formula>
    </cfRule>
    <cfRule type="containsText" dxfId="76" priority="67" operator="containsText" text="masa sanggah">
      <formula>NOT(ISERROR(SEARCH("masa sanggah",Y30)))</formula>
    </cfRule>
    <cfRule type="containsText" dxfId="75" priority="68" operator="containsText" text="Pemenang">
      <formula>NOT(ISERROR(SEARCH("Pemenang",Y30)))</formula>
    </cfRule>
    <cfRule type="containsText" dxfId="74" priority="69" operator="containsText" text="terkontrak">
      <formula>NOT(ISERROR(SEARCH("terkontrak",Y30)))</formula>
    </cfRule>
    <cfRule type="containsText" dxfId="73" priority="70" operator="containsText" text="batal">
      <formula>NOT(ISERROR(SEARCH("batal",Y30)))</formula>
    </cfRule>
    <cfRule type="beginsWith" dxfId="72" priority="71" operator="beginsWith" text="Terlambat">
      <formula>LEFT(Y30,LEN("Terlambat"))="Terlambat"</formula>
    </cfRule>
  </conditionalFormatting>
  <conditionalFormatting sqref="AA4">
    <cfRule type="containsText" dxfId="71" priority="58" operator="containsText" text="kirim bahp">
      <formula>NOT(ISERROR(SEARCH("kirim bahp",AA4)))</formula>
    </cfRule>
    <cfRule type="containsText" dxfId="70" priority="59" operator="containsText" text="masa sanggah">
      <formula>NOT(ISERROR(SEARCH("masa sanggah",AA4)))</formula>
    </cfRule>
    <cfRule type="containsText" dxfId="69" priority="60" operator="containsText" text="Pemenang">
      <formula>NOT(ISERROR(SEARCH("Pemenang",AA4)))</formula>
    </cfRule>
    <cfRule type="containsText" dxfId="68" priority="61" operator="containsText" text="terkontrak">
      <formula>NOT(ISERROR(SEARCH("terkontrak",AA4)))</formula>
    </cfRule>
    <cfRule type="containsText" dxfId="67" priority="62" operator="containsText" text="batal">
      <formula>NOT(ISERROR(SEARCH("batal",AA4)))</formula>
    </cfRule>
  </conditionalFormatting>
  <conditionalFormatting sqref="AA6:AA8">
    <cfRule type="containsText" dxfId="66" priority="53" operator="containsText" text="kirim bahp">
      <formula>NOT(ISERROR(SEARCH("kirim bahp",AA6)))</formula>
    </cfRule>
    <cfRule type="containsText" dxfId="65" priority="54" operator="containsText" text="masa sanggah">
      <formula>NOT(ISERROR(SEARCH("masa sanggah",AA6)))</formula>
    </cfRule>
    <cfRule type="containsText" dxfId="64" priority="55" operator="containsText" text="Pemenang">
      <formula>NOT(ISERROR(SEARCH("Pemenang",AA6)))</formula>
    </cfRule>
    <cfRule type="containsText" dxfId="63" priority="56" operator="containsText" text="terkontrak">
      <formula>NOT(ISERROR(SEARCH("terkontrak",AA6)))</formula>
    </cfRule>
    <cfRule type="containsText" dxfId="62" priority="57" operator="containsText" text="batal">
      <formula>NOT(ISERROR(SEARCH("batal",AA6)))</formula>
    </cfRule>
  </conditionalFormatting>
  <conditionalFormatting sqref="AA10:AA13">
    <cfRule type="containsText" dxfId="61" priority="47" operator="containsText" text="kirim bahp">
      <formula>NOT(ISERROR(SEARCH("kirim bahp",AA10)))</formula>
    </cfRule>
    <cfRule type="containsText" dxfId="60" priority="48" operator="containsText" text="masa sanggah">
      <formula>NOT(ISERROR(SEARCH("masa sanggah",AA10)))</formula>
    </cfRule>
    <cfRule type="containsText" dxfId="59" priority="49" operator="containsText" text="Pemenang">
      <formula>NOT(ISERROR(SEARCH("Pemenang",AA10)))</formula>
    </cfRule>
    <cfRule type="containsText" dxfId="58" priority="50" operator="containsText" text="terkontrak">
      <formula>NOT(ISERROR(SEARCH("terkontrak",AA10)))</formula>
    </cfRule>
    <cfRule type="containsText" dxfId="57" priority="51" operator="containsText" text="batal">
      <formula>NOT(ISERROR(SEARCH("batal",AA10)))</formula>
    </cfRule>
    <cfRule type="containsText" dxfId="56" priority="52" operator="containsText" text="Selesai">
      <formula>NOT(ISERROR(SEARCH("Selesai",AA10)))</formula>
    </cfRule>
  </conditionalFormatting>
  <conditionalFormatting sqref="AA18:AA20">
    <cfRule type="containsText" dxfId="55" priority="41" operator="containsText" text="kirim bahp">
      <formula>NOT(ISERROR(SEARCH("kirim bahp",AA18)))</formula>
    </cfRule>
    <cfRule type="containsText" dxfId="54" priority="42" operator="containsText" text="masa sanggah">
      <formula>NOT(ISERROR(SEARCH("masa sanggah",AA18)))</formula>
    </cfRule>
    <cfRule type="containsText" dxfId="53" priority="43" operator="containsText" text="Pemenang">
      <formula>NOT(ISERROR(SEARCH("Pemenang",AA18)))</formula>
    </cfRule>
    <cfRule type="containsText" dxfId="52" priority="44" operator="containsText" text="terkontrak">
      <formula>NOT(ISERROR(SEARCH("terkontrak",AA18)))</formula>
    </cfRule>
    <cfRule type="containsText" dxfId="51" priority="45" operator="containsText" text="batal">
      <formula>NOT(ISERROR(SEARCH("batal",AA18)))</formula>
    </cfRule>
    <cfRule type="containsText" dxfId="50" priority="46" operator="containsText" text="Selesai">
      <formula>NOT(ISERROR(SEARCH("Selesai",AA18)))</formula>
    </cfRule>
  </conditionalFormatting>
  <conditionalFormatting sqref="AA22">
    <cfRule type="containsText" dxfId="49" priority="35" operator="containsText" text="kirim bahp">
      <formula>NOT(ISERROR(SEARCH("kirim bahp",AA22)))</formula>
    </cfRule>
    <cfRule type="containsText" dxfId="48" priority="36" operator="containsText" text="masa sanggah">
      <formula>NOT(ISERROR(SEARCH("masa sanggah",AA22)))</formula>
    </cfRule>
    <cfRule type="containsText" dxfId="47" priority="37" operator="containsText" text="Pemenang">
      <formula>NOT(ISERROR(SEARCH("Pemenang",AA22)))</formula>
    </cfRule>
    <cfRule type="containsText" dxfId="46" priority="38" operator="containsText" text="terkontrak">
      <formula>NOT(ISERROR(SEARCH("terkontrak",AA22)))</formula>
    </cfRule>
    <cfRule type="containsText" dxfId="45" priority="39" operator="containsText" text="batal">
      <formula>NOT(ISERROR(SEARCH("batal",AA22)))</formula>
    </cfRule>
    <cfRule type="containsText" dxfId="44" priority="40" operator="containsText" text="Selesai">
      <formula>NOT(ISERROR(SEARCH("Selesai",AA22)))</formula>
    </cfRule>
  </conditionalFormatting>
  <conditionalFormatting sqref="AA23:AA24 AA27:AA28 X33:Z33 U33:U34 X34 Z34 Y34:Y35 T1:AA2 T108:AA1048576 AA82:AA85">
    <cfRule type="beginsWith" dxfId="43" priority="111" operator="beginsWith" text="Terlambat">
      <formula>LEFT(T1,LEN("Terlambat"))="Terlambat"</formula>
    </cfRule>
  </conditionalFormatting>
  <conditionalFormatting sqref="AA23:AA28 AA4:AA8 AA1:AA2 AA75 AA31:AA35 AB36:AB73 AA108:AA1048576 AA77:AA85">
    <cfRule type="containsText" dxfId="42" priority="99" operator="containsText" text="Selesai">
      <formula>NOT(ISERROR(SEARCH("Selesai",AA1)))</formula>
    </cfRule>
  </conditionalFormatting>
  <conditionalFormatting sqref="AA24">
    <cfRule type="beginsWith" dxfId="41" priority="98" operator="beginsWith" text="Terlambat">
      <formula>LEFT(AA24,LEN("Terlambat"))="Terlambat"</formula>
    </cfRule>
  </conditionalFormatting>
  <conditionalFormatting sqref="AA27">
    <cfRule type="containsText" dxfId="40" priority="90" operator="containsText" text="kirim bahp">
      <formula>NOT(ISERROR(SEARCH("kirim bahp",AA27)))</formula>
    </cfRule>
    <cfRule type="containsText" dxfId="39" priority="91" operator="containsText" text="masa sanggah">
      <formula>NOT(ISERROR(SEARCH("masa sanggah",AA27)))</formula>
    </cfRule>
    <cfRule type="containsText" dxfId="38" priority="92" operator="containsText" text="Pemenang">
      <formula>NOT(ISERROR(SEARCH("Pemenang",AA27)))</formula>
    </cfRule>
    <cfRule type="containsText" dxfId="37" priority="93" operator="containsText" text="terkontrak">
      <formula>NOT(ISERROR(SEARCH("terkontrak",AA27)))</formula>
    </cfRule>
    <cfRule type="containsText" dxfId="36" priority="94" operator="containsText" text="batal">
      <formula>NOT(ISERROR(SEARCH("batal",AA27)))</formula>
    </cfRule>
  </conditionalFormatting>
  <conditionalFormatting sqref="AA38:AA50">
    <cfRule type="containsText" dxfId="35" priority="11" operator="containsText" text="Selesai">
      <formula>NOT(ISERROR(SEARCH("Selesai",AA38)))</formula>
    </cfRule>
  </conditionalFormatting>
  <conditionalFormatting sqref="AA51:AA62">
    <cfRule type="containsText" dxfId="34" priority="12" operator="containsText" text="Selesai">
      <formula>NOT(ISERROR(SEARCH("Selesai",AA51)))</formula>
    </cfRule>
  </conditionalFormatting>
  <conditionalFormatting sqref="AA65:AA68">
    <cfRule type="containsText" dxfId="33" priority="33" operator="containsText" text="Selesai">
      <formula>NOT(ISERROR(SEARCH("Selesai",AA65)))</formula>
    </cfRule>
  </conditionalFormatting>
  <conditionalFormatting sqref="AA86">
    <cfRule type="containsText" dxfId="32" priority="79" operator="containsText" text="Selesai">
      <formula>NOT(ISERROR(SEARCH("Selesai",AA86)))</formula>
    </cfRule>
    <cfRule type="beginsWith" dxfId="31" priority="80" operator="beginsWith" text="Terlambat">
      <formula>LEFT(AA86,LEN("Terlambat"))="Terlambat"</formula>
    </cfRule>
  </conditionalFormatting>
  <conditionalFormatting sqref="AA23:AB28 J1:J2 AA5:AB5 AB8:AB9 AB11:AB12 AB14 AB16:AB22 AB30 P33:Q34 U33:U34 AB33:AB34 X34 Y34:Y35 AA31:AB32 X33:AA33 Z34:AA34 AA35:AB35">
    <cfRule type="containsText" dxfId="30" priority="100" operator="containsText" text="kirim bahp">
      <formula>NOT(ISERROR(SEARCH("kirim bahp",J1)))</formula>
    </cfRule>
    <cfRule type="containsText" dxfId="29" priority="101" operator="containsText" text="masa sanggah">
      <formula>NOT(ISERROR(SEARCH("masa sanggah",J1)))</formula>
    </cfRule>
  </conditionalFormatting>
  <conditionalFormatting sqref="AB4">
    <cfRule type="containsText" dxfId="28" priority="97" operator="containsText" text="Selesai">
      <formula>NOT(ISERROR(SEARCH("Selesai",AB4)))</formula>
    </cfRule>
  </conditionalFormatting>
  <conditionalFormatting sqref="AB29">
    <cfRule type="containsText" dxfId="27" priority="83" operator="containsText" text="Selesai">
      <formula>NOT(ISERROR(SEARCH("Selesai",AB29)))</formula>
    </cfRule>
    <cfRule type="containsText" dxfId="26" priority="84" operator="containsText" text="kirim bahp">
      <formula>NOT(ISERROR(SEARCH("kirim bahp",AB29)))</formula>
    </cfRule>
    <cfRule type="containsText" dxfId="25" priority="85" operator="containsText" text="masa sanggah">
      <formula>NOT(ISERROR(SEARCH("masa sanggah",AB29)))</formula>
    </cfRule>
    <cfRule type="containsText" dxfId="24" priority="86" operator="containsText" text="Pemenang">
      <formula>NOT(ISERROR(SEARCH("Pemenang",AB29)))</formula>
    </cfRule>
    <cfRule type="containsText" dxfId="23" priority="87" operator="containsText" text="terkontrak">
      <formula>NOT(ISERROR(SEARCH("terkontrak",AB29)))</formula>
    </cfRule>
    <cfRule type="containsText" dxfId="22" priority="88" operator="containsText" text="batal">
      <formula>NOT(ISERROR(SEARCH("batal",AB29)))</formula>
    </cfRule>
  </conditionalFormatting>
  <conditionalFormatting sqref="AB87:AB90">
    <cfRule type="containsText" dxfId="21" priority="74" operator="containsText" text="kirim bahp">
      <formula>NOT(ISERROR(SEARCH("kirim bahp",AB87)))</formula>
    </cfRule>
    <cfRule type="containsText" dxfId="20" priority="75" operator="containsText" text="masa sanggah">
      <formula>NOT(ISERROR(SEARCH("masa sanggah",AB87)))</formula>
    </cfRule>
    <cfRule type="containsText" dxfId="19" priority="76" operator="containsText" text="Pemenang">
      <formula>NOT(ISERROR(SEARCH("Pemenang",AB87)))</formula>
    </cfRule>
    <cfRule type="containsText" dxfId="18" priority="77" operator="containsText" text="terkontrak">
      <formula>NOT(ISERROR(SEARCH("terkontrak",AB87)))</formula>
    </cfRule>
    <cfRule type="containsText" dxfId="17" priority="78" operator="containsText" text="batal">
      <formula>NOT(ISERROR(SEARCH("batal",AB87)))</formula>
    </cfRule>
  </conditionalFormatting>
  <conditionalFormatting sqref="AB2:AF2">
    <cfRule type="containsText" dxfId="16" priority="64" operator="containsText" text="Selesai">
      <formula>NOT(ISERROR(SEARCH("Selesai",AB2)))</formula>
    </cfRule>
    <cfRule type="beginsWith" dxfId="15" priority="65" operator="beginsWith" text="Terlambat">
      <formula>LEFT(AB2,LEN("Terlambat"))="Terlambat"</formula>
    </cfRule>
  </conditionalFormatting>
  <conditionalFormatting sqref="AC75:AC107">
    <cfRule type="containsText" dxfId="14" priority="34" operator="containsText" text="Tidak Tepat Waktu">
      <formula>NOT(ISERROR(SEARCH("Tidak Tepat Waktu",AC75)))</formula>
    </cfRule>
  </conditionalFormatting>
  <conditionalFormatting sqref="AF1 AF3:AF1048576">
    <cfRule type="containsText" dxfId="13" priority="72" operator="containsText" text="SPPBJ">
      <formula>NOT(ISERROR(SEARCH("SPPBJ",AF1)))</formula>
    </cfRule>
    <cfRule type="containsText" dxfId="12" priority="73" operator="containsText" text="KONTRAK">
      <formula>NOT(ISERROR(SEARCH("KONTRAK",AF1)))</formula>
    </cfRule>
  </conditionalFormatting>
  <conditionalFormatting sqref="AO4:AO73 AO75:AO279">
    <cfRule type="cellIs" dxfId="11" priority="63" operator="lessThan">
      <formula>80</formula>
    </cfRule>
  </conditionalFormatting>
  <conditionalFormatting sqref="J68">
    <cfRule type="containsText" dxfId="10" priority="6" operator="containsText" text="kirim bahp">
      <formula>NOT(ISERROR(SEARCH("kirim bahp",J68)))</formula>
    </cfRule>
    <cfRule type="containsText" dxfId="9" priority="7" operator="containsText" text="masa sanggah">
      <formula>NOT(ISERROR(SEARCH("masa sanggah",J68)))</formula>
    </cfRule>
    <cfRule type="containsText" dxfId="8" priority="8" operator="containsText" text="Pemenang">
      <formula>NOT(ISERROR(SEARCH("Pemenang",J68)))</formula>
    </cfRule>
    <cfRule type="containsText" dxfId="7" priority="9" operator="containsText" text="terkontrak">
      <formula>NOT(ISERROR(SEARCH("terkontrak",J68)))</formula>
    </cfRule>
    <cfRule type="containsText" dxfId="6" priority="10" operator="containsText" text="batal">
      <formula>NOT(ISERROR(SEARCH("batal",J68)))</formula>
    </cfRule>
  </conditionalFormatting>
  <conditionalFormatting sqref="J72:J73">
    <cfRule type="containsText" dxfId="5" priority="1" operator="containsText" text="kirim bahp">
      <formula>NOT(ISERROR(SEARCH("kirim bahp",J72)))</formula>
    </cfRule>
    <cfRule type="containsText" dxfId="4" priority="2" operator="containsText" text="masa sanggah">
      <formula>NOT(ISERROR(SEARCH("masa sanggah",J72)))</formula>
    </cfRule>
    <cfRule type="containsText" dxfId="3" priority="3" operator="containsText" text="Pemenang">
      <formula>NOT(ISERROR(SEARCH("Pemenang",J72)))</formula>
    </cfRule>
    <cfRule type="containsText" dxfId="2" priority="4" operator="containsText" text="terkontrak">
      <formula>NOT(ISERROR(SEARCH("terkontrak",J72)))</formula>
    </cfRule>
    <cfRule type="containsText" dxfId="1" priority="5" operator="containsText" text="batal">
      <formula>NOT(ISERROR(SEARCH("batal",J72)))</formula>
    </cfRule>
  </conditionalFormatting>
  <conditionalFormatting sqref="AC75:AC107">
    <cfRule type="expression" dxfId="0" priority="112" stopIfTrue="1">
      <formula>IF(AD75&lt;=45,"Paket Tepat Waktu/kurang dari 45HK","Tidak Tepat Waktu")</formula>
    </cfRule>
    <cfRule type="colorScale" priority="113">
      <colorScale>
        <cfvo type="min"/>
        <cfvo type="percentile" val="50"/>
        <cfvo type="max"/>
        <color rgb="FFF8696B"/>
        <color rgb="FFFFEB84"/>
        <color rgb="FF63BE7B"/>
      </colorScale>
    </cfRule>
  </conditionalFormatting>
  <dataValidations count="6">
    <dataValidation type="list" allowBlank="1" showInputMessage="1" showErrorMessage="1" errorTitle="Masukkan Sesuai List" error="Masukkan Inputan Sesuai List" promptTitle="Progres" prompt="Input Progres Paket Update Saat Ini" sqref="J140:J209" xr:uid="{0B5E536F-65FD-4C3A-86BF-6E01793AAD7A}">
      <formula1>$D$5:$D$21</formula1>
    </dataValidation>
    <dataValidation type="list" allowBlank="1" showInputMessage="1" showErrorMessage="1" sqref="AF83 AF85 AF4:AF26 AF28:AF34 AF38:AF73 AF90:AF107" xr:uid="{9CF1A212-6477-4FD8-AFAC-14A379051266}">
      <formula1>$AU$2:$AY$2</formula1>
    </dataValidation>
    <dataValidation type="list" allowBlank="1" showInputMessage="1" showErrorMessage="1" sqref="AF27 AF84 AF75:AF82 AF86:AF89 AF35:AF37" xr:uid="{27BD71E4-F83F-41BE-9FAA-AC59C72A42A8}">
      <formula1>$AU$2:$AX$2</formula1>
    </dataValidation>
    <dataValidation allowBlank="1" showInputMessage="1" showErrorMessage="1" sqref="AP2 AF2" xr:uid="{8DE4754A-779E-48B0-BF09-476B8D0120FD}"/>
    <dataValidation type="list" allowBlank="1" showInputMessage="1" showErrorMessage="1" sqref="J4:J139" xr:uid="{308D3F4E-3692-4628-9AE6-73DDA138162A}">
      <formula1>$D$5:$D$25</formula1>
    </dataValidation>
    <dataValidation type="list" allowBlank="1" showInputMessage="1" showErrorMessage="1" sqref="AF1 AP74 AP3 AF3 AF74 AF108:AF1048576" xr:uid="{5CCCA50E-CCD2-4FA6-9F07-8E8153B2884F}">
      <formula1>$A$1:$A$3</formula1>
    </dataValidation>
  </dataValidations>
  <hyperlinks>
    <hyperlink ref="AK24" r:id="rId1" xr:uid="{B1E5E2B6-E1C4-4EFF-852F-3740A7B4DC96}"/>
    <hyperlink ref="AK16" r:id="rId2" xr:uid="{3FD16D5E-AB0A-48A5-BED4-BDA681A0AD2D}"/>
    <hyperlink ref="AK80" r:id="rId3" xr:uid="{79CEB43C-26DF-434F-9F46-34B8A89B9D70}"/>
    <hyperlink ref="AK77" r:id="rId4" display="'ptmarinda.uks@gmail.com" xr:uid="{15660ACF-F7B6-4668-A86C-8A28F20FF61F}"/>
    <hyperlink ref="AK27" r:id="rId5" xr:uid="{7E62AA48-50AA-429F-8215-AE49F238D753}"/>
    <hyperlink ref="AK79" r:id="rId6" display="'modern.makmur.mandiri03@gmail.com" xr:uid="{3A4F671B-0C61-4787-9A59-C302E847E226}"/>
    <hyperlink ref="AK26" r:id="rId7" display="'atharrazkatatajaya@gmail.com" xr:uid="{1074FEF5-87F4-4498-9BF9-4CDE98271CFE}"/>
    <hyperlink ref="AK35" r:id="rId8" xr:uid="{236DFF85-0B15-40F8-97D6-BA964A188270}"/>
    <hyperlink ref="AP63" r:id="rId9" xr:uid="{F43C6B6A-36F8-4F14-A0AD-53C70129A490}"/>
    <hyperlink ref="AK45" r:id="rId10" xr:uid="{21CD3DF9-8D74-4B4C-9E20-0187A63480D0}"/>
    <hyperlink ref="AK34" r:id="rId11" xr:uid="{1559BFC0-5C4D-488B-AC9F-0B402F8C7DCB}"/>
    <hyperlink ref="AK33" r:id="rId12" xr:uid="{70F9E4AA-CED7-4E7B-B1D8-07675ACAD120}"/>
    <hyperlink ref="AK98" r:id="rId13" xr:uid="{0318975A-B4BE-41A5-9174-94581B0908E2}"/>
    <hyperlink ref="AS105" r:id="rId14" xr:uid="{5493B39C-8F04-40DB-A011-0D3D6293EC74}"/>
    <hyperlink ref="AK14" r:id="rId15" xr:uid="{955E409B-CE92-435D-9410-4DAFCFF66CCD}"/>
    <hyperlink ref="AK15" r:id="rId16" xr:uid="{2AB26AE8-0E0D-4526-92FC-42BC7E651C5D}"/>
    <hyperlink ref="AK28" r:id="rId17" xr:uid="{B8C45169-368A-42A6-92B3-7C36FAAFEB5D}"/>
    <hyperlink ref="AK19" r:id="rId18" xr:uid="{C50BCFCB-161E-448E-86FC-3882ED8F9DD4}"/>
    <hyperlink ref="AK78" r:id="rId19" xr:uid="{FAC02E0A-4F52-40F3-8F8F-E8C942FB5BAE}"/>
    <hyperlink ref="AK97" r:id="rId20" xr:uid="{9CF27510-22A1-4F78-9E22-CEC3A700E0DA}"/>
    <hyperlink ref="AK83" r:id="rId21" xr:uid="{8CF420A2-F9C6-4FEC-88F8-233CF5B4F74A}"/>
    <hyperlink ref="AK29" r:id="rId22" xr:uid="{1EF4E60A-EB26-4213-9C65-94255121BB84}"/>
    <hyperlink ref="AK104" r:id="rId23" xr:uid="{5248F2BB-AF27-48BF-B742-2D95E1EEFA15}"/>
    <hyperlink ref="AK58" r:id="rId24" xr:uid="{8C70D0D8-71AE-4345-8B98-D94B6C11C51D}"/>
    <hyperlink ref="AK56" r:id="rId25" xr:uid="{AF57C8BC-2325-4DF6-BB8B-41BB94764AE0}"/>
    <hyperlink ref="AK38" r:id="rId26" xr:uid="{16AE8E80-77FF-4D6F-9B89-46401AE70C1D}"/>
    <hyperlink ref="AK55" r:id="rId27" xr:uid="{BE5F4709-B0B1-4A72-815A-A2321E7C0045}"/>
  </hyperlinks>
  <pageMargins left="0.7" right="0.7" top="0.75" bottom="0.75" header="0.3" footer="0.3"/>
  <pageSetup paperSize="9" fitToHeight="0" orientation="portrai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2026-03-14T04:15:20Z</dcterms:created>
  <dcterms:modified xsi:type="dcterms:W3CDTF">2026-05-24T21:05:38Z</dcterms:modified>
  <cp:category/>
  <cp:contentStatus/>
</cp:coreProperties>
</file>