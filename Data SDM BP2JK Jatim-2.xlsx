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0" firstSheet="1" activeTab="2"/>
  </bookViews>
  <sheets>
    <sheet name="AK PBJ" sheetId="1" state="hidden" r:id="rId1"/>
    <sheet name="Diklat 2025 dan evaluasi" sheetId="15" r:id="rId2"/>
    <sheet name="DataPegawai" sheetId="16" r:id="rId3"/>
  </sheets>
  <definedNames>
    <definedName name="_xlnm._FilterDatabase" localSheetId="1" hidden="1">'Diklat 2025 dan evaluasi'!$A$4:$N$373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<sst xmlns="http://schemas.openxmlformats.org/spreadsheetml/2006/main" count="2579" uniqueCount="946">
  <si>
    <t>No</t>
  </si>
  <si>
    <t>Nama Lengkap</t>
  </si>
  <si>
    <t>NIP</t>
  </si>
  <si>
    <t>Nomor HP/ WA</t>
  </si>
  <si>
    <t>Jenjang</t>
  </si>
  <si>
    <t>Pangkat/ Gol</t>
  </si>
  <si>
    <t>TMT Pangkat/ Gol</t>
  </si>
  <si>
    <t>TMT Jenjang</t>
  </si>
  <si>
    <t>Hasil Akumulasi AK S.d. 2025</t>
  </si>
  <si>
    <t>Keterangan</t>
  </si>
  <si>
    <t>Deinald Yuferson Damaledo, S.T</t>
  </si>
  <si>
    <t>198006112007011000</t>
  </si>
  <si>
    <t>085237196244</t>
  </si>
  <si>
    <t>Pengelola Pengadaan Barang/Jasa Ahli Pertama</t>
  </si>
  <si>
    <t>Penata Muda Tingkat I/ IIIb</t>
  </si>
  <si>
    <t>Rendra Proysa, ST</t>
  </si>
  <si>
    <t>197711252014101000</t>
  </si>
  <si>
    <t>085752077178</t>
  </si>
  <si>
    <t>Sudah mengikuti ujikom pada Februari 2025 untuk Ahli Muda</t>
  </si>
  <si>
    <t>Masruro Tufani Ahmad, S.Kom.,MT</t>
  </si>
  <si>
    <t>198808272010122000</t>
  </si>
  <si>
    <t>082131340602</t>
  </si>
  <si>
    <t>Pengelola Pengadaan Barang/Jasa Ahli Muda</t>
  </si>
  <si>
    <t>Penata Tingkat I/ IIId</t>
  </si>
  <si>
    <t>Agus Hakim, SE</t>
  </si>
  <si>
    <t>083857805178</t>
  </si>
  <si>
    <t>Penata Muda/ IIIa</t>
  </si>
  <si>
    <t>Daffah Ulfi Rahmatillah,SH</t>
  </si>
  <si>
    <t>081296659610</t>
  </si>
  <si>
    <t>Dyah Kusumaning Putri, S.E</t>
  </si>
  <si>
    <t>081333359411</t>
  </si>
  <si>
    <t>Wan Achmad Reza Rinatha, ST, MT</t>
  </si>
  <si>
    <t>085260688822</t>
  </si>
  <si>
    <t>Teddy Marza Kurniawan, S.H</t>
  </si>
  <si>
    <t>08113290511</t>
  </si>
  <si>
    <t>Febrian Sandhi Festanto, SH</t>
  </si>
  <si>
    <t>081290060729</t>
  </si>
  <si>
    <t>Penata Muda Tingkat I</t>
  </si>
  <si>
    <t>Sasetyo Gilang Kusumo, SH</t>
  </si>
  <si>
    <t>0811954777</t>
  </si>
  <si>
    <t>Agnesia Margaretha Gunawan, S.IAN</t>
  </si>
  <si>
    <t>082235297005</t>
  </si>
  <si>
    <t>Khairu Annisa Hariadi, S.T.,M.T</t>
  </si>
  <si>
    <t>081330618848</t>
  </si>
  <si>
    <t>Rifqathin Ulya, S.H.,M.H</t>
  </si>
  <si>
    <t>081231290493</t>
  </si>
  <si>
    <t>Bima Sakti Prayitno, ST</t>
  </si>
  <si>
    <t>081364483201</t>
  </si>
  <si>
    <t>Maya Puspita Maharani, S.H.,LL.M</t>
  </si>
  <si>
    <t>0895352994800</t>
  </si>
  <si>
    <t>Rani Fajar Nestiti, S.T</t>
  </si>
  <si>
    <t>081280966865</t>
  </si>
  <si>
    <t>Fauzianggi Rahmi Fitri, S.E.,M.T.</t>
  </si>
  <si>
    <t>0818233399</t>
  </si>
  <si>
    <t>Dwi Ananta Irwinsyah Putra, S.E.</t>
  </si>
  <si>
    <t>085333804283</t>
  </si>
  <si>
    <t>Dimas Al Hakim, S.H.</t>
  </si>
  <si>
    <t>081235124488</t>
  </si>
  <si>
    <t>Pungki Ario Pamungkas, S.E</t>
  </si>
  <si>
    <t>081336984265</t>
  </si>
  <si>
    <t>DAFTAR USULAN DAN EVALUASI PELAKSANAAN PELATIHAN TAHUN 2025 BP2JK WILAYAH JAWA TIMUR</t>
  </si>
  <si>
    <t>Update: Januari 2026</t>
  </si>
  <si>
    <t>Nama</t>
  </si>
  <si>
    <t>Rencana/ Usulan Diklat Berdasarkan Hasil Evaluasi Tahun 2025</t>
  </si>
  <si>
    <t>Realisasi Pelaksanaan Pelatihan/ Diklat/ Bimtek/ Sosialisasi/ Webinar/ Internalisasi</t>
  </si>
  <si>
    <t>Link Bukti Dukung Sertifikat</t>
  </si>
  <si>
    <t>Nama Diklat</t>
  </si>
  <si>
    <t>Tanggal Pelaksanaan</t>
  </si>
  <si>
    <t>Pelaksana Diklat</t>
  </si>
  <si>
    <t>Nomor Sertifikat</t>
  </si>
  <si>
    <t>Diklat berkaitan dengan PBJ</t>
  </si>
  <si>
    <t>Diklat berkaitan dengan Jabatan</t>
  </si>
  <si>
    <t>Diklat berkaitan dengan Integritas</t>
  </si>
  <si>
    <t>Jumlah JP</t>
  </si>
  <si>
    <t>Total JP</t>
  </si>
  <si>
    <t>Pemenuhan JP</t>
  </si>
  <si>
    <t>Husnan Tajrie, S.T., M.T</t>
  </si>
  <si>
    <t>Bimtek MR/ Kepatuhan Intern/ Gratifikasi/ Benturan Kepentingan/ SMAP/ WBS</t>
  </si>
  <si>
    <t>Tadaa!:Tanya Pengadaan - Persyaratan Peralatan Utama pada Tender Pekerjaan Konstruksi</t>
  </si>
  <si>
    <t>Direktorat Pengadaan Jasa Konstruksi</t>
  </si>
  <si>
    <t>1833/STF/Kj/2025</t>
  </si>
  <si>
    <t>√</t>
  </si>
  <si>
    <t>Sasirangan (Semangat Berbagi Solusi dan Informasi Pengadaan) #5</t>
  </si>
  <si>
    <t>BP2JK Wilayah Kalimantan Selatan</t>
  </si>
  <si>
    <t>1140/STF/KJ/2025</t>
  </si>
  <si>
    <t>Tadaa! - Sosialisasi Perpres No 46 Tahun 2025 tentang Perubahan Kedua atas Perpres No 16 Tahun 2018 tentang PB/J</t>
  </si>
  <si>
    <t>2885/STF/Kj/2025</t>
  </si>
  <si>
    <t>E-Learning Manajemen Risiko</t>
  </si>
  <si>
    <t>17-20 Maret 2025</t>
  </si>
  <si>
    <t>Bapekom PU Wilayah III Jakarta</t>
  </si>
  <si>
    <t>00000253/0/3021/419/LAN-KEMENPUPR/2025</t>
  </si>
  <si>
    <t>Sasirangan (Semangat Berbagi Solusi dan Informasi Pengadaan) #4</t>
  </si>
  <si>
    <t>1016/STF/KJ/2025</t>
  </si>
  <si>
    <t>Tadaa!: Episode 5 - Pengembangan Kapasitas untuk Pokja Pemilihan pada Paket Pekerjaan dengan Sumber Dana Bank Dunia di Kementerian PU</t>
  </si>
  <si>
    <t>21 Agustus 2025
s/d
21 Agustus 2025</t>
  </si>
  <si>
    <t>7175/STF/Kj/2025</t>
  </si>
  <si>
    <t>Governance Beyond Compliance: Penguatan Integritas dan Peran Aparatur dalam Pencegahan Korupsi</t>
  </si>
  <si>
    <t>18 Desember 2025
s/d
18 Desember 2025</t>
  </si>
  <si>
    <t>Direktorat Kepatuhan Intern Direktorat Jenderal Bina Konstruksi</t>
  </si>
  <si>
    <t>14227/STF/Ki/2025</t>
  </si>
  <si>
    <t>Pelatihan terkait penyegaran PISK</t>
  </si>
  <si>
    <t>Pejabat Inti Satuan Kerja (PISK) Bidang Manajemen</t>
  </si>
  <si>
    <t>28 April - 26 Mei 2025</t>
  </si>
  <si>
    <t>Balai Pengembangan Kompetensi Pekerjaan Umum Wilayah I Medan</t>
  </si>
  <si>
    <t>00001309/99/3021/227/LAN-KEMENPUPR/2025</t>
  </si>
  <si>
    <t>Tidak diusulkan sebelumnya</t>
  </si>
  <si>
    <t>Webinar Sharing Knowledge Pengelolaan Sumber Daya Air di Belanda</t>
  </si>
  <si>
    <t>Sekretariat Badan Pengembangan Sumber Daya Manusia</t>
  </si>
  <si>
    <t>325/STF/Ms/2025</t>
  </si>
  <si>
    <t>JUMLAH PERSONIL BELUM MEMENUHI JUMLAH JP =</t>
  </si>
  <si>
    <t>Workshop Identifikasi Kebutuhan Pengembangan Kompetensi di Direktorat Jenderal Bina Konstruksi</t>
  </si>
  <si>
    <t>Sekretariat Direktorat Jenderal Bina Konstruksi</t>
  </si>
  <si>
    <t>271/STF/Ks/2025</t>
  </si>
  <si>
    <t>JUMLAH PERSONIL SUDAH MEMENUHI JUMLAH JP =</t>
  </si>
  <si>
    <t>Ode Siti Andini Ladamay, ST. MT.</t>
  </si>
  <si>
    <t>E-Learning Pengetahuan Antikorupsi Dasar dan Integritas (PADI) Untuk Umum</t>
  </si>
  <si>
    <t>Komisi Pemberantasan Korupsi</t>
  </si>
  <si>
    <t>001/IDN/II/2025</t>
  </si>
  <si>
    <t>https://drive.google.com/drive/folders/1jiXm9rrXSDCswVlZBDiSwIisce2JBM-z</t>
  </si>
  <si>
    <t>E-Learning Peningkatan Pemahaman Gratifikasi 2025</t>
  </si>
  <si>
    <t>001/IDN/X/2025</t>
  </si>
  <si>
    <t>Sosialisasi dan Koordinasi Kepatuhan Intern dan Manajemen Risiko Regional II</t>
  </si>
  <si>
    <t>29- 30 September 2025</t>
  </si>
  <si>
    <t>Direktorat Kepatuhan Intern DJBK</t>
  </si>
  <si>
    <t>813/STF/Ki/2025</t>
  </si>
  <si>
    <t>PJJ PPK karena diusulkan sebagai PPK</t>
  </si>
  <si>
    <t>Pelatihan Jarak Jauh Pejabat Pembuat Komitmen</t>
  </si>
  <si>
    <t>25 Februari - 3 Maret 2025</t>
  </si>
  <si>
    <t>BDK Yogyakarta Angkatan I, Kementerian Keuangan</t>
  </si>
  <si>
    <t>00004355/121/3005/114/2025</t>
  </si>
  <si>
    <t>Peningkatan Kompetensi Kepatuhan Internal (Bapekom PUPR Wilayah VI Surabaya, Surat Usulan SM0304-Kb25/076)</t>
  </si>
  <si>
    <t>Pelatihan Kepatuhan Intern Angkatan II</t>
  </si>
  <si>
    <t>17 - 21 Maret 2025</t>
  </si>
  <si>
    <t>Balai Pengembangan Kompetensi Pekerjaan Umum Wilayah VI Sby</t>
  </si>
  <si>
    <t>00000126/0/3021/295/LAN-KEMENPUPR/2025</t>
  </si>
  <si>
    <t>559/STF/Ms/2025</t>
  </si>
  <si>
    <t>Bimtek/ Sosialisasi terkait kepegawaian sebagai PLT Kasubbag Umum dan TU</t>
  </si>
  <si>
    <t>301/STF/Ks/2025</t>
  </si>
  <si>
    <t>PISK Manajemen karena diusulkan sebagai PPK</t>
  </si>
  <si>
    <t>24 Maret 2025 s.d 28 April 2025</t>
  </si>
  <si>
    <t>Bapekom Wilayah VI Sby</t>
  </si>
  <si>
    <t>00000368/99/3021/295/LAN-KEMENPUPR/2025</t>
  </si>
  <si>
    <t>Bimtek/ Sosialisasi/ Webinar terkait PBJ</t>
  </si>
  <si>
    <t>Tadaa!: Persyaratan Peralatan  Utama pada Tender Pekerjaan Konstruksi</t>
  </si>
  <si>
    <t xml:space="preserve"> 28 April 2025</t>
  </si>
  <si>
    <t xml:space="preserve">Direktorat Pengadaan Jasa Konstruksi </t>
  </si>
  <si>
    <t xml:space="preserve"> 2023/STF/Kj/2025</t>
  </si>
  <si>
    <t>Tadaa! Sosialisasi Perpres No 46/ 2025 tentang Perubahan Ke2 atas Perpres  No 16/2018 tentang PB/J</t>
  </si>
  <si>
    <t>3173/STF/Kj/2025</t>
  </si>
  <si>
    <t>Tadaa! - Penjelasan Proses Validasi Peralatan pada SIMPK dalam Proses Pengadaan Jasa Konstruksi di Kementerian PU</t>
  </si>
  <si>
    <t>10 Juli 2025</t>
  </si>
  <si>
    <t>5923/STF/Kj/2025</t>
  </si>
  <si>
    <t>Webinar &amp;quot;Metode Pemilihan E-Purchasing Katalog Melalui Metode Mini-Kompetisi untuk Pekerjaan Konstruksi</t>
  </si>
  <si>
    <t>7 Agustus 2025</t>
  </si>
  <si>
    <t xml:space="preserve">Balai Pelaksana Pemilihan Jasa Konstruksi Wilayah Sumatera Utara	</t>
  </si>
  <si>
    <t>11843/STF/Kj/2025</t>
  </si>
  <si>
    <t xml:space="preserve">Webinar Teknologi AI Untuk Deteksi Kerusakan Jalan
dan Penerapan Digital Twin dalam Road Management
System di Indonesia
</t>
  </si>
  <si>
    <t>21 Oktober 2025</t>
  </si>
  <si>
    <t>Direktorat Bina Teknik Jalan dan Jembatan</t>
  </si>
  <si>
    <t>7769/STF/Be/2025</t>
  </si>
  <si>
    <t>Tadaa!:Tanya Pengadaan Episode 5 - Pengembangan Kapasitas untuk Pokja Pemilihan pada Paket Pekerjaan dengan Sumber Dana Bank Dunia (World Bank) di Kementerian PU</t>
  </si>
  <si>
    <t>21 Agustus 2025</t>
  </si>
  <si>
    <t>7312/STF/Kj/2025</t>
  </si>
  <si>
    <t>Esthy Dwinda Purwaningjati, SH</t>
  </si>
  <si>
    <t>Bimtek MR/ Kepatuhan Intern/ Gratifikasi/ Benturan Kepentingan/ SMAP/ WBS/ PBJ</t>
  </si>
  <si>
    <t>https://drive.google.com/drive/folders/13DbrcpndLbNFpjMUd_-5jYdRPveog8vA</t>
  </si>
  <si>
    <t>Workshop Identifikasi Kebutuhan Pengembangan Kompetensi di DJBK</t>
  </si>
  <si>
    <t>27 Februari 2025</t>
  </si>
  <si>
    <t>243/STF/Ks/2025</t>
  </si>
  <si>
    <t>Bimbingan Teknis Pemahaman dan Implementasi Sistem Manajemen Mutu ISO SNI 9001:2015</t>
  </si>
  <si>
    <t>16 Mei 2025</t>
  </si>
  <si>
    <t>Direktorat Jenderal Cipta Karya</t>
  </si>
  <si>
    <t>029/S.KET/Cg/2025</t>
  </si>
  <si>
    <t>Webinar Dampak Bencana dan Perubahan Iklim terhadap Keberlanjutan Infrastruktur Jalan dan Jembatan</t>
  </si>
  <si>
    <t>26 Juni 2025</t>
  </si>
  <si>
    <t>Pusat Pengembangan Kompetensi Jalan, Perumahan dan PIW</t>
  </si>
  <si>
    <t>-</t>
  </si>
  <si>
    <t>E-Learning Manajemen Pengembangan SDM</t>
  </si>
  <si>
    <t>23 Juni s/d 3 Juli 2025</t>
  </si>
  <si>
    <t>Bapekom PU Wilayah VII Banjarmasin</t>
  </si>
  <si>
    <t>00001612/99/3021/496/LAN-KEMENPUPR/2025</t>
  </si>
  <si>
    <t>Kajian Kebencanaan Geologi untuk Infrastruktur yang Tangguh (Resilience Infrastructures)</t>
  </si>
  <si>
    <t>BPSDM</t>
  </si>
  <si>
    <t>Sertifikat ada tapi tidak ada nomor</t>
  </si>
  <si>
    <t>Klinik BIM PU #36 - Pemanfaatan Orthomosaic untuk Pemodelan Terrain dan Dimensi</t>
  </si>
  <si>
    <t>Pusat Data dan Teknologi Informasi</t>
  </si>
  <si>
    <t xml:space="preserve">NOMOR : 4380/STF/Sd/2025
</t>
  </si>
  <si>
    <t>Workshop Kolaborasi Pengabdian Masyarakat Hukum Konstruksi dan Manajemen Kontrak Konstruksi</t>
  </si>
  <si>
    <t>UNIKAL</t>
  </si>
  <si>
    <t>625/C.06.01/VII/2025</t>
  </si>
  <si>
    <t>Webinar Menjawab Tantangan Baru Pembangunan Perkotaan Berkelanjutan Dalam RPJMN 2025-2029 (Pemenuhan Indikator Kontribusi PDRB dan Indeks Kota Berkelanjutan)</t>
  </si>
  <si>
    <t>Webinar: Metode Pemilihan E-Purchasing Katalog Melalui Metode Mini-Kompetisi untuk Pekerjaan Konstruksi</t>
  </si>
  <si>
    <t>Balai Pelaksana Pemilihan Jasa Konstruksi Wilayah Sumatera Utara</t>
  </si>
  <si>
    <t xml:space="preserve">NOMOR : 11551/STF/Kj/2025
</t>
  </si>
  <si>
    <t>Scan to BIM: Solusi Mengubah Data Lapangan menjadi Model 3 Dimensi</t>
  </si>
  <si>
    <t>NOMOR : 6657/STF/Sd/2025</t>
  </si>
  <si>
    <t>Bimbingan Teknis Seri 4: Retrofitting Bangunan Gedung Cagar &amp; Budaya Aspek Bahan &amp; Struktur</t>
  </si>
  <si>
    <t>Balai Teknik Bahan dan Struktur Bangunan &amp; Gedung</t>
  </si>
  <si>
    <t>UK Road Preservation Technology : Lesson for Indonesia's Future Infrastructure</t>
  </si>
  <si>
    <t>Pusat Pengembangan Kompetensi Bina Marga, Pembiayaan Infrastruktur, dan Pengembangan Infrastruktur Wilayah</t>
  </si>
  <si>
    <t>NOMOR : SM.05-KM/6456</t>
  </si>
  <si>
    <t>Sharing Session - Less is More: Lean Construction
towards Sustainable Public Infrastructure</t>
  </si>
  <si>
    <t>29 Agustus 2025</t>
  </si>
  <si>
    <t>Direktorat Jenderal Bina Konstruksi</t>
  </si>
  <si>
    <t>NOMOR : 7618/STF/Kk/2025</t>
  </si>
  <si>
    <t>8 Sept 2025</t>
  </si>
  <si>
    <t>No. 001/IDN/IX/2025</t>
  </si>
  <si>
    <t>TADAA!:Tanya Pengadaan - Penerapan Sistem Informasi Pengalaman (SIMPAN) pada Pengadaan Jasa Konstruksi di Kementerian Pekerjaan Umum</t>
  </si>
  <si>
    <t>NOMOR : 9883/STF/Kj/2025</t>
  </si>
  <si>
    <t>Sustainable lowland in Indonesia to support food sovereignty</t>
  </si>
  <si>
    <t>Pusbangkom ACP</t>
  </si>
  <si>
    <t>Sertifikat ada tp tdk ada nomor</t>
  </si>
  <si>
    <t>Bedah Buku Standar Pelaksanaan Pemasangan Gelagar Jembatan Pratekan Pracetak Tipe I (PCI Girder) Komite Keselamatan Konstruksi</t>
  </si>
  <si>
    <t>31 Oktober 2025</t>
  </si>
  <si>
    <t>Politeknik PU</t>
  </si>
  <si>
    <t>NOMOR 2/STF/KKK/2025</t>
  </si>
  <si>
    <t>Workshop Tata Cara Penyusunan Standar Operasional Prosedur (SOP) Administrasi Pemerintah</t>
  </si>
  <si>
    <t>6 - 7 November 2025</t>
  </si>
  <si>
    <t>Direktorat Kepatuhan Intern Ditjen Bina Konstruksi</t>
  </si>
  <si>
    <t>Nomor: 1631/STF/Ki/2025</t>
  </si>
  <si>
    <t>Workshop Penerapan Sistem Manajemen Anti Penyuapan (SMAP)</t>
  </si>
  <si>
    <t>15 - 16 Oktober 2025</t>
  </si>
  <si>
    <t>Nomor: 1130/STF/Ki/2025</t>
  </si>
  <si>
    <t>Pelatihan Work Collaboration Tools - Microsoft 365 Eps.13</t>
  </si>
  <si>
    <t>Ada sertifikat tp tdk ada nomornya</t>
  </si>
  <si>
    <t>Tadaa!:Tanya Pengadaan Episode 10 - Membangun Trust dengan Memperkuat Integritas pada proses Pengadaan Barang/Jasa</t>
  </si>
  <si>
    <t>NOMOR : 12351/STF/Kj/2025</t>
  </si>
  <si>
    <t>Bimbingan Teknis Bidang Bahan dan Struktur Bangunan Gedung Seri 6 – Tahun 2025 Menjaga Keandalan Struktur Gedung Beton Bertulang Melalui Integrasi Desain Struktur Gedung Beton Bertulang, Pengendalian Mutu, dan Evaluasi Lapangan</t>
  </si>
  <si>
    <t>Balai Teknik Bahan dan Struktur Bangunan Gedung,
Direktorat Bina Teknik Bangunan Gedung dan Penyehatan Lingkungan,
Direktorat Jenderal Cipta Karya, Kementerian Pekerjaan Umum,</t>
  </si>
  <si>
    <t>Nomor : 040/SKET/Cg/2025</t>
  </si>
  <si>
    <t>Tata Cara Penyusunan Proses Bisnis berdasarkan Permen PANRB Nomor 19</t>
  </si>
  <si>
    <t>15 Desember 2025</t>
  </si>
  <si>
    <t>Lembaga Pengembangan dan Konsultasi Nasional</t>
  </si>
  <si>
    <t>Nomor: 030.15.12.2025/Penyusunan-Proses-Bisnis/XII/2025</t>
  </si>
  <si>
    <t>Gambaran Umum dan Langkah Strategis Mengelola Resiko Pengadaan</t>
  </si>
  <si>
    <t>16 Desember 2025</t>
  </si>
  <si>
    <t>Nomor: 021.16.12.2025/Mengelola-Resiko-Pengadaan/XII/2025</t>
  </si>
  <si>
    <t>Peran, Tantangan, dan Pengendalian Kepatuhan Intern dalam Pelaksanaan Proses Bisnis pada Unit Organisasi</t>
  </si>
  <si>
    <t>17 Desember 2025</t>
  </si>
  <si>
    <t>Nomor: 022.17.12.2025/Pengendalian-Keputusan-Intern/XII/2025</t>
  </si>
  <si>
    <t>Resiko yang dihadapi oleh PA/KPA/Pokja/PPK dalam Pengadaan PBJ dari Kacamata Auditor</t>
  </si>
  <si>
    <t>19 Desember 2025</t>
  </si>
  <si>
    <t>Nomor: 022.19.12.2025/Risiko-PBJ-Auditor/XII/2025</t>
  </si>
  <si>
    <t>Bimtek Terkait Keuangan/ Perpajakan/ Coretax</t>
  </si>
  <si>
    <t>Sosialisasi Digitalisasi Pembayaran dan Bazar UMKM</t>
  </si>
  <si>
    <t>18 Juni 2025</t>
  </si>
  <si>
    <t>KPPN SUrabaya I, Kemenkeu</t>
  </si>
  <si>
    <t>tanpa sertifikat</t>
  </si>
  <si>
    <t>Isti Puji Rahayu, ST</t>
  </si>
  <si>
    <t xml:space="preserve">E-Learning Pengetahuan Antikorupsi Dasar dan Integritas (PADI) Untuk Umum </t>
  </si>
  <si>
    <t>26 - 28 Agustus 2025</t>
  </si>
  <si>
    <t>001/IDN/VIII/2025</t>
  </si>
  <si>
    <t>712/STF/Ki/2025</t>
  </si>
  <si>
    <t>Konsolidasi Laporan Keuangan dan BMN serta Sosialisasi Kebijakan Penyusunan Laporan Keuangan dan BMN</t>
  </si>
  <si>
    <t>7 - 8 Juli 2025</t>
  </si>
  <si>
    <t>Sekretariat Direktorat Jenderal Bina Konstruksi dan KPPN</t>
  </si>
  <si>
    <t>Edi Pramono, ST</t>
  </si>
  <si>
    <t>17 Maret 2025 sampai 26 Maret 2025</t>
  </si>
  <si>
    <t>00000163/99/3021/295/LAN-KEMENPUPR/2025</t>
  </si>
  <si>
    <t>Bimtek/ Sosialisasi terkait BMN</t>
  </si>
  <si>
    <t>Ir. Achmad Darmawijaya, MM</t>
  </si>
  <si>
    <t>Tadaa!:Tanya Pengadaan - Persyaratan Peralatan
 Utama pada Tender Pekerjaan Konstruksi</t>
  </si>
  <si>
    <t>1753/STF/Kj/2025</t>
  </si>
  <si>
    <t>Tayang Bincang Anindhacitya: Dari Rencana ke Realisasi (Mengendalikan Kontrak Konstruksi Tanpa Korupsi)</t>
  </si>
  <si>
    <t>Badan Pengawasan Keuangan dan Pembangunan (BPKP)</t>
  </si>
  <si>
    <t>3839/D5/04/2025</t>
  </si>
  <si>
    <t>Webinar Pengadaan Barang/Jasa Pemerintah: Perpres No 46/2025 tentang Perubahan Kedua atas Perpres 16/2018 tentang PBJ</t>
  </si>
  <si>
    <t>Dinas Perumahan Rakyat Kawasan Permukiman dan CK Provinsi Jawa Timur</t>
  </si>
  <si>
    <t>0015/W/WEBINAR-III/05/2025</t>
  </si>
  <si>
    <t>Webinar Strategi Adaptasi Karier Pasca Hukuman Disiplin dan Pemanfaatan Website Asosiasi Profesi PKPLJJ</t>
  </si>
  <si>
    <t>580/STF/Be/2025</t>
  </si>
  <si>
    <t>Sekolah Rakyat, Jalan Baru Menuju Indonesia Emas Dukungan Kementerian PU
untuk Infrastruktur Pendidikan di Propinsi DI Yogyakarta</t>
  </si>
  <si>
    <t>BPSDM, Kementerian PU</t>
  </si>
  <si>
    <t>Penguatan Kapasitas SDM dalam Mendukung Penerapan SMKK untuk Meningkatkan Produktifitas Kegiatan Konstruksi</t>
  </si>
  <si>
    <t>0688/P/KESELAMATANKONSTRUKSI/01/2025</t>
  </si>
  <si>
    <t>Talkshow: Strategi Pengelolaan Air untuk Ketahanan Pangan Generasi Mendatang</t>
  </si>
  <si>
    <t>Bapekom PU Wilayah VII Surabaya</t>
  </si>
  <si>
    <t>Inspira Share: Bedah Risiko PBJ Konstruksi (Mengawal Akuntabilitas dan Efektivitas Pembangunan)</t>
  </si>
  <si>
    <t>BPKP RI</t>
  </si>
  <si>
    <t>Ratri Ayu Rahmayanti, S.I.P, MT</t>
  </si>
  <si>
    <t>- Bimtek MR/ Kepatuhan Intern/ Gratifikasi/ Benturan Kepentingan/ SMAP/ WBS/ PBJ</t>
  </si>
  <si>
    <t>17 - 26 Maret 2025</t>
  </si>
  <si>
    <t>00000244/99/3021/295/LAN-KEMENPUPR/2025</t>
  </si>
  <si>
    <t>- Bimtek/ Sosialisasi E-Kinerja/ Perhitungan AK/ Update Kepegawaian</t>
  </si>
  <si>
    <t>Internalisasi Penerapan Sistem Manajemen Anti Penyuapan (SMAP), Pengendalian Gratifikasi, Wistleblowing System (WBS) dan Benturan Kepentingan di Lingkungan BP2JK Wilayah Jawa Timur</t>
  </si>
  <si>
    <t>12 Februari 2025</t>
  </si>
  <si>
    <t>BP2JK Wilayah Jawa Timur</t>
  </si>
  <si>
    <t>Budiasih Dyah Saraswati, S.Kom</t>
  </si>
  <si>
    <t>04 - 05 Agustus 2025</t>
  </si>
  <si>
    <t>https://drive.google.com/file/d/1XWdW3lP5bRVxaTiy75i2MWlxrCCPhrAx/view?usp=drive_link</t>
  </si>
  <si>
    <t>Bimtek terkait Laporan Keuangan</t>
  </si>
  <si>
    <t>Konsolidasi Laporan Keuangan dan BMN serta Sosialisasi Kebijakan Penyusunan Laporan Keuangan dan BMN Triwulan III</t>
  </si>
  <si>
    <t>2 - 4 Oktober 2025</t>
  </si>
  <si>
    <t>Putri Oktaviana A.P.Kb.N</t>
  </si>
  <si>
    <t>1 Juli 2025</t>
  </si>
  <si>
    <t>001/IDN/VII/2025</t>
  </si>
  <si>
    <t>Deinald Yuferson Damaledo, ST</t>
  </si>
  <si>
    <t>Bimtek MR/ Kepatuhan Intern/ Gratifikasi/ Benturan Kepentingan/ SMAP/ WBS/ PBJ: Peningkatan Kompetensi Kepatuhan Internal (Bapekom PUPR Wilayah VI Surabaya, Surat Usulan SM0304-Kb25/076)</t>
  </si>
  <si>
    <t>Balai Pengembangan Kompetensi Pekerjaan Umum Wilayah VI Surabaya</t>
  </si>
  <si>
    <t>00000034/0/3021/295/LAN-KEMENPUPR/2025</t>
  </si>
  <si>
    <t>001/IDN/IV/2025</t>
  </si>
  <si>
    <t>Workshop Sasirangan dengan Tema Semangat Berbagi Solusi dan Informasi Pengadaan</t>
  </si>
  <si>
    <t>BP2JK Kalimantan Selatan</t>
  </si>
  <si>
    <t>1067/STF/KJ/2025</t>
  </si>
  <si>
    <t>001/IDN/III/2025</t>
  </si>
  <si>
    <t>Tadaa!:Persyaratan Peralatan
 Utama pada Tender Pekerjaan Konstruksi</t>
  </si>
  <si>
    <t>2069/STF/Kj/2025</t>
  </si>
  <si>
    <t>Talkshow: Meningkatkan Akses Air Bersih Dan Sanitasi Bagi Masyarakat - Peningkatan
Pelayanan Air Bersih dan Sanitasi Melalui Program Cipta Karya Di Papua</t>
  </si>
  <si>
    <t>Tanpa No sertifikat dan jumlah jam pelajaran</t>
  </si>
  <si>
    <t>Training Microsof 365</t>
  </si>
  <si>
    <t>Tanpa jumlah JP</t>
  </si>
  <si>
    <t>Feby Lorentika, ST</t>
  </si>
  <si>
    <t>e-Learning Manajemen Rantai Pasok</t>
  </si>
  <si>
    <t>17 Maret 2025 sampai 28 Maret 2025</t>
  </si>
  <si>
    <t>Balai Pengembangan Kompetensi Pekerjaan Umum Wilayah IV Bandung</t>
  </si>
  <si>
    <t>00000167/70/3021/294/LAN-KEMENPUPR/2025</t>
  </si>
  <si>
    <t>250/STF/Ks/2025</t>
  </si>
  <si>
    <t>1777/STF/Kj/2025</t>
  </si>
  <si>
    <t>Tadaa!:Persyaratan Peralatan Utama pada Tender Pekerjaan Konstruksi</t>
  </si>
  <si>
    <t>1921/STF/Kj/2025</t>
  </si>
  <si>
    <t>3043/STF/Kj/2025</t>
  </si>
  <si>
    <t>Sasirangan (Semangat Berbagi Solusi dan Informasi Pengadaan) #7</t>
  </si>
  <si>
    <t>BP2JK Wilayah Kalsel</t>
  </si>
  <si>
    <t>3709/STF/Kj/2025</t>
  </si>
  <si>
    <t>Sasirangan (Semangat Berbagi Solusi dan Informasi Pengadaan) #8 - Rancang Bangun</t>
  </si>
  <si>
    <t>Balai Pelaksana Pemilihan Jasa Konstruksi Wilayah Kalimantan Selatan</t>
  </si>
  <si>
    <t>6303/STF/Kj/2025</t>
  </si>
  <si>
    <t>Tadaa!Pengembangan Kompetensi dan Sertifikasi SDM Pengadaan Barang/Jasa Pemerintah</t>
  </si>
  <si>
    <t>4506/STF/Kj/2025</t>
  </si>
  <si>
    <t>Sasirangan (Semangat Berbagi Solusi dan Informasi Pengadaan) #9 - e-Katalog Konstruksi Versi 6</t>
  </si>
  <si>
    <t>6587/STF/Kj/2025</t>
  </si>
  <si>
    <t>Tadaa!Penjelasan Proses Validasi Peralatan pada SIMPK dalam Proses Pengadaan Jasa Konstruksi di Kementerian PU</t>
  </si>
  <si>
    <t>5794/STF/Kj/2025</t>
  </si>
  <si>
    <t>Webinar Metode Pemilihan E-Purchasing Katalog Melalui Metode Mini-Kompetisi untuk Pekerjaan Konstruksi</t>
  </si>
  <si>
    <t>11753/STF/Kj/2025</t>
  </si>
  <si>
    <t>7257/STF/Kj/2025</t>
  </si>
  <si>
    <t>TADAA!:Pembekalan Uji Kompetensi Penjenjangan Pejabat Fungsional Pengelola PB/J di Kementerian PU</t>
  </si>
  <si>
    <t>9427/STF/Kj/2025</t>
  </si>
  <si>
    <t>TADAA!:Penerapan Sistem Informasi Pengalaman (SIMPAN) pada Pengadaan Jasa Konstruksi di Kementerian PU</t>
  </si>
  <si>
    <t>10016/STF/Kj/2025</t>
  </si>
  <si>
    <t>Agus Hakim</t>
  </si>
  <si>
    <t>Talkshow: Strategi Pengelolaan Air Untuk Ketahanan pangan Generasi Mendatang</t>
  </si>
  <si>
    <t>Badan Pengembangan Sumber Daya Manusia Kementerian PUPR</t>
  </si>
  <si>
    <t>Tanpa no sertifikat dan jumlah jam pelajaran</t>
  </si>
  <si>
    <t xml:space="preserve">Balai Pengembangan Kompetensi Pekerjaan Umum Wilayah VI Surabaya </t>
  </si>
  <si>
    <t>00000124/99/3021/295/LAN-KEMENPUPR/2025</t>
  </si>
  <si>
    <t>226/STF/Ks/2025</t>
  </si>
  <si>
    <t>1669/STF/Kj/2025</t>
  </si>
  <si>
    <t>Bimbingan Teknis Pemahaman dan Implementasi Sistem Manajemen Mutu SNI ISO 9001:2015</t>
  </si>
  <si>
    <t>Ditjen CK, Kementerian PU</t>
  </si>
  <si>
    <t>2657/STF/Kj/2025</t>
  </si>
  <si>
    <t>23 Juni 2025</t>
  </si>
  <si>
    <t>4216/STF/Kj/2025</t>
  </si>
  <si>
    <t>5519/STF/Kj/2025</t>
  </si>
  <si>
    <t>5564/STF/Kj/2025</t>
  </si>
  <si>
    <t>Arie Ardiansyah, SH</t>
  </si>
  <si>
    <t>Internalisasi SMAP, Pengendalian Gratifikasi, WBS, dan Benturan Kepentingan</t>
  </si>
  <si>
    <t>17 Juni 2025</t>
  </si>
  <si>
    <t>Balai Pelaksana Pemilihan Jasa Konstruksi Wilayah
Kalimantan Selatan</t>
  </si>
  <si>
    <t>6217/STF/Kj/2025</t>
  </si>
  <si>
    <t xml:space="preserve"> Balai Pelaksana Pemilihan Jasa Konstruksi Wilayah
Kalimantan Selatan</t>
  </si>
  <si>
    <t>6439/STF/Kj/2025</t>
  </si>
  <si>
    <t>Tadaa!:Tanya Pengadaan Episode 5 - Pengembangan Kapasitas untuk Pokja Pemilihan pada Paket Pekerjaan dengan Sumber Dana Bank Dunia (World Bank) di Kementerian Pekerjaan Umum</t>
  </si>
  <si>
    <t>7032/STF/Kj/2025</t>
  </si>
  <si>
    <t>TADAA!:Tanya Pengadaan - Pembekalan Uji Kompetensi Penjenjangan Pejabat Fungsional Pengelola Pengadaan Barang/Jasa di Kementerian Pekerjaan Umum</t>
  </si>
  <si>
    <t>17 September 2025</t>
  </si>
  <si>
    <t>9144/STF/Kj/2025</t>
  </si>
  <si>
    <t>1719/STF/Kj/2025</t>
  </si>
  <si>
    <t>19 Mei 2025</t>
  </si>
  <si>
    <t>2727/STF/Kj/2025</t>
  </si>
  <si>
    <t>21 Mei 2025</t>
  </si>
  <si>
    <t>3648/STF/Kj/2025</t>
  </si>
  <si>
    <t>Tadaa! Pengembangan Kompetensi dan Sertifikasi SDM PB/J</t>
  </si>
  <si>
    <t>4267/STF/Kj/2025</t>
  </si>
  <si>
    <t>Procurement Processes and Contract Management for ADB-financed Loans and Grants Training</t>
  </si>
  <si>
    <t>23 - 26 Juni 2025</t>
  </si>
  <si>
    <t>Ministry of National Development Planning/Bappenas and
Asian Development Bank</t>
  </si>
  <si>
    <t>Tadaa! Penjelasan Proses Validasi Peralatan pada SIMPK dalam Proses Pengadaan Jasa Konstruksi di Kementerian PU</t>
  </si>
  <si>
    <t>Tadaa!:Episode 5 - Pengembangan Kapasitas untuk Pokja Pemilihan pada Paket Pekerjaan dengan Sumber Dana Bank Dunia di Kementerian PU</t>
  </si>
  <si>
    <t>21
Agustus 2025</t>
  </si>
  <si>
    <t>7102/STF/Kj/2025</t>
  </si>
  <si>
    <t>TADAA!:Pembekalan Uji Kompetensi Penjenjangan Pejabat Fungsional Pengelola PBJ di Kementerian PU</t>
  </si>
  <si>
    <t>17
September 2025</t>
  </si>
  <si>
    <t>9232/STF/Kj/2025</t>
  </si>
  <si>
    <t>26
September 2025</t>
  </si>
  <si>
    <t>9867/STF/Kj/2025</t>
  </si>
  <si>
    <t>2228/STF/Kj/2025</t>
  </si>
  <si>
    <t>3442/STF/Kj/2025</t>
  </si>
  <si>
    <t>6140/STF/Kj/2025</t>
  </si>
  <si>
    <t>7459/STF/Kj/2025</t>
  </si>
  <si>
    <t>9685/STF/Kj/2025</t>
  </si>
  <si>
    <t xml:space="preserve">21 November 2025
s/d
21 November 2025	
</t>
  </si>
  <si>
    <t>12762/STF/Kj/2025</t>
  </si>
  <si>
    <t>Tadaa!:Tanya Pengadaan Episode 11 - Ketentuan Keadaan Kahar dan Pemberian Kesempatan oleh PPK pada Pelaksanaan Kontrak Konstruksi</t>
  </si>
  <si>
    <t>15 Desember 2025
s/d
15 Desember 2025</t>
  </si>
  <si>
    <t xml:space="preserve"> Direktorat Pengadaan Jasa Konstruksi</t>
  </si>
  <si>
    <t>16277/STF/Kj/2025</t>
  </si>
  <si>
    <t> 6364/STF/Kj/2025</t>
  </si>
  <si>
    <t>Webinar Tematik "Penerapan Building Information
Modelling (BIM) Pada Proyek Konstruksi PT.
Pembangunan Perumahan (Persero) Tbk</t>
  </si>
  <si>
    <t xml:space="preserve"> Balai Pelaksana Pemilihan Jasa Konstruksi Wilayah
Sumatera Utara</t>
  </si>
  <si>
    <t>1426/STF/Kd/2025</t>
  </si>
  <si>
    <t> </t>
  </si>
  <si>
    <t>Tadaa!:Tanya Pengadaan - Persyaratan Peralatan
Utama pada Tender Pekerjaan Konstruksi</t>
  </si>
  <si>
    <t>2189/STF/Kj/2025</t>
  </si>
  <si>
    <t xml:space="preserve"> 19 Mei 2025</t>
  </si>
  <si>
    <t>3391/STF/Kj/2025</t>
  </si>
  <si>
    <t>10 Juli 2025
s/d
10 Juli 2025</t>
  </si>
  <si>
    <t>6717/STF/Kj/2025</t>
  </si>
  <si>
    <t>07 Agustus 2025
s/d
07 Agustus 2025</t>
  </si>
  <si>
    <t>Pelaksana Pemilihan Jasa Konstruksi Wilayah
Sumatera Utara</t>
  </si>
  <si>
    <t>12023/STF/Kj/2025</t>
  </si>
  <si>
    <t>Tadaa!:Episode 10 - Membangun Trust dengan Memperkuat Integritas pada proses PB/J</t>
  </si>
  <si>
    <t>21 November 2025
s/d
21 November 2025</t>
  </si>
  <si>
    <t xml:space="preserve"> 12742/STF/Kj/2025</t>
  </si>
  <si>
    <t>Balai Pelaksana Pemilihan Jasa Konstruksi Wilayah
Sumatera Utara</t>
  </si>
  <si>
    <t>11578/STF/Kj/2025</t>
  </si>
  <si>
    <t>- Bimtek/ Sosialisasi/ Webinar terkait PBJ</t>
  </si>
  <si>
    <t>659/STF/Ki/2025</t>
  </si>
  <si>
    <t>Tanpa sertifikat</t>
  </si>
  <si>
    <t>28 April 2025</t>
  </si>
  <si>
    <t>2144/STF/Kj/2025</t>
  </si>
  <si>
    <t>3316/STF/Kj/2025</t>
  </si>
  <si>
    <t>6050/STF/Kj/2025</t>
  </si>
  <si>
    <t xml:space="preserve"> 6693/STF/Kj/2025</t>
  </si>
  <si>
    <t>11973/STF/Kj/2025</t>
  </si>
  <si>
    <t>7401/STF/Kj/2025</t>
  </si>
  <si>
    <t>Tadaa!:Tanya Pengadaan Episode 6 - Sosialisasi Pelaksanaan E-Purchasing Pekerjaan Konstruksi melalui Metode Mini Kompetisi Pada Katalog Elektronik Versi 6</t>
  </si>
  <si>
    <t xml:space="preserve">28 Agustus 2025
s/d
28 Agustus 2025	
</t>
  </si>
  <si>
    <t xml:space="preserve"> 8821/STF/Kj/2025</t>
  </si>
  <si>
    <t>17 September 2025
s/d
17 September 2025</t>
  </si>
  <si>
    <t>9622/STF/Kj/2025</t>
  </si>
  <si>
    <t>26 September 2025
s/d
26 September 2025</t>
  </si>
  <si>
    <t xml:space="preserve"> 10167/STF/Kj/2025</t>
  </si>
  <si>
    <t>Gunawan Arif Wibowo, S.AP., M.T</t>
  </si>
  <si>
    <t>Tidak diusulkan</t>
  </si>
  <si>
    <t>00000184/99/3021/295/LAN-KEMENPUPR/2025</t>
  </si>
  <si>
    <t>Diah Putri Rahmawati, S.Tr.T</t>
  </si>
  <si>
    <t>Tadaa! Tanya Pengadaan - Sosialisasi Peraturan Presiden Nomor 46 Tahun 2025 tentang Perubahan Kedua atas Peraturan Presiden Nomor 16 Tahun 2018 tentang Pengadaan Barang/Jasa</t>
  </si>
  <si>
    <t>2693/STF/Kj/2025</t>
  </si>
  <si>
    <t xml:space="preserve">Direktorat Pengadaan Jasa Konstruksi	</t>
  </si>
  <si>
    <t>1703/STF/Kj/2025</t>
  </si>
  <si>
    <t xml:space="preserve">Webinar Tematik &amp;quot;Penerapan Building Information Modelling (BIM) Pada Proyek Jasa Konsultansi Konstruksi PT. YODYA KARYA (PERSERO)	</t>
  </si>
  <si>
    <t>11 Maret 2025</t>
  </si>
  <si>
    <t>381/STF/Kd/2025</t>
  </si>
  <si>
    <t xml:space="preserve">Webinar Tematik &amp;quot;Penerapan Building Information Modelling (BIM) Pada Proyek Konstruksi PT. Pembangunan Perumahan (Persero) Tbk	</t>
  </si>
  <si>
    <t xml:space="preserve">18-Mar-2025	</t>
  </si>
  <si>
    <t>1288/STF/Kd/2025</t>
  </si>
  <si>
    <t xml:space="preserve">Webinar Tematik &amp;quot;Penerapan Building Information Modelling (BIM) Pada Proyek Jasa Konsultansi Konstruksi PT. Buana Enjiniring Konsultan&amp;quot;	</t>
  </si>
  <si>
    <t xml:space="preserve">25-Mar-2025	</t>
  </si>
  <si>
    <t>1458/STF/Kd/2025</t>
  </si>
  <si>
    <t xml:space="preserve">Sasirangan (Semangat Berbagi Solusi dan Informasi Pengadaan) #7	</t>
  </si>
  <si>
    <t xml:space="preserve">21-May-2025	</t>
  </si>
  <si>
    <t xml:space="preserve">Balai Pelaksana Pemilihan Jasa Konstruksi Wilayah Kalimantan Selatan	</t>
  </si>
  <si>
    <t>3644/STF/Kj/2025</t>
  </si>
  <si>
    <t xml:space="preserve">Sasirangan (Semangat Berbagi Solusi dan Informasi Pengadaan) #8 - Rancang Bangun	</t>
  </si>
  <si>
    <t xml:space="preserve">17-Jun-2025	</t>
  </si>
  <si>
    <t>Tadaa! Tanya Pengadaan - Pengembangan Kompetensi dan Sertifikasi SDM Pengadaan Barang/Jasa Pemerintah</t>
  </si>
  <si>
    <t>4245/STF/Kj/2025</t>
  </si>
  <si>
    <t>Tadaa! Tanya Pengadaan - Penjelasan Proses Validasi Peralatan pada SIMPK dalam Proses Pengadaan Jasa Konstruksi di Kementerian Pekerjaan Umum</t>
  </si>
  <si>
    <t>5546/STF/Kj/2025</t>
  </si>
  <si>
    <t>o4GAbHNttS</t>
  </si>
  <si>
    <t>1532/STF/Kj/2025</t>
  </si>
  <si>
    <t>Penguatan Kompetensi Pokja Pemilihan dan Pejabat Pengadaan UPT melalui E-Purchasing dengan Metode Mini Kompetisi pada Pekerjaan Konstruksi Kementerian PU di Provinsi Riau</t>
  </si>
  <si>
    <t>26 Feb 2025 -26 Feb 2025</t>
  </si>
  <si>
    <t>NOMOR : 747/STF/KJ/2025</t>
  </si>
  <si>
    <t>28 Apr 2025 -28 Apr 2025</t>
  </si>
  <si>
    <t xml:space="preserve">NOMOR : 1898/STF/Kj/2025
</t>
  </si>
  <si>
    <t>Direktur Bina Teknik Pekerjaan Gedung dan Penyehatan Lingkungan Ditjen Cipta Karya</t>
  </si>
  <si>
    <t>NOMOR : 029/S.KET/Cg/2025</t>
  </si>
  <si>
    <t>19 Mei 2025 -19 Mei 2025</t>
  </si>
  <si>
    <t>NOMOR : 2994/STF/Kj/2025</t>
  </si>
  <si>
    <t>21 Mei 2025 - 21 Mei 2025</t>
  </si>
  <si>
    <t>NOMOR : 
3703/STF/Kj/2025</t>
  </si>
  <si>
    <t>23 Juni 2025 -23 Juni 2025</t>
  </si>
  <si>
    <t>NOMOR : 4464/STF/Kj/2025</t>
  </si>
  <si>
    <t>10 Juli 2025 -10 Juli 2025</t>
  </si>
  <si>
    <t>NOMOR : 5755/STF/Kj/2025</t>
  </si>
  <si>
    <t>17 Juni 2025 - 17 Juni 2025</t>
  </si>
  <si>
    <t>6294/STF/Kj/2025</t>
  </si>
  <si>
    <t>6576/STF/Kj/2025</t>
  </si>
  <si>
    <t>Webinar Tematik "Penerapan Building Information Modelling (BIM) Pada Proyek Jasa Konsultansi Konstruksi PT. YODYA KARYA (PERSERO)</t>
  </si>
  <si>
    <t>11 Mar 2025 -11 Mar 2025</t>
  </si>
  <si>
    <t>Direktorat Kelembagaan dan Sumber Daya Konstruksi</t>
  </si>
  <si>
    <t xml:space="preserve"> NOMOR : 432/STF/Kd/2025</t>
  </si>
  <si>
    <t>Webinar Tematik "Penerapan Building Information Modelling (BIM) Pada Proyek Konstruksi PT. Pembangunan Perumahan (Persero) Tbk</t>
  </si>
  <si>
    <t>18 Mar 2025 -18 Mar 2025</t>
  </si>
  <si>
    <t xml:space="preserve">NOMOR : 1342/STF/Kd/2025
</t>
  </si>
  <si>
    <t>Webinar Tematik "Penerapan Building Information Modelling (BIM) Pada Proyek Jasa Konsultansi Konstruksi PT. Buana Enjiniring Konsultan"</t>
  </si>
  <si>
    <t>25 Mar 2025 -25 Mar 2025</t>
  </si>
  <si>
    <t xml:space="preserve">NOMOR : 1475/STF/Kd/2025
</t>
  </si>
  <si>
    <t>1923/STF/Kj/2025</t>
  </si>
  <si>
    <t xml:space="preserve"> Direktorat Pengadaan Jasa Konstruksi </t>
  </si>
  <si>
    <t>6000/STF/Kj/2025</t>
  </si>
  <si>
    <t>11923/STF/Kj/2025</t>
  </si>
  <si>
    <t>TADAA!:Pembekalan Uji Kompetensi Penjenjangan Pejabat Fungsional Pengelola Pengadaan Barang/Jasa di Kementerian PU</t>
  </si>
  <si>
    <t>9575/STF/Kj/2025</t>
  </si>
  <si>
    <t>10134/STF/Kj/2025</t>
  </si>
  <si>
    <t>Audit Tingkat Dasar</t>
  </si>
  <si>
    <t>24 - 28 November 2025</t>
  </si>
  <si>
    <t>Pusat Pendidikan dan Pelatihan Pengawasan BPKP</t>
  </si>
  <si>
    <t>SERT-13070/DL/4/2025</t>
  </si>
  <si>
    <t>Bima Sakti Prayitno, S.T.</t>
  </si>
  <si>
    <t>Tadaa! Sosialisasi Perpres No 46 Tahun 2025 tentang Perubahan Kedua atas Perpres No 16 Tahun 2018 tentang PB/J</t>
  </si>
  <si>
    <t>2631/STF/Kj/2025</t>
  </si>
  <si>
    <t>1647/STF/Kj/2025</t>
  </si>
  <si>
    <t xml:space="preserve">	28 Februari 2025</t>
  </si>
  <si>
    <t>989/STF/KJ/2025</t>
  </si>
  <si>
    <t>Sasirangan (Semangat Berbagi Solusi dan Informasi Pengadaan) #6</t>
  </si>
  <si>
    <t>2378/STF/Kj/2025</t>
  </si>
  <si>
    <t>Penguatan Kompetensi Pokja Pemilihan dan Pejabat Pengadaan UPT melalui E-Purchasing dengan Metode MiniKom pada Pekerjaan Konstruksi Kementerian PU di Prov.Riau</t>
  </si>
  <si>
    <t>26 Februari 2025</t>
  </si>
  <si>
    <t>BP2JK Wilayah Riau</t>
  </si>
  <si>
    <t>597/STF/KJ/2025</t>
  </si>
  <si>
    <t>17 Juni 2025
s/d
17 Juni 2025</t>
  </si>
  <si>
    <t xml:space="preserve"> 6224/STF/Kj/2025</t>
  </si>
  <si>
    <t xml:space="preserve"> 6456/STF/Kj/2025</t>
  </si>
  <si>
    <t>11462/STF/Kj/2025</t>
  </si>
  <si>
    <t>Sasirangan (Semangat Berbagi Solusi dan Informasi Pengadaan) #10 - Pengadaan Swakelola</t>
  </si>
  <si>
    <t>12 Agustus 2025
s/d
12 Agustus 2025</t>
  </si>
  <si>
    <t>12852/STF/Kj/2025</t>
  </si>
  <si>
    <t xml:space="preserve"> 9822/STF/Kj/2025</t>
  </si>
  <si>
    <t>d0yLuBdz9d</t>
  </si>
  <si>
    <t xml:space="preserve"> 2064/STF/Kj/2025</t>
  </si>
  <si>
    <t>Balai Pelaksana Pemilihan Jasa Konstruksi Wilayah Riau</t>
  </si>
  <si>
    <t>848/STF/KJ/2025</t>
  </si>
  <si>
    <t>3225/STF/Kj/2025</t>
  </si>
  <si>
    <t>21-May-2025</t>
  </si>
  <si>
    <t>BP2JK WIlayah Kalsel</t>
  </si>
  <si>
    <t>3756/STF/Kj/2025</t>
  </si>
  <si>
    <t>6341/STF/Kj/2025</t>
  </si>
  <si>
    <t>4658/STF/Kj/2025</t>
  </si>
  <si>
    <t>5968/STF/Kj/2025</t>
  </si>
  <si>
    <t>6658/STF/Kj/2025</t>
  </si>
  <si>
    <t>Victor Frederick, ST., MT</t>
  </si>
  <si>
    <t>Webinar Tematik &amp;quot;Penerapan Building Information Modelling (BIM) Pada Proyek Jasa Konsultansi Konstruksi PT. Buana Enjiniring Konsultan&amp;quot;</t>
  </si>
  <si>
    <t>1488/STF/Kd/2025</t>
  </si>
  <si>
    <t>Webinar Tematik &amp;quot;Penerapan Building Information Modelling (BIM) Pada Proyek Konstruksi PT. Pembangunan Perumahan (Persero) Tbk</t>
  </si>
  <si>
    <t>1395/STF/Kd/2025</t>
  </si>
  <si>
    <t>05 Mei 2025</t>
  </si>
  <si>
    <t>Bapekom Pekerjaan Umum Wilayah IX Jayapura</t>
  </si>
  <si>
    <t>00000782/99/3021/500/LAN-KEMENPUPR/2025</t>
  </si>
  <si>
    <t>https://drive.google.com/drive/folders/1igCKt0Qv-mUA2cmUA9m8Sr9YnzEMHC3t?usp=drive_link</t>
  </si>
  <si>
    <t>672/STF/KJ/2025</t>
  </si>
  <si>
    <t>12375/STF/Kj/2025</t>
  </si>
  <si>
    <t>14 Mei 2025</t>
  </si>
  <si>
    <t>Balai Pelaksana Pemilihan Jasa Konstruksi Wilayah Kepulauan Riau</t>
  </si>
  <si>
    <t>001/IDN/V/2025</t>
  </si>
  <si>
    <t>https://drive.google.com/drive/folders/1u9PsfPhl_8qqaUw-tHxWTDgHSj0VmPXk</t>
  </si>
  <si>
    <t>2718/STF/Kj/2025</t>
  </si>
  <si>
    <t>19 - 22 Mei 2025</t>
  </si>
  <si>
    <t>BP2JK Wilayah Kepulauan Riau</t>
  </si>
  <si>
    <t>0000891/0/3021/227/LAN-KEMENPUPR/2025</t>
  </si>
  <si>
    <t>Tadaa! Tanya Pengadaan - Pengembangan Kompetensi dan Sertifikasi SDM PB/J</t>
  </si>
  <si>
    <t>4263/STF/Kj/2025</t>
  </si>
  <si>
    <t>5561/STF/Kj/2025</t>
  </si>
  <si>
    <t>Balai Pelaksana Pemilihan Jasa Konstruksi Wilayah Jawa Timur</t>
  </si>
  <si>
    <t>7100/STF/Kj/2025</t>
  </si>
  <si>
    <t>9228/STF/Kj/2025</t>
  </si>
  <si>
    <t>9863/STF/Kj/2025</t>
  </si>
  <si>
    <t>Sosialisasi Dan Monev Pengembangan Kompetensi Di Lingkungan Bapekom PU Wilayah I Medan</t>
  </si>
  <si>
    <t>13 Juni 2025
s/d
13 Juni 2025</t>
  </si>
  <si>
    <t>2769/STF/Mg/2025</t>
  </si>
  <si>
    <t>Bimbingan Teknis Implementasi P3DN di Kementerian PU Wilayah Sumatera Bagian Utara</t>
  </si>
  <si>
    <t>21 Januari 2025</t>
  </si>
  <si>
    <t>55/STF/Kd/2025</t>
  </si>
  <si>
    <t>Penguatan Kompetensi Pokja Pemilihan dan Pejabat Pengadaan Unit Pelaksanaan Teknis melalui E-Purchasing dengan Metode Mini Kompetisi pada Pekerjaan Konstruksi Kementerian PU di Provinsi Riau</t>
  </si>
  <si>
    <t>635/STF/KJ/2025</t>
  </si>
  <si>
    <t>12 Maret 2025</t>
  </si>
  <si>
    <t>BP2JK Wilayah
Kalimantan Selatan</t>
  </si>
  <si>
    <t>1122/STF/KJ/2025</t>
  </si>
  <si>
    <t>1708/STF/Kj/2025</t>
  </si>
  <si>
    <t>2379/STF/Kj/2025</t>
  </si>
  <si>
    <t>2702/STF/Kj/2025</t>
  </si>
  <si>
    <t>5551/STF/Kj/2025</t>
  </si>
  <si>
    <t>Risa Monika, S.IP</t>
  </si>
  <si>
    <t>21 - 22 Januari 2025</t>
  </si>
  <si>
    <t xml:space="preserve"> 160/STF/Kd/2025</t>
  </si>
  <si>
    <t>https://drive.google.com/drive/folders/16aBuRNg0KXRCRJ4XORmua_cwSWpdI0H8?usp=drive_link</t>
  </si>
  <si>
    <t>Webinar Bina Konstruksi 2025 dengan tema "Repeat Order dan Mini Kompetensi"</t>
  </si>
  <si>
    <t>25 Februari 2025</t>
  </si>
  <si>
    <t>Dinas Cipta Karya, Tata Ruang dan Pertanahan Provinsi DKI Jakarta</t>
  </si>
  <si>
    <t>25.0502.6.0049.17.0008484</t>
  </si>
  <si>
    <t>872/STF/KJ/2025</t>
  </si>
  <si>
    <t>Sasirangan (Semangat Berbagi Solusi dan Informasi
Pengadaan) #4</t>
  </si>
  <si>
    <t>28 Februari 2025</t>
  </si>
  <si>
    <t xml:space="preserve"> 1072/STF/KJ/2025</t>
  </si>
  <si>
    <t>2094/STF/Kj/2025</t>
  </si>
  <si>
    <t>3265/STF/Kj/2025</t>
  </si>
  <si>
    <t>6007/STF/Kj/2025</t>
  </si>
  <si>
    <t xml:space="preserve"> 6672/STF/Kj/2025</t>
  </si>
  <si>
    <t>30 Juli 2025</t>
  </si>
  <si>
    <t>Kolaborasi Universitas Pekalongan dengan DJBK Kementerian PU</t>
  </si>
  <si>
    <t>Tadaa!:Eps 5 - Pengembangan Kapasitas untuk Pokja Pemilihan pada Paket Pekerjaan dengan Sumber Dana Bank Dunia di Kementerian PU</t>
  </si>
  <si>
    <t>7369/STF/Kj/2025</t>
  </si>
  <si>
    <t>Sosialisasi dan Koordinasi Kepatuhan Intern dan Manajemen Resiko</t>
  </si>
  <si>
    <t>26 Agustus 2025</t>
  </si>
  <si>
    <t>Direktorat Kepatuhan Intern</t>
  </si>
  <si>
    <t>318/STF/Ki/2025</t>
  </si>
  <si>
    <t>Bimtek Penerapan dan Audit Internal Sistem Manajemen Anti Penyuapan (SMAP)</t>
  </si>
  <si>
    <t>09 September 2025
s/d
11 September 2025</t>
  </si>
  <si>
    <t>443/STF/Ki/2025</t>
  </si>
  <si>
    <t>9586/STF/Kj/2025</t>
  </si>
  <si>
    <t>Pusat Edukasi Korupsi</t>
  </si>
  <si>
    <t>Sharing Session - Less is More : Lean Construction towards Sustainable Public Infrastructure</t>
  </si>
  <si>
    <t xml:space="preserve"> Direktorat Keselamatan dan Keberlanjutan Konstruksi</t>
  </si>
  <si>
    <t>7762/STF/Kk/2025</t>
  </si>
  <si>
    <t>Pers dan Pemerintah : Sinergi untuk Indonesia Emas 2045</t>
  </si>
  <si>
    <t>06 Februari 2025</t>
  </si>
  <si>
    <t>BPSDM Provinsi Jawa Timur</t>
  </si>
  <si>
    <t>SERT - 163289/ WEBINAR / ASNB-5 / 205.6 / 2025</t>
  </si>
  <si>
    <t>ASN MUDA : Talenta Untuk Indonesia Emas 2045</t>
  </si>
  <si>
    <t>13 Februari 2025</t>
  </si>
  <si>
    <t>SERT - 188022/ WEBINAR / ASNB-4 / 205.5 / 2025</t>
  </si>
  <si>
    <t>Maryam Amin, SE</t>
  </si>
  <si>
    <t xml:space="preserve"> 119/STF/Kd/2025</t>
  </si>
  <si>
    <t>https://drive.google.com/drive/folders/1PinSM_1nrcmaofSoViVXEytSyLbn3sR7?usp=drive_link</t>
  </si>
  <si>
    <t>25.0502.6.0049.17.0008485</t>
  </si>
  <si>
    <t xml:space="preserve"> 1037/STF/KJ/2025</t>
  </si>
  <si>
    <t>1919/STF/Kj/2025</t>
  </si>
  <si>
    <t>3042/STF/Kj/2025</t>
  </si>
  <si>
    <t>SERT - 190384/ WEBINAR / ASNB-5 / 205.6 / 2025</t>
  </si>
  <si>
    <t>SERT - 188062/ WEBINAR / ASNB-4 / 205.5 / 2025</t>
  </si>
  <si>
    <t>Elly Sulistyowati, SE</t>
  </si>
  <si>
    <t xml:space="preserve"> 63/STF/Kd/2025</t>
  </si>
  <si>
    <t>https://drive.google.com/drive/folders/1aPe9n1ns5be3hR2eaLU4Z7OsarqilHPM?usp=drive_link</t>
  </si>
  <si>
    <t>WEBINAR BINA KONSTRUKSI 2025 dengan Tema Repeat Order dan Mini Kompetisi</t>
  </si>
  <si>
    <t>25.0502.6.0049.17.0008477</t>
  </si>
  <si>
    <t xml:space="preserve"> 1004/STF/KJ/2025</t>
  </si>
  <si>
    <t>1729/STF/Kj/2025</t>
  </si>
  <si>
    <t>2741/STF/Kj/2025</t>
  </si>
  <si>
    <t>9 September 2025</t>
  </si>
  <si>
    <t>SERT - 163292/ WEBINAR / ASNB-5 / 205.6 / 2025</t>
  </si>
  <si>
    <t>Siti Jauharoh Kartika Sari, S.I.Kom.</t>
  </si>
  <si>
    <t>Sosialisasi/ Bimtek Terkait Humas</t>
  </si>
  <si>
    <t>Optimalisasi Peran Artificial Intelligence untuk Meningkatkan Kinerja dan Produktivitas ASN</t>
  </si>
  <si>
    <t>Badan Pengembangan Sumber Daya Manusia Provinsi Jawa Barat</t>
  </si>
  <si>
    <t>262/KPG.03.01.03/BPSDM</t>
  </si>
  <si>
    <t>Sertifikat Sari</t>
  </si>
  <si>
    <t>Optimasi Instagram dengan Insight Micro Skill Digital Talent Scholarship 2025</t>
  </si>
  <si>
    <t xml:space="preserve">Pusat Pengembangan Literasi Digital </t>
  </si>
  <si>
    <t>2299844850-367/MS/BLSDM.Komdigi/2025</t>
  </si>
  <si>
    <r>
      <rPr>
        <sz val="11"/>
        <color rgb="FF000000"/>
        <rFont val="Arial"/>
        <charset val="134"/>
      </rPr>
      <t xml:space="preserve">Pelatihan Berbasis </t>
    </r>
    <r>
      <rPr>
        <i/>
        <sz val="11"/>
        <color rgb="FF000000"/>
        <rFont val="Arial"/>
        <charset val="134"/>
      </rPr>
      <t>Self-Paced Learning</t>
    </r>
    <r>
      <rPr>
        <sz val="11"/>
        <color rgb="FF000000"/>
        <rFont val="Arial"/>
        <charset val="134"/>
      </rPr>
      <t xml:space="preserve"> Deteksi Berita Bohong dan Disinformasi Batch II Tahun 2025</t>
    </r>
  </si>
  <si>
    <t>17-23 Maret 2025</t>
  </si>
  <si>
    <t>Pusat Pengembangan Aparatur Komunikasi dan Digital Kementerian Komunikasi dan Digital</t>
  </si>
  <si>
    <t>301/BPSDM.5/DL.01.01/03/2025</t>
  </si>
  <si>
    <r>
      <rPr>
        <sz val="11"/>
        <color rgb="FF000000"/>
        <rFont val="Arial"/>
        <charset val="134"/>
      </rPr>
      <t xml:space="preserve">Pelatihan Berbasis </t>
    </r>
    <r>
      <rPr>
        <i/>
        <sz val="11"/>
        <color rgb="FF000000"/>
        <rFont val="Arial"/>
        <charset val="134"/>
      </rPr>
      <t>Self-Paced Learning</t>
    </r>
    <r>
      <rPr>
        <sz val="11"/>
        <color rgb="FF000000"/>
        <rFont val="Arial"/>
        <charset val="134"/>
      </rPr>
      <t xml:space="preserve"> Pengantar </t>
    </r>
    <r>
      <rPr>
        <i/>
        <sz val="11"/>
        <color rgb="FF000000"/>
        <rFont val="Arial"/>
        <charset val="134"/>
      </rPr>
      <t xml:space="preserve">Voice Over </t>
    </r>
    <r>
      <rPr>
        <sz val="11"/>
        <color rgb="FF000000"/>
        <rFont val="Arial"/>
        <charset val="134"/>
      </rPr>
      <t>untuk Kehumasan Pemerintah Tingkat Dasar Batch II Tahun 2025</t>
    </r>
  </si>
  <si>
    <t>183/BPSDM.5/DL.01.01/03/2025</t>
  </si>
  <si>
    <t>Pengantar Sistem Pemerintahan Berbasis Elektronik (SPBE) Micro Skill Digital Talent Scholarship 2025</t>
  </si>
  <si>
    <t>Pusat Pengembangan Aparatur Komdigi</t>
  </si>
  <si>
    <t>22998231320-6084/MS/BLSDM.Komdigi/2025</t>
  </si>
  <si>
    <t>SOsialisasi/ Bimter terkait Arsip</t>
  </si>
  <si>
    <t>Edukasi Kesadaran Keamanan SPBE Government Transformation Academy Digital Talent Scholarship 2025</t>
  </si>
  <si>
    <t>19-22 Mei 2025</t>
  </si>
  <si>
    <t>199103831320-189/GTA/BLSDM.Komdigi/2025</t>
  </si>
  <si>
    <t>Bimbingan Teknis Penulisan Karya Tulis Ilmiah</t>
  </si>
  <si>
    <t>18 Desember 2025</t>
  </si>
  <si>
    <t>2165/STF/Ms/2025</t>
  </si>
  <si>
    <t>Reski Aditya Desyawan, S.ST.</t>
  </si>
  <si>
    <t>Klinik BIM 31 - Building Information Modeling (BIM): Solusi Cerdas bagi Pemilik Proyek dalam Pengelolaan Konstruksi</t>
  </si>
  <si>
    <t>PUSDATIN Kementerian Pekerjaan Umum</t>
  </si>
  <si>
    <t>Nomor: 192/TDI/KB/01/2025</t>
  </si>
  <si>
    <t>Dhina Tri Hendriani, SE</t>
  </si>
  <si>
    <t>21 -22 Januari 2025</t>
  </si>
  <si>
    <t xml:space="preserve"> 53/STF/Kd/2025</t>
  </si>
  <si>
    <t>https://drive.google.com/drive/folders/14xbSEFgo4nmLenoiDpyF0GAFg4TaLkRF?usp=drive_link</t>
  </si>
  <si>
    <t>Webinar Bina Konstruksi 2025 Repeat Order dan Mini Kompetisi</t>
  </si>
  <si>
    <t>25.0502.6.0049.17.0008487</t>
  </si>
  <si>
    <t>Diklat Total</t>
  </si>
  <si>
    <t>994/STF/KJ/2025</t>
  </si>
  <si>
    <t>1702/STF/Kj/2025</t>
  </si>
  <si>
    <t>E-Learning Peningkatan pemahaman Gratifikasi 2025</t>
  </si>
  <si>
    <t>Pusat Edukasi AntiKorupsi</t>
  </si>
  <si>
    <t>001/IDN/IX/2025</t>
  </si>
  <si>
    <t>BPSDM Jawa Timur</t>
  </si>
  <si>
    <t>188101/WEBINAR/ASNB-4/205.5/2025</t>
  </si>
  <si>
    <t>6 Februari 2025</t>
  </si>
  <si>
    <t>163286/WEBINAR/ASNB-5/205.6/2025</t>
  </si>
  <si>
    <t>Ahnaf Dzaky Rheinanda, S.H.</t>
  </si>
  <si>
    <t>- Bimtek MR/ Kepatuhan Intern/ Gratifikasi/ Benturan Kepentingan/ SMAP/ WBS/ PBJ/ Pelatihan terkait Jafung Ybs</t>
  </si>
  <si>
    <t>8bGFSQnr2Q</t>
  </si>
  <si>
    <t>Sertifikat_Kelulusan__E-Learning_PADI_-Ahnaf Dzaky Rheinanda.pdf</t>
  </si>
  <si>
    <t>Bimbingan Teknis Penerapan dan Audit Internal Sistem Manajemen Anti Penyuapan (SMAP)</t>
  </si>
  <si>
    <t>09-11 September 2025</t>
  </si>
  <si>
    <t>Kepatuhan Intern, Direktorat Jenderal Bina Konstruksi</t>
  </si>
  <si>
    <t>532/STF/Ki/2025</t>
  </si>
  <si>
    <t>Sertifikat Ahnaf Dzaky Rheinanda, S.H..pdf</t>
  </si>
  <si>
    <t>4084/STF/Kj/2025</t>
  </si>
  <si>
    <t>Pelatihan terkait CPNS</t>
  </si>
  <si>
    <t>Internalisasi Pembinaan CPNS Kementerian PU Formasi Tahun 2024 di DJBK</t>
  </si>
  <si>
    <t>4926/STF/Ks/2025</t>
  </si>
  <si>
    <t>ahnaf_dzaky_rheinanda__s_h__20010908202506100720250717145551_5739_seminar_signed.pdf</t>
  </si>
  <si>
    <t>Pelatihan Work Collaboration Tools - Microsoft 365
Eps.6: Microsoft Planner</t>
  </si>
  <si>
    <t>17 Juli 2025</t>
  </si>
  <si>
    <t>ahnaf_dzaky_rheinanda__s_h__20010908202506100720250730094436_9975_seminar_signed.pdf</t>
  </si>
  <si>
    <t>Klinik BIM PU #36 - Pemanfaatan Orthomosaic untuk Pemodelan Terrain 3 Dimensi</t>
  </si>
  <si>
    <t>15 Juli 2025</t>
  </si>
  <si>
    <t>4266/STF/Sd/2025</t>
  </si>
  <si>
    <t>Aisyah Nihayah Ni'mah, S.I.Kom</t>
  </si>
  <si>
    <t>Internalisasi Pembinaan CPNS Kementerian Pekerjaan Umum Formasi Tahun 2024 di DJBK</t>
  </si>
  <si>
    <t>4928/STF/Ks/2025</t>
  </si>
  <si>
    <t>39. Aisyah Nihayah Nimah</t>
  </si>
  <si>
    <t>6411/STF/Kj/2025</t>
  </si>
  <si>
    <t>- Bimtek MR/ Kepatuhan Intern/ Gratifikasi/ Benturan Kepentingan/ SMAP/ WBS/ PBJ/ Jafung Ybs</t>
  </si>
  <si>
    <t>Komisi Pemberantasan Korupsi (KPK)</t>
  </si>
  <si>
    <t xml:space="preserve">001/IDN/VII/2025
</t>
  </si>
  <si>
    <t>9 - 11 September 2025</t>
  </si>
  <si>
    <t>533/STF/Ki/2025</t>
  </si>
  <si>
    <t>Bimbingan Teknis Pelaksana Pejabatan Pengelola Informasi dan Dokumentasi (PPID) UPT/Balai Kementerian PU Tahun 2025</t>
  </si>
  <si>
    <t>Biro Komunikasi Publik Kementerian PU</t>
  </si>
  <si>
    <t>SM0202/So.430.2</t>
  </si>
  <si>
    <t>Amridio Zulhilmi Saifinnuha, S.Kom</t>
  </si>
  <si>
    <t>Internalisasi Pembinaan CPNS Kementerian Pekerjaan Umum Formasi Tahun 2024 di Direktorat Jenderal Bina Konstruksi</t>
  </si>
  <si>
    <t>4943/STF/Ks/2025</t>
  </si>
  <si>
    <t>6423/STF/Kj/2025</t>
  </si>
  <si>
    <t>4285/STF/Sd/2025</t>
  </si>
  <si>
    <t>Ardhi Wisnu Nugraha, S.T.</t>
  </si>
  <si>
    <t>Internalisasi Pembinaan CPNS Kementerian PU Formasi Tahun 20024 di DJBK</t>
  </si>
  <si>
    <t>4963/STF/Ks/2025</t>
  </si>
  <si>
    <t>19. Ardhi Wisnu Nugraha</t>
  </si>
  <si>
    <t>Tadaa! Tanya Pengadaan - Pengembangan Kompetensi
dan Sertifikasi SDM PB/J</t>
  </si>
  <si>
    <t>4148/STF/Kj/2025</t>
  </si>
  <si>
    <t>Tadaa!Pembekalan Uji Kompetensi Penjenjangan Pejabat Fungsional Pengelola PB/J di Kementerian PU</t>
  </si>
  <si>
    <t>9140/STF/Kj/2025</t>
  </si>
  <si>
    <t>Tadaa! Penerapan Sistem Informasi Pengalaman (SIMPAN) pada Pengadaan Jasa Konstruksi di Kementerian PU</t>
  </si>
  <si>
    <t>9797/STF/Kj/2025</t>
  </si>
  <si>
    <t>E-Learning Peningkatan Pemahaman Gratifikasi 2025 (PPG)</t>
  </si>
  <si>
    <t>4305/STF/Sd/2025</t>
  </si>
  <si>
    <t>Aulia Hurin In, A.Md.</t>
  </si>
  <si>
    <t>Internalisasi Pembinaan CPNS Kementerian Pekerjaan Umum Formasi Tahun 20024 di Direktorat Jenderal Bina Konstruksi</t>
  </si>
  <si>
    <t xml:space="preserve">17 Juni 2025 </t>
  </si>
  <si>
    <t>4973/STF/Ks/2025</t>
  </si>
  <si>
    <t xml:space="preserve"> E-Learning Pengetahuan Antikorupsi Dasar dan Integritas (PADI)
 Untuk Umum</t>
  </si>
  <si>
    <t>20 Agustus 2025</t>
  </si>
  <si>
    <t>Chofifa Hidayati, S.Kom</t>
  </si>
  <si>
    <t>4995/STF/Ks/2025</t>
  </si>
  <si>
    <t>Sertifikat Chofifa Hidayati</t>
  </si>
  <si>
    <t>6462/STF/Kj/2025</t>
  </si>
  <si>
    <t>4342/STF/Sd/2025</t>
  </si>
  <si>
    <t>534/STF/Ki/2025</t>
  </si>
  <si>
    <t>Dahniar Achlis, S.Ars.</t>
  </si>
  <si>
    <t>5006/STF/Ks/2025</t>
  </si>
  <si>
    <t>24. Dahniar Achlis</t>
  </si>
  <si>
    <t>Sharing Session dengan tema ”Menjaga Integritas Status dan Kedudukan ASN di Era Dinamis”</t>
  </si>
  <si>
    <t>19 Juni 2025</t>
  </si>
  <si>
    <t>Pusat Pengembangan Sumber Daya Manusia BKN.</t>
  </si>
  <si>
    <t>2030/KA.01.13/SS-SKKASN/VI/2025</t>
  </si>
  <si>
    <t>4217/STF/Kj/2025</t>
  </si>
  <si>
    <t>4348/STF/Sd/2025</t>
  </si>
  <si>
    <t>Farah Rosa Bela Asnawi, S.Ars</t>
  </si>
  <si>
    <t>1961/KA.01.13/SS-SKKASN/VI/2025</t>
  </si>
  <si>
    <t>Sertifikat Farah Rosa</t>
  </si>
  <si>
    <t>4306/STF/Kj/2025</t>
  </si>
  <si>
    <t>E-Learning Pengetahuan Antikorupsi Dasar dan Integritas (PADI)
Untuk Umum</t>
  </si>
  <si>
    <t>2 Juli 2025</t>
  </si>
  <si>
    <t xml:space="preserve"> 001/IDN/VII/2025
</t>
  </si>
  <si>
    <t>6509/STF/Kj/2025</t>
  </si>
  <si>
    <t>Tadaa!: Episode 5 - Pengembangan Kapasitas untuk Pokja Pemilihan pada Paket Pekerjaan dengan Sumber Dana WB di Kementerian PU</t>
  </si>
  <si>
    <t>7130/STF/Kj/2025</t>
  </si>
  <si>
    <t xml:space="preserve">09-11 September 2025 </t>
  </si>
  <si>
    <t xml:space="preserve">Kepatuhan Intern, Direktorat Jenderal Bina Konstruksi </t>
  </si>
  <si>
    <t>TADAA!:Pembekalan Uji Kompetensi Penjenjangan Pejabat Fungsional Pengelola PB/J
di Kementerian PU</t>
  </si>
  <si>
    <t>Kementerian Pekerjaan Umum Direktorat Jenderal Bina Konstruksi</t>
  </si>
  <si>
    <t xml:space="preserve"> 9272/STF/Kj/2025</t>
  </si>
  <si>
    <t>9895/STF/Kj/2025</t>
  </si>
  <si>
    <t xml:space="preserve">29 - 30 September 2025 </t>
  </si>
  <si>
    <t>Direktur Kepatuhan Intern
Direktorat Jenderal Bina Konstruksi Kementerian Pekerjaan Umum</t>
  </si>
  <si>
    <t>654/STF/Ki/2025</t>
  </si>
  <si>
    <t>Klinik BIM PU #36 - Pemanfaatan Orthomosaic untuk
Pemodelan Terrain 3 Dimensi</t>
  </si>
  <si>
    <t>4392/STF/Sd/2025</t>
  </si>
  <si>
    <t>4989/STF/Sd/2025</t>
  </si>
  <si>
    <t>Ruang Belajar Data Episode 13 "Machine Learning For
Data Analysis"</t>
  </si>
  <si>
    <t>23 Juli 2025</t>
  </si>
  <si>
    <t xml:space="preserve"> Pusat Data dan Teknologi Informasi</t>
  </si>
  <si>
    <t>5460/STF/Sd/2025</t>
  </si>
  <si>
    <t>Lalu Yodit Dwi Anggara, S.Ars.</t>
  </si>
  <si>
    <t>5143/STF/Ks/2025</t>
  </si>
  <si>
    <t>Memenuhi</t>
  </si>
  <si>
    <t>Sertifikat Lalu Yodit</t>
  </si>
  <si>
    <t>Tadaa! Tanya Pengadaan - Pengembangan Kompetensi
 dan Sertifikasi SDM PB/J</t>
  </si>
  <si>
    <t xml:space="preserve"> 4486/STF/Kj/2025</t>
  </si>
  <si>
    <t xml:space="preserve"> E-Learning Pengetahuan Antikorupsi Dasar dan Integritas (PADI)  Untuk Umum</t>
  </si>
  <si>
    <t>5768/STF/Kj/2025</t>
  </si>
  <si>
    <t>15 Juli</t>
  </si>
  <si>
    <t>4509/STF/Sd/2025</t>
  </si>
  <si>
    <t>Moh. Wildan Andhra Kusuma, S.T.</t>
  </si>
  <si>
    <t>5272/STF/Ks/2025</t>
  </si>
  <si>
    <t>Tadaa! Tanya Pengadaan - Pengembangan Kompetensi dan Sertifikasi SDM PB/J Pemerintah</t>
  </si>
  <si>
    <t>4524/STF/Kj/2025</t>
  </si>
  <si>
    <t>5815/STF/Kj/2025</t>
  </si>
  <si>
    <t>TADAA! Pembekalan Uji Kompetensi Penjenjangan Pejabat Fungsional Pengelola PB/J di Kementerian PU</t>
  </si>
  <si>
    <t>Dorektorat Pengadaan Jasa Konstruksi</t>
  </si>
  <si>
    <t>9444/STF/Kj/2025</t>
  </si>
  <si>
    <t>4538/STF/Sd/2025</t>
  </si>
  <si>
    <t>Klinik BIM PU #37 - Scan to BIM: Solusi Mengubah Data Lapangan menjadi Model 3 Dimensi</t>
  </si>
  <si>
    <t>6819/STF/Sd/2025</t>
  </si>
  <si>
    <t>Namiratus Syarifah, S.T.</t>
  </si>
  <si>
    <t>Internalisasi Pembinaan CPNS Kementerian Pekerjaan
Umum Formasi Tahun 20024 di Direktorat Jenderal Bina
Konstruksi</t>
  </si>
  <si>
    <t>5218/STF/Ks/2025</t>
  </si>
  <si>
    <t>https://drive.google.com/file/d/1QBxcdEEOpFLRhzMP_9r013QNOmB1BUyw/view?usp=sharing</t>
  </si>
  <si>
    <t>Tadaa! Tanya Pengadaan - Pengembangan Kompetensi
 dan Sertifikasi SDM Pengadaan Barang/Jasa
 Pemerintah</t>
  </si>
  <si>
    <t xml:space="preserve"> 4577/STF/Kj/2025</t>
  </si>
  <si>
    <t>https://drive.google.com/file/d/1FRs5LoMGK5HdDuhDYcS-WUVt6nTIQjor/view?usp=sharing</t>
  </si>
  <si>
    <t>https://drive.google.com/file/d/1QDz4NjUL_nzSd3ucxi8Q42y6lXbE2gpd/view?usp=sharing</t>
  </si>
  <si>
    <t>Tadaa! Penjelasan Proses Validasi Peralatan pada  SIMPK dalam Proses Pengadaan Jasa Konstruksi di Kementerian  PU</t>
  </si>
  <si>
    <t xml:space="preserve"> 5880/STF/Kj/2025</t>
  </si>
  <si>
    <t>https://drive.google.com/file/d/1ctagdn2sGhKwHNg_AOFg0tX5Xcx9tnQE/view?usp=sharing</t>
  </si>
  <si>
    <t>Pingkan Ernomo Putri, A.Md</t>
  </si>
  <si>
    <t>5240/STF/Ks/2025</t>
  </si>
  <si>
    <t>19 Agustus 2025</t>
  </si>
  <si>
    <t>Rahmanda Rafsyanjani, S.Ak.</t>
  </si>
  <si>
    <t>5252/STF/Ks/2025</t>
  </si>
  <si>
    <t>Bukti Dukung Rama</t>
  </si>
  <si>
    <t>6655/STF/Kj/2025</t>
  </si>
  <si>
    <t>4656/STF/Sd/2025</t>
  </si>
  <si>
    <t>Richardo Pratama Uruilal, S.T.</t>
  </si>
  <si>
    <t>4684/STF/Kj/2025</t>
  </si>
  <si>
    <t>5991/STF/Kj/2025</t>
  </si>
  <si>
    <t>4673/STF/Sd/2025</t>
  </si>
  <si>
    <t>Webinar “Menjawab Tantangan Baru Pembangunan Perkotaan Berkelanjutan Dalam RPJMN 2025-2029" (Pemenuhan Indikator Kontribusi PDRB dan Indeks Kota Berkelanjutan)</t>
  </si>
  <si>
    <t>31 Juli 2025</t>
  </si>
  <si>
    <t>611/STF/Mj/2025</t>
  </si>
  <si>
    <t>Shabira Almaas Yanaayuri, S.Sn.</t>
  </si>
  <si>
    <t>5299/STF/Ks/2025</t>
  </si>
  <si>
    <t>https://drive.google.com/drive/folders/1wkS3uE--R-QIieIUBQ-glRNczEIKhJmz?usp=drive_link</t>
  </si>
  <si>
    <t>Pelatihan Dasar CPNS</t>
  </si>
  <si>
    <t>LAN RI</t>
  </si>
  <si>
    <t>00020690/LATSAR CPNS III/3021/ 017/ LAN-KEMEN PU/2025</t>
  </si>
  <si>
    <t>6697/STF/Kj/2025</t>
  </si>
  <si>
    <t xml:space="preserve"> 4 Agustus 2025</t>
  </si>
  <si>
    <t>Workshop Kehumasan DJBK</t>
  </si>
  <si>
    <t>DJBK Kementerian PU</t>
  </si>
  <si>
    <t>Kunci Sukses Aktualisasi: Dari Ide ke Aksi Nyata</t>
  </si>
  <si>
    <t>8 Oktober 2025</t>
  </si>
  <si>
    <t>BPSDM Kementerian PU</t>
  </si>
  <si>
    <t>Bimbingan Teknis PPID</t>
  </si>
  <si>
    <t>Biro Kompu Kementerian PU</t>
  </si>
  <si>
    <t>SM0202-So/430.2</t>
  </si>
  <si>
    <t>D'PUBLIK</t>
  </si>
  <si>
    <t>PPPK (target maksimalkan 24 JP)</t>
  </si>
  <si>
    <t>Dea Septiani, S.ST</t>
  </si>
  <si>
    <t>Sharing Session "Strategic Thinking bagi ASN: Strategi Berpikir di Era Perubahan</t>
  </si>
  <si>
    <t>30 Oktober 2025</t>
  </si>
  <si>
    <t>Badan Kepegawaian Negara</t>
  </si>
  <si>
    <t>6634/KA.01.32/SS-STASN-SBEP/X/2025</t>
  </si>
  <si>
    <t>https://drive.google.com/file/d/1SkDQRc6NR07qwtCJ9y7hticxcvf9gnvR/view?usp=drive_link</t>
  </si>
  <si>
    <t>Rudi Arifin</t>
  </si>
  <si>
    <t>Muklis Sugeng Hariadi</t>
  </si>
  <si>
    <t>Integritas ASN: "Pelajari, Pahami, Jalani - Cegah Korupsi DiMulai Dari Diri"</t>
  </si>
  <si>
    <t>11 Desember 2025</t>
  </si>
  <si>
    <t>Badan Pengembangan Sumber Daya Manusia Provinsi Jawa Timur</t>
  </si>
  <si>
    <t>1561813/WEBINAR/ASNB-48/205.4/2025</t>
  </si>
  <si>
    <t>https://drive.google.com/drive/folders/1obF3QRZABRWs05WKZCrvcJ1CCqpTDtr5?usp=drive_link</t>
  </si>
  <si>
    <t>Sharing Session "Membangun Personal Branding ASN"</t>
  </si>
  <si>
    <t>27 November 2025</t>
  </si>
  <si>
    <t>Pusat Pengembangan Sumber Daya Manusia BKN</t>
  </si>
  <si>
    <t>0585/KA.01.36/SS-MPB-ASN/XI/2025</t>
  </si>
  <si>
    <t>Sharing Session "Menulis Opini dan Artikel Popular yang Terdampak"</t>
  </si>
  <si>
    <t>20 November 2025</t>
  </si>
  <si>
    <t>2166/KA.01.35/SS-MOAPD/XI/2025</t>
  </si>
  <si>
    <t>Sharing Session "Inovasi Untuk Transformasi Organisasi"</t>
  </si>
  <si>
    <t>6 November 2025</t>
  </si>
  <si>
    <t>3860/KA.01.33/SS-INTRA-ORG/XI/2025</t>
  </si>
  <si>
    <t>Sharing Session "Strategic Thinking bagi ASN: Strategi Berpikir di Era Perubahan"</t>
  </si>
  <si>
    <t>5686/KA.01.32/SS-STASN-SBEP/X/2025</t>
  </si>
  <si>
    <t>Knowledge Sharing "Prinsip Aksesibilitas dalam Pelayanan Publik"</t>
  </si>
  <si>
    <t>6 Oktober 2025</t>
  </si>
  <si>
    <t>Deputi Bidang Pelayanan Publik Kementerian Pendayagunaan Aparatur Negara dan Reformasi Birokrasi</t>
  </si>
  <si>
    <t>533/PP.99/2025</t>
  </si>
  <si>
    <t>Sapto Daryanto</t>
  </si>
  <si>
    <t>Integritas Tanpa Konflik Kepentingan,Belajar Seru e-Learning dan Praktisi KPK</t>
  </si>
  <si>
    <t>12 November 2025</t>
  </si>
  <si>
    <t>Badan Pengembangan Sumber Daya Manusia Daerah Propinsi NTB</t>
  </si>
  <si>
    <t>800.2.2/803.1321/BPSDMD/2025</t>
  </si>
  <si>
    <t>14747/STF/Ki/2025</t>
  </si>
  <si>
    <t>Sharing Session "Effective Networking and Influencing for Leaders"</t>
  </si>
  <si>
    <t>4 Desember 2025</t>
  </si>
  <si>
    <t>8024/KA.01.37/SS-ENIL/XII/2025</t>
  </si>
  <si>
    <t>Sharing Session "From Talent to Strength : Kiat Menggali Potensi Diri"</t>
  </si>
  <si>
    <t>13 November 2025</t>
  </si>
  <si>
    <t>2484/KA.01.34/SS-FTTS-KMPD/XI/2025</t>
  </si>
  <si>
    <t>Sharing Session "Pensiun Berdaya dengan AI"</t>
  </si>
  <si>
    <t>Pusat Pengembangan SDM BKN</t>
  </si>
  <si>
    <t>2503/KA.01.39/SS-PBAI/XII/2025</t>
  </si>
  <si>
    <t>Budi Prayitno Utomo, S.T.</t>
  </si>
  <si>
    <t>10 March 2025</t>
  </si>
  <si>
    <t>Sertifikat Budi</t>
  </si>
  <si>
    <t>Direktorat Kepatuhan Intern Direktorat Jenderal Bina
Konstruksi</t>
  </si>
  <si>
    <t>13903/STF/Ki/2025</t>
  </si>
  <si>
    <t>1887/STF/Ms/2025</t>
  </si>
  <si>
    <t>Wiji Putra Imaskadiyawanto, S.Kom</t>
  </si>
  <si>
    <t>Husnan Tajrie, S.T., M.T.</t>
  </si>
  <si>
    <t>196908221998031005</t>
  </si>
  <si>
    <t>Ode Siti Andini Ladamay, ST.,MT</t>
  </si>
  <si>
    <t>198501222010122000</t>
  </si>
  <si>
    <t>197811212005022000</t>
  </si>
  <si>
    <t>198601132008122000</t>
  </si>
  <si>
    <t>197202092014121000</t>
  </si>
  <si>
    <t>198606102010122000</t>
  </si>
  <si>
    <t>198809092010122000</t>
  </si>
  <si>
    <t>200010302019122000</t>
  </si>
  <si>
    <t>199102142018022000</t>
  </si>
  <si>
    <t>197103072007011000</t>
  </si>
  <si>
    <t>199609182019032000</t>
  </si>
  <si>
    <t>199407312019031000</t>
  </si>
  <si>
    <t>198405012010122000</t>
  </si>
  <si>
    <t>198901072020121000</t>
  </si>
  <si>
    <t>199103092019031000</t>
  </si>
  <si>
    <t>198902192019031000</t>
  </si>
  <si>
    <t>199104052019031000</t>
  </si>
  <si>
    <t>198711072010121000</t>
  </si>
  <si>
    <t>Agnesia Margaretha Gunawan, S.IAN.,M.M</t>
  </si>
  <si>
    <t>199403092020122000</t>
  </si>
  <si>
    <t>199211052020122000</t>
  </si>
  <si>
    <t>199505132020122000</t>
  </si>
  <si>
    <t>199510242020121000</t>
  </si>
  <si>
    <t>199209262020122000</t>
  </si>
  <si>
    <t>199503292020122000</t>
  </si>
  <si>
    <t>199507152020121000</t>
  </si>
  <si>
    <t>199501012020121000</t>
  </si>
  <si>
    <t>198804212023212000</t>
  </si>
  <si>
    <t>197402022023212000</t>
  </si>
  <si>
    <t>198405252023212000</t>
  </si>
  <si>
    <t>199404022023212000</t>
  </si>
  <si>
    <t>197809102024212000</t>
  </si>
  <si>
    <t>200109082025061000</t>
  </si>
  <si>
    <t>199904102025062000</t>
  </si>
  <si>
    <t>199601282025061000</t>
  </si>
  <si>
    <t>199306182025061000</t>
  </si>
  <si>
    <t>199812102025062000</t>
  </si>
  <si>
    <t>200005242025062000</t>
  </si>
  <si>
    <t>200004012025062000</t>
  </si>
  <si>
    <t>199811192025062000</t>
  </si>
  <si>
    <t>200106272025061000</t>
  </si>
  <si>
    <t>200106072025061000</t>
  </si>
  <si>
    <t>200211182025062000</t>
  </si>
  <si>
    <t>199701232025062000</t>
  </si>
  <si>
    <t>199909082025061000</t>
  </si>
  <si>
    <t>200012162025061000</t>
  </si>
  <si>
    <t>199701202025062000</t>
  </si>
  <si>
    <t>199209222025212000</t>
  </si>
  <si>
    <t>198406102025211000</t>
  </si>
  <si>
    <t>198207252025211000</t>
  </si>
  <si>
    <t>197603282025212000</t>
  </si>
  <si>
    <t>199103282025211000</t>
  </si>
  <si>
    <t>Wiji Putra Imaskadiyawanto, S.Kom.</t>
  </si>
  <si>
    <t>199301172025211000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</si>
</sst>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21]dd\ mmmm\ yyyy"/>
    <numFmt numFmtId="177" formatCode="dd\-mmm\-yy"/>
    <numFmt numFmtId="178" formatCode="[$-F800]dddd\,\ mmmm\ dd\,\ yyyy"/>
    <numFmt numFmtId="179" formatCode="d\ mmmm\ yyyy"/>
  </numFmts>
  <fonts count="38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Aptos Narrow"/>
      <charset val="134"/>
    </font>
    <font>
      <b/>
      <sz val="36"/>
      <color theme="1"/>
      <name val="Aptos Narrow"/>
      <charset val="134"/>
    </font>
    <font>
      <sz val="10"/>
      <color theme="1"/>
      <name val="Arial"/>
      <charset val="134"/>
    </font>
    <font>
      <u/>
      <sz val="11"/>
      <color rgb="FF0000FF"/>
      <name val="Arial"/>
      <charset val="134"/>
    </font>
    <font>
      <sz val="11"/>
      <color rgb="FF000000"/>
      <name val="Arial"/>
      <charset val="134"/>
    </font>
    <font>
      <u/>
      <sz val="11"/>
      <color theme="1"/>
      <name val="Arial"/>
      <charset val="134"/>
    </font>
    <font>
      <u/>
      <sz val="11"/>
      <color rgb="FF467886"/>
      <name val="Arial"/>
      <charset val="134"/>
    </font>
    <font>
      <sz val="10"/>
      <name val="Arial"/>
      <charset val="134"/>
    </font>
    <font>
      <b/>
      <u/>
      <sz val="11"/>
      <color theme="1"/>
      <name val="Arial"/>
      <charset val="134"/>
    </font>
    <font>
      <b/>
      <sz val="11"/>
      <color theme="0"/>
      <name val="Arial"/>
      <charset val="134"/>
    </font>
    <font>
      <sz val="11"/>
      <color theme="0"/>
      <name val="Arial"/>
      <charset val="134"/>
    </font>
    <font>
      <b/>
      <sz val="10"/>
      <color rgb="FFFFFFFF"/>
      <name val="Arial"/>
      <charset val="1"/>
    </font>
    <font>
      <sz val="10"/>
      <color theme="1"/>
      <name val="Arial"/>
      <charset val="1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Times New Roman"/>
      <charset val="134"/>
    </font>
    <font>
      <sz val="11"/>
      <color rgb="FF000000"/>
      <name val="Calibri"/>
      <charset val="134"/>
      <scheme val="minor"/>
    </font>
    <font>
      <i/>
      <sz val="11"/>
      <color rgb="FF000000"/>
      <name val="Arial"/>
      <charset val="134"/>
    </font>
  </fonts>
  <fills count="44">
    <fill>
      <patternFill patternType="none"/>
    </fill>
    <fill>
      <patternFill patternType="gray125"/>
    </fill>
    <fill>
      <patternFill patternType="solid">
        <fgColor rgb="FFC0E4F5"/>
        <bgColor rgb="FFC0E4F5"/>
      </patternFill>
    </fill>
    <fill>
      <patternFill patternType="solid">
        <fgColor rgb="FFD9F2D0"/>
        <bgColor rgb="FFD9F2D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F2D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DAF2D0"/>
        <bgColor rgb="FFDAF2D0"/>
      </patternFill>
    </fill>
    <fill>
      <patternFill patternType="solid">
        <fgColor rgb="FFD9EAD3"/>
        <bgColor rgb="FFD9EAD3"/>
      </patternFill>
    </fill>
    <fill>
      <patternFill patternType="solid">
        <fgColor rgb="FF00206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07376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0" fillId="15" borderId="20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6" borderId="23" applyNumberFormat="0" applyAlignment="0" applyProtection="0">
      <alignment vertical="center"/>
    </xf>
    <xf numFmtId="0" fontId="25" fillId="17" borderId="24" applyNumberFormat="0" applyAlignment="0" applyProtection="0">
      <alignment vertical="center"/>
    </xf>
    <xf numFmtId="0" fontId="26" fillId="17" borderId="23" applyNumberFormat="0" applyAlignment="0" applyProtection="0">
      <alignment vertical="center"/>
    </xf>
    <xf numFmtId="0" fontId="27" fillId="18" borderId="25" applyNumberFormat="0" applyAlignment="0" applyProtection="0">
      <alignment vertical="center"/>
    </xf>
    <xf numFmtId="0" fontId="28" fillId="0" borderId="26" applyNumberFormat="0" applyFill="0" applyAlignment="0" applyProtection="0">
      <alignment vertical="center"/>
    </xf>
    <xf numFmtId="0" fontId="29" fillId="0" borderId="27" applyNumberFormat="0" applyFill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5" fillId="0" borderId="0"/>
    <xf numFmtId="0" fontId="36" fillId="0" borderId="0"/>
  </cellStyleXfs>
  <cellXfs count="409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/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" fontId="1" fillId="3" borderId="2" xfId="0" applyNumberFormat="1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vertical="top" wrapText="1"/>
    </xf>
    <xf numFmtId="176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center"/>
    </xf>
    <xf numFmtId="1" fontId="1" fillId="4" borderId="6" xfId="0" applyNumberFormat="1" applyFont="1" applyFill="1" applyBorder="1" applyAlignment="1">
      <alignment horizontal="center" vertical="top"/>
    </xf>
    <xf numFmtId="0" fontId="1" fillId="4" borderId="7" xfId="0" applyFont="1" applyFill="1" applyBorder="1" applyAlignment="1">
      <alignment horizontal="left" vertical="top"/>
    </xf>
    <xf numFmtId="0" fontId="1" fillId="4" borderId="7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vertical="top" wrapText="1"/>
    </xf>
    <xf numFmtId="176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/>
    </xf>
    <xf numFmtId="0" fontId="2" fillId="4" borderId="0" xfId="0" applyFont="1" applyFill="1" applyAlignment="1">
      <alignment vertical="center" wrapText="1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/>
    <xf numFmtId="1" fontId="1" fillId="5" borderId="6" xfId="0" applyNumberFormat="1" applyFont="1" applyFill="1" applyBorder="1" applyAlignment="1">
      <alignment horizontal="center" vertical="top"/>
    </xf>
    <xf numFmtId="0" fontId="1" fillId="5" borderId="7" xfId="0" applyFont="1" applyFill="1" applyBorder="1" applyAlignment="1">
      <alignment horizontal="left" vertical="top"/>
    </xf>
    <xf numFmtId="0" fontId="1" fillId="5" borderId="7" xfId="0" applyFont="1" applyFill="1" applyBorder="1" applyAlignment="1">
      <alignment horizontal="left"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5" fillId="5" borderId="0" xfId="0" applyFont="1" applyFill="1"/>
    <xf numFmtId="0" fontId="1" fillId="5" borderId="8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center" wrapText="1"/>
    </xf>
    <xf numFmtId="0" fontId="1" fillId="4" borderId="4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vertical="top" wrapText="1"/>
    </xf>
    <xf numFmtId="0" fontId="1" fillId="4" borderId="8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vertical="top" wrapText="1"/>
    </xf>
    <xf numFmtId="176" fontId="1" fillId="3" borderId="9" xfId="0" applyNumberFormat="1" applyFont="1" applyFill="1" applyBorder="1" applyAlignment="1">
      <alignment horizontal="center"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9" xfId="0" applyFont="1" applyFill="1" applyBorder="1" applyAlignment="1">
      <alignment horizontal="center" vertical="top" wrapText="1"/>
    </xf>
    <xf numFmtId="0" fontId="2" fillId="3" borderId="10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vertical="center" wrapText="1"/>
    </xf>
    <xf numFmtId="1" fontId="1" fillId="0" borderId="6" xfId="0" applyNumberFormat="1" applyFont="1" applyBorder="1" applyAlignment="1">
      <alignment horizontal="center" vertical="top"/>
    </xf>
    <xf numFmtId="0" fontId="2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176" fontId="1" fillId="4" borderId="1" xfId="0" applyNumberFormat="1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center" wrapText="1"/>
    </xf>
    <xf numFmtId="0" fontId="1" fillId="4" borderId="7" xfId="0" applyFont="1" applyFill="1" applyBorder="1" applyAlignment="1">
      <alignment vertical="top"/>
    </xf>
    <xf numFmtId="0" fontId="1" fillId="0" borderId="8" xfId="0" applyFont="1" applyBorder="1" applyAlignment="1">
      <alignment horizontal="left" vertical="top" wrapText="1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176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0" xfId="0" applyFont="1"/>
    <xf numFmtId="0" fontId="1" fillId="0" borderId="7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5" borderId="7" xfId="0" applyFont="1" applyFill="1" applyBorder="1" applyAlignment="1">
      <alignment vertical="top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vertical="top" wrapText="1"/>
    </xf>
    <xf numFmtId="1" fontId="1" fillId="3" borderId="11" xfId="0" applyNumberFormat="1" applyFont="1" applyFill="1" applyBorder="1" applyAlignment="1">
      <alignment horizontal="center" vertical="top"/>
    </xf>
    <xf numFmtId="0" fontId="2" fillId="3" borderId="2" xfId="0" applyFont="1" applyFill="1" applyBorder="1" applyAlignment="1">
      <alignment vertical="top" wrapText="1"/>
    </xf>
    <xf numFmtId="0" fontId="2" fillId="3" borderId="11" xfId="0" applyFont="1" applyFill="1" applyBorder="1" applyAlignment="1">
      <alignment horizontal="center" vertical="top" wrapText="1"/>
    </xf>
    <xf numFmtId="0" fontId="6" fillId="0" borderId="4" xfId="0" applyFont="1" applyBorder="1" applyAlignment="1">
      <alignment vertical="center" wrapText="1"/>
    </xf>
    <xf numFmtId="1" fontId="1" fillId="5" borderId="12" xfId="0" applyNumberFormat="1" applyFont="1" applyFill="1" applyBorder="1" applyAlignment="1">
      <alignment horizontal="center" vertical="top"/>
    </xf>
    <xf numFmtId="0" fontId="1" fillId="5" borderId="6" xfId="0" applyFont="1" applyFill="1" applyBorder="1" applyAlignment="1">
      <alignment vertical="top"/>
    </xf>
    <xf numFmtId="0" fontId="2" fillId="5" borderId="12" xfId="0" applyFont="1" applyFill="1" applyBorder="1" applyAlignment="1">
      <alignment horizontal="center" vertical="center" wrapText="1"/>
    </xf>
    <xf numFmtId="0" fontId="1" fillId="0" borderId="4" xfId="0" applyFont="1" applyBorder="1"/>
    <xf numFmtId="1" fontId="1" fillId="0" borderId="12" xfId="0" applyNumberFormat="1" applyFont="1" applyBorder="1" applyAlignment="1">
      <alignment horizontal="center" vertical="top"/>
    </xf>
    <xf numFmtId="0" fontId="1" fillId="0" borderId="6" xfId="0" applyFont="1" applyBorder="1" applyAlignment="1">
      <alignment vertical="top" wrapText="1"/>
    </xf>
    <xf numFmtId="0" fontId="2" fillId="0" borderId="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top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top"/>
    </xf>
    <xf numFmtId="0" fontId="1" fillId="0" borderId="9" xfId="0" applyFont="1" applyBorder="1" applyAlignment="1">
      <alignment vertical="top"/>
    </xf>
    <xf numFmtId="177" fontId="1" fillId="0" borderId="1" xfId="0" applyNumberFormat="1" applyFont="1" applyBorder="1" applyAlignment="1">
      <alignment horizontal="center" vertical="center" wrapText="1"/>
    </xf>
    <xf numFmtId="1" fontId="2" fillId="3" borderId="11" xfId="0" applyNumberFormat="1" applyFont="1" applyFill="1" applyBorder="1" applyAlignment="1">
      <alignment horizontal="left" vertical="top"/>
    </xf>
    <xf numFmtId="0" fontId="1" fillId="3" borderId="2" xfId="0" applyFont="1" applyFill="1" applyBorder="1" applyAlignment="1">
      <alignment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0" borderId="1" xfId="0" applyFont="1" applyBorder="1"/>
    <xf numFmtId="1" fontId="1" fillId="4" borderId="12" xfId="0" applyNumberFormat="1" applyFont="1" applyFill="1" applyBorder="1" applyAlignment="1">
      <alignment horizontal="center" vertical="top"/>
    </xf>
    <xf numFmtId="0" fontId="1" fillId="0" borderId="6" xfId="0" applyFont="1" applyBorder="1" applyAlignment="1">
      <alignment horizontal="left" vertical="top" wrapText="1"/>
    </xf>
    <xf numFmtId="0" fontId="1" fillId="0" borderId="2" xfId="0" applyFont="1" applyBorder="1" applyAlignment="1">
      <alignment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9" xfId="0" applyFont="1" applyBorder="1" applyAlignment="1">
      <alignment vertical="top" wrapText="1"/>
    </xf>
    <xf numFmtId="0" fontId="1" fillId="0" borderId="9" xfId="0" applyFont="1" applyBorder="1" applyAlignment="1">
      <alignment horizontal="center" vertical="center" wrapText="1"/>
    </xf>
    <xf numFmtId="1" fontId="2" fillId="3" borderId="2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" fontId="1" fillId="0" borderId="9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center" vertical="top" wrapText="1"/>
    </xf>
    <xf numFmtId="1" fontId="1" fillId="3" borderId="9" xfId="0" applyNumberFormat="1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 wrapText="1"/>
    </xf>
    <xf numFmtId="176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 wrapText="1"/>
    </xf>
    <xf numFmtId="176" fontId="1" fillId="3" borderId="1" xfId="0" applyNumberFormat="1" applyFont="1" applyFill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center" vertical="top"/>
    </xf>
    <xf numFmtId="0" fontId="7" fillId="0" borderId="13" xfId="50" applyFont="1" applyBorder="1" applyAlignment="1">
      <alignment horizontal="left" vertical="top" wrapText="1"/>
    </xf>
    <xf numFmtId="176" fontId="1" fillId="0" borderId="1" xfId="0" applyNumberFormat="1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vertical="top" wrapText="1"/>
    </xf>
    <xf numFmtId="1" fontId="2" fillId="3" borderId="2" xfId="0" applyNumberFormat="1" applyFont="1" applyFill="1" applyBorder="1" applyAlignment="1">
      <alignment horizontal="left" vertical="top" wrapText="1"/>
    </xf>
    <xf numFmtId="0" fontId="8" fillId="0" borderId="1" xfId="0" applyFont="1" applyBorder="1" applyAlignment="1">
      <alignment wrapText="1"/>
    </xf>
    <xf numFmtId="0" fontId="2" fillId="3" borderId="3" xfId="0" applyFont="1" applyFill="1" applyBorder="1" applyAlignment="1">
      <alignment vertical="top"/>
    </xf>
    <xf numFmtId="1" fontId="1" fillId="0" borderId="8" xfId="0" applyNumberFormat="1" applyFont="1" applyBorder="1" applyAlignment="1">
      <alignment horizontal="center" vertical="top"/>
    </xf>
    <xf numFmtId="177" fontId="1" fillId="0" borderId="1" xfId="0" applyNumberFormat="1" applyFont="1" applyBorder="1" applyAlignment="1">
      <alignment horizontal="center" vertical="top" wrapText="1"/>
    </xf>
    <xf numFmtId="1" fontId="1" fillId="6" borderId="6" xfId="0" applyNumberFormat="1" applyFont="1" applyFill="1" applyBorder="1" applyAlignment="1">
      <alignment horizontal="center" vertical="top"/>
    </xf>
    <xf numFmtId="1" fontId="2" fillId="6" borderId="6" xfId="0" applyNumberFormat="1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9" xfId="0" applyFont="1" applyFill="1" applyBorder="1" applyAlignment="1">
      <alignment horizontal="left" vertical="top" wrapText="1"/>
    </xf>
    <xf numFmtId="1" fontId="1" fillId="3" borderId="6" xfId="0" applyNumberFormat="1" applyFont="1" applyFill="1" applyBorder="1" applyAlignment="1">
      <alignment horizontal="center" vertical="top"/>
    </xf>
    <xf numFmtId="0" fontId="1" fillId="0" borderId="5" xfId="0" applyFont="1" applyBorder="1" applyAlignment="1">
      <alignment horizontal="center" vertical="top" wrapText="1"/>
    </xf>
    <xf numFmtId="1" fontId="1" fillId="3" borderId="12" xfId="0" applyNumberFormat="1" applyFont="1" applyFill="1" applyBorder="1" applyAlignment="1">
      <alignment horizontal="center" vertical="top"/>
    </xf>
    <xf numFmtId="0" fontId="2" fillId="3" borderId="2" xfId="0" applyFont="1" applyFill="1" applyBorder="1" applyAlignment="1">
      <alignment vertical="top"/>
    </xf>
    <xf numFmtId="0" fontId="1" fillId="3" borderId="7" xfId="0" applyFont="1" applyFill="1" applyBorder="1" applyAlignment="1">
      <alignment vertical="top" wrapText="1"/>
    </xf>
    <xf numFmtId="0" fontId="1" fillId="3" borderId="6" xfId="0" applyFont="1" applyFill="1" applyBorder="1" applyAlignment="1">
      <alignment vertical="top" wrapText="1"/>
    </xf>
    <xf numFmtId="0" fontId="2" fillId="3" borderId="6" xfId="0" applyFont="1" applyFill="1" applyBorder="1" applyAlignment="1">
      <alignment vertical="top" wrapText="1"/>
    </xf>
    <xf numFmtId="0" fontId="1" fillId="0" borderId="4" xfId="0" applyFont="1" applyBorder="1" applyAlignment="1">
      <alignment wrapText="1"/>
    </xf>
    <xf numFmtId="0" fontId="1" fillId="0" borderId="3" xfId="0" applyFont="1" applyBorder="1"/>
    <xf numFmtId="0" fontId="1" fillId="6" borderId="8" xfId="0" applyFont="1" applyFill="1" applyBorder="1" applyAlignment="1">
      <alignment vertical="top" wrapText="1" readingOrder="1"/>
    </xf>
    <xf numFmtId="177" fontId="1" fillId="6" borderId="8" xfId="0" applyNumberFormat="1" applyFont="1" applyFill="1" applyBorder="1" applyAlignment="1">
      <alignment vertical="top" wrapText="1" readingOrder="1"/>
    </xf>
    <xf numFmtId="0" fontId="1" fillId="6" borderId="8" xfId="0" applyFont="1" applyFill="1" applyBorder="1" applyAlignment="1">
      <alignment horizontal="center" vertical="top" wrapText="1" readingOrder="1"/>
    </xf>
    <xf numFmtId="0" fontId="2" fillId="6" borderId="8" xfId="0" applyFont="1" applyFill="1" applyBorder="1" applyAlignment="1">
      <alignment horizontal="center" vertical="top" wrapText="1" readingOrder="1"/>
    </xf>
    <xf numFmtId="0" fontId="2" fillId="6" borderId="5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vertical="top" wrapText="1"/>
    </xf>
    <xf numFmtId="0" fontId="1" fillId="0" borderId="8" xfId="0" applyFont="1" applyBorder="1" applyAlignment="1">
      <alignment vertical="top" wrapText="1" readingOrder="1"/>
    </xf>
    <xf numFmtId="177" fontId="1" fillId="0" borderId="8" xfId="0" applyNumberFormat="1" applyFont="1" applyBorder="1" applyAlignment="1">
      <alignment vertical="top" wrapText="1" readingOrder="1"/>
    </xf>
    <xf numFmtId="0" fontId="1" fillId="0" borderId="8" xfId="0" applyFont="1" applyBorder="1" applyAlignment="1">
      <alignment horizontal="center" vertical="top" wrapText="1" readingOrder="1"/>
    </xf>
    <xf numFmtId="0" fontId="2" fillId="0" borderId="8" xfId="0" applyFont="1" applyBorder="1" applyAlignment="1">
      <alignment horizontal="center" vertical="top" wrapText="1" readingOrder="1"/>
    </xf>
    <xf numFmtId="0" fontId="2" fillId="0" borderId="9" xfId="0" applyFont="1" applyBorder="1" applyAlignment="1">
      <alignment vertical="top" wrapText="1"/>
    </xf>
    <xf numFmtId="0" fontId="1" fillId="0" borderId="8" xfId="0" applyFont="1" applyBorder="1"/>
    <xf numFmtId="0" fontId="1" fillId="0" borderId="4" xfId="0" applyFont="1" applyBorder="1" applyAlignment="1">
      <alignment vertical="center" wrapText="1"/>
    </xf>
    <xf numFmtId="0" fontId="1" fillId="3" borderId="4" xfId="0" applyFont="1" applyFill="1" applyBorder="1"/>
    <xf numFmtId="0" fontId="1" fillId="5" borderId="6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center" wrapText="1"/>
    </xf>
    <xf numFmtId="0" fontId="1" fillId="5" borderId="4" xfId="0" applyFont="1" applyFill="1" applyBorder="1"/>
    <xf numFmtId="176" fontId="1" fillId="5" borderId="1" xfId="0" applyNumberFormat="1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vertical="top" wrapText="1"/>
    </xf>
    <xf numFmtId="1" fontId="2" fillId="3" borderId="11" xfId="0" applyNumberFormat="1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vertical="top" wrapText="1"/>
    </xf>
    <xf numFmtId="176" fontId="1" fillId="3" borderId="2" xfId="0" applyNumberFormat="1" applyFont="1" applyFill="1" applyBorder="1" applyAlignment="1">
      <alignment horizontal="center" vertical="top" wrapText="1"/>
    </xf>
    <xf numFmtId="0" fontId="7" fillId="0" borderId="4" xfId="0" applyFont="1" applyBorder="1" applyAlignment="1">
      <alignment horizontal="left" vertical="top" wrapText="1"/>
    </xf>
    <xf numFmtId="177" fontId="7" fillId="0" borderId="1" xfId="0" applyNumberFormat="1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center" vertical="top" wrapText="1"/>
    </xf>
    <xf numFmtId="177" fontId="7" fillId="0" borderId="9" xfId="0" applyNumberFormat="1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1" fontId="1" fillId="7" borderId="6" xfId="0" applyNumberFormat="1" applyFont="1" applyFill="1" applyBorder="1" applyAlignment="1">
      <alignment horizontal="center" vertical="top"/>
    </xf>
    <xf numFmtId="0" fontId="2" fillId="7" borderId="3" xfId="0" applyFont="1" applyFill="1" applyBorder="1" applyAlignment="1">
      <alignment vertical="top" wrapText="1"/>
    </xf>
    <xf numFmtId="0" fontId="1" fillId="7" borderId="7" xfId="0" applyFont="1" applyFill="1" applyBorder="1" applyAlignment="1">
      <alignment vertical="top" wrapText="1"/>
    </xf>
    <xf numFmtId="0" fontId="1" fillId="7" borderId="8" xfId="0" applyFont="1" applyFill="1" applyBorder="1" applyAlignment="1">
      <alignment vertical="top" wrapText="1"/>
    </xf>
    <xf numFmtId="0" fontId="1" fillId="7" borderId="9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horizontal="center" vertical="top" wrapText="1"/>
    </xf>
    <xf numFmtId="0" fontId="2" fillId="7" borderId="5" xfId="0" applyFont="1" applyFill="1" applyBorder="1" applyAlignment="1">
      <alignment horizontal="center" vertical="center" wrapText="1"/>
    </xf>
    <xf numFmtId="0" fontId="7" fillId="0" borderId="3" xfId="50" applyFont="1" applyBorder="1" applyAlignment="1">
      <alignment horizontal="left" vertical="top" wrapText="1"/>
    </xf>
    <xf numFmtId="0" fontId="1" fillId="0" borderId="8" xfId="0" applyFont="1" applyBorder="1" applyAlignment="1">
      <alignment vertical="top"/>
    </xf>
    <xf numFmtId="0" fontId="7" fillId="3" borderId="8" xfId="0" applyFont="1" applyFill="1" applyBorder="1" applyAlignment="1">
      <alignment horizontal="left" vertical="top" wrapText="1"/>
    </xf>
    <xf numFmtId="0" fontId="1" fillId="5" borderId="6" xfId="0" applyFont="1" applyFill="1" applyBorder="1" applyAlignment="1">
      <alignment horizontal="left" vertical="top" wrapText="1"/>
    </xf>
    <xf numFmtId="1" fontId="1" fillId="5" borderId="9" xfId="0" applyNumberFormat="1" applyFont="1" applyFill="1" applyBorder="1" applyAlignment="1">
      <alignment horizontal="center" vertical="top"/>
    </xf>
    <xf numFmtId="1" fontId="1" fillId="5" borderId="10" xfId="0" applyNumberFormat="1" applyFont="1" applyFill="1" applyBorder="1" applyAlignment="1">
      <alignment horizontal="center" vertical="top"/>
    </xf>
    <xf numFmtId="0" fontId="1" fillId="5" borderId="9" xfId="0" applyFont="1" applyFill="1" applyBorder="1" applyAlignment="1">
      <alignment horizontal="left" vertical="top" wrapText="1"/>
    </xf>
    <xf numFmtId="0" fontId="2" fillId="3" borderId="14" xfId="0" applyFont="1" applyFill="1" applyBorder="1" applyAlignment="1">
      <alignment vertical="top" wrapText="1"/>
    </xf>
    <xf numFmtId="0" fontId="1" fillId="0" borderId="15" xfId="0" applyFont="1" applyBorder="1" applyAlignment="1">
      <alignment vertical="top"/>
    </xf>
    <xf numFmtId="0" fontId="1" fillId="3" borderId="6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wrapText="1"/>
    </xf>
    <xf numFmtId="0" fontId="2" fillId="3" borderId="6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0" fontId="2" fillId="3" borderId="14" xfId="0" applyFont="1" applyFill="1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178" fontId="1" fillId="0" borderId="9" xfId="0" applyNumberFormat="1" applyFont="1" applyBorder="1" applyAlignment="1">
      <alignment horizontal="center" vertical="top"/>
    </xf>
    <xf numFmtId="0" fontId="1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" fontId="2" fillId="3" borderId="12" xfId="0" applyNumberFormat="1" applyFont="1" applyFill="1" applyBorder="1" applyAlignment="1">
      <alignment horizontal="left" vertical="top" wrapText="1"/>
    </xf>
    <xf numFmtId="176" fontId="1" fillId="0" borderId="2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1" fontId="1" fillId="8" borderId="6" xfId="0" applyNumberFormat="1" applyFont="1" applyFill="1" applyBorder="1" applyAlignment="1">
      <alignment horizontal="center" vertical="top"/>
    </xf>
    <xf numFmtId="1" fontId="2" fillId="8" borderId="11" xfId="0" applyNumberFormat="1" applyFont="1" applyFill="1" applyBorder="1" applyAlignment="1">
      <alignment horizontal="left" vertical="top"/>
    </xf>
    <xf numFmtId="0" fontId="1" fillId="8" borderId="4" xfId="0" applyFont="1" applyFill="1" applyBorder="1" applyAlignment="1">
      <alignment vertical="top" wrapText="1"/>
    </xf>
    <xf numFmtId="178" fontId="1" fillId="8" borderId="1" xfId="0" applyNumberFormat="1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1" fillId="5" borderId="8" xfId="0" applyFont="1" applyFill="1" applyBorder="1" applyAlignment="1">
      <alignment vertical="top" wrapText="1"/>
    </xf>
    <xf numFmtId="0" fontId="1" fillId="5" borderId="9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5" xfId="0" applyFont="1" applyFill="1" applyBorder="1" applyAlignment="1">
      <alignment horizontal="center" vertical="top" wrapText="1"/>
    </xf>
    <xf numFmtId="0" fontId="1" fillId="5" borderId="1" xfId="0" applyFont="1" applyFill="1" applyBorder="1"/>
    <xf numFmtId="0" fontId="1" fillId="5" borderId="12" xfId="0" applyFont="1" applyFill="1" applyBorder="1" applyAlignment="1">
      <alignment vertical="top" wrapText="1"/>
    </xf>
    <xf numFmtId="0" fontId="2" fillId="3" borderId="11" xfId="0" applyFont="1" applyFill="1" applyBorder="1" applyAlignment="1">
      <alignment vertical="top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vertical="top"/>
    </xf>
    <xf numFmtId="0" fontId="1" fillId="0" borderId="3" xfId="0" applyFont="1" applyBorder="1" applyAlignment="1">
      <alignment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top"/>
    </xf>
    <xf numFmtId="1" fontId="2" fillId="3" borderId="12" xfId="0" applyNumberFormat="1" applyFont="1" applyFill="1" applyBorder="1" applyAlignment="1">
      <alignment horizontal="left" vertical="top"/>
    </xf>
    <xf numFmtId="0" fontId="1" fillId="0" borderId="2" xfId="0" applyFont="1" applyBorder="1" applyAlignment="1">
      <alignment wrapText="1"/>
    </xf>
    <xf numFmtId="0" fontId="1" fillId="0" borderId="11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vertical="top" wrapText="1"/>
    </xf>
    <xf numFmtId="0" fontId="9" fillId="3" borderId="4" xfId="0" applyFont="1" applyFill="1" applyBorder="1"/>
    <xf numFmtId="0" fontId="1" fillId="5" borderId="15" xfId="0" applyFont="1" applyFill="1" applyBorder="1" applyAlignment="1">
      <alignment vertical="top" wrapText="1"/>
    </xf>
    <xf numFmtId="179" fontId="1" fillId="5" borderId="1" xfId="0" applyNumberFormat="1" applyFont="1" applyFill="1" applyBorder="1" applyAlignment="1">
      <alignment horizontal="center" vertical="top" wrapText="1"/>
    </xf>
    <xf numFmtId="1" fontId="2" fillId="6" borderId="2" xfId="0" applyNumberFormat="1" applyFont="1" applyFill="1" applyBorder="1" applyAlignment="1">
      <alignment horizontal="left" vertical="top" wrapText="1"/>
    </xf>
    <xf numFmtId="0" fontId="1" fillId="6" borderId="8" xfId="0" applyFont="1" applyFill="1" applyBorder="1" applyAlignment="1">
      <alignment vertical="top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vertical="center" wrapText="1"/>
    </xf>
    <xf numFmtId="0" fontId="8" fillId="6" borderId="4" xfId="0" applyFont="1" applyFill="1" applyBorder="1"/>
    <xf numFmtId="1" fontId="2" fillId="8" borderId="2" xfId="0" applyNumberFormat="1" applyFont="1" applyFill="1" applyBorder="1" applyAlignment="1">
      <alignment horizontal="left" vertical="top"/>
    </xf>
    <xf numFmtId="0" fontId="7" fillId="3" borderId="1" xfId="0" applyFont="1" applyFill="1" applyBorder="1" applyAlignment="1">
      <alignment vertical="top" wrapText="1"/>
    </xf>
    <xf numFmtId="0" fontId="7" fillId="3" borderId="9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/>
    </xf>
    <xf numFmtId="176" fontId="7" fillId="0" borderId="1" xfId="0" applyNumberFormat="1" applyFont="1" applyBorder="1" applyAlignment="1">
      <alignment horizontal="center" vertical="top"/>
    </xf>
    <xf numFmtId="0" fontId="6" fillId="0" borderId="4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1" fillId="0" borderId="5" xfId="0" applyFont="1" applyBorder="1" applyAlignment="1">
      <alignment vertical="top" wrapText="1"/>
    </xf>
    <xf numFmtId="0" fontId="1" fillId="0" borderId="11" xfId="0" applyFont="1" applyBorder="1" applyAlignment="1">
      <alignment horizontal="center" vertical="top" wrapText="1"/>
    </xf>
    <xf numFmtId="0" fontId="2" fillId="3" borderId="12" xfId="0" applyFont="1" applyFill="1" applyBorder="1" applyAlignment="1">
      <alignment vertical="top"/>
    </xf>
    <xf numFmtId="0" fontId="8" fillId="0" borderId="1" xfId="0" applyFont="1" applyBorder="1" applyAlignment="1">
      <alignment horizontal="left" wrapText="1"/>
    </xf>
    <xf numFmtId="0" fontId="1" fillId="5" borderId="12" xfId="0" applyFont="1" applyFill="1" applyBorder="1" applyAlignment="1">
      <alignment vertical="top"/>
    </xf>
    <xf numFmtId="0" fontId="1" fillId="5" borderId="4" xfId="0" applyFont="1" applyFill="1" applyBorder="1" applyAlignment="1">
      <alignment horizontal="center" vertical="top" wrapText="1"/>
    </xf>
    <xf numFmtId="0" fontId="1" fillId="5" borderId="2" xfId="0" applyFont="1" applyFill="1" applyBorder="1" applyAlignment="1">
      <alignment vertical="top" wrapText="1"/>
    </xf>
    <xf numFmtId="1" fontId="1" fillId="9" borderId="12" xfId="0" applyNumberFormat="1" applyFont="1" applyFill="1" applyBorder="1" applyAlignment="1">
      <alignment horizontal="center" vertical="top"/>
    </xf>
    <xf numFmtId="0" fontId="2" fillId="9" borderId="12" xfId="0" applyFont="1" applyFill="1" applyBorder="1" applyAlignment="1">
      <alignment vertical="top" wrapText="1"/>
    </xf>
    <xf numFmtId="0" fontId="1" fillId="9" borderId="6" xfId="0" applyFont="1" applyFill="1" applyBorder="1" applyAlignment="1">
      <alignment vertical="top" wrapText="1"/>
    </xf>
    <xf numFmtId="0" fontId="1" fillId="9" borderId="15" xfId="0" applyFont="1" applyFill="1" applyBorder="1" applyAlignment="1">
      <alignment vertical="center" wrapText="1"/>
    </xf>
    <xf numFmtId="176" fontId="1" fillId="9" borderId="9" xfId="0" applyNumberFormat="1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10" fillId="0" borderId="6" xfId="0" applyFont="1" applyBorder="1" applyAlignment="1"/>
    <xf numFmtId="0" fontId="7" fillId="0" borderId="14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76" fontId="1" fillId="0" borderId="4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top" readingOrder="1"/>
    </xf>
    <xf numFmtId="0" fontId="2" fillId="0" borderId="6" xfId="0" applyFont="1" applyBorder="1" applyAlignment="1">
      <alignment vertical="top" readingOrder="1"/>
    </xf>
    <xf numFmtId="0" fontId="1" fillId="0" borderId="14" xfId="0" applyFont="1" applyBorder="1" applyAlignment="1">
      <alignment vertical="top" wrapText="1" readingOrder="1"/>
    </xf>
    <xf numFmtId="0" fontId="1" fillId="0" borderId="9" xfId="0" applyFont="1" applyBorder="1" applyAlignment="1">
      <alignment vertical="top" wrapText="1" readingOrder="1"/>
    </xf>
    <xf numFmtId="0" fontId="1" fillId="5" borderId="9" xfId="0" applyFont="1" applyFill="1" applyBorder="1" applyAlignment="1">
      <alignment vertical="top"/>
    </xf>
    <xf numFmtId="0" fontId="1" fillId="5" borderId="14" xfId="0" applyFont="1" applyFill="1" applyBorder="1" applyAlignment="1">
      <alignment vertical="top" wrapText="1"/>
    </xf>
    <xf numFmtId="0" fontId="1" fillId="5" borderId="4" xfId="0" applyFont="1" applyFill="1" applyBorder="1" applyAlignment="1">
      <alignment horizontal="center" vertical="center" wrapText="1"/>
    </xf>
    <xf numFmtId="0" fontId="10" fillId="0" borderId="9" xfId="0" applyFont="1" applyBorder="1" applyAlignment="1"/>
    <xf numFmtId="0" fontId="1" fillId="3" borderId="9" xfId="0" applyFont="1" applyFill="1" applyBorder="1" applyAlignment="1">
      <alignment vertical="top"/>
    </xf>
    <xf numFmtId="0" fontId="1" fillId="3" borderId="9" xfId="0" applyFont="1" applyFill="1" applyBorder="1" applyAlignment="1">
      <alignment wrapText="1"/>
    </xf>
    <xf numFmtId="0" fontId="1" fillId="0" borderId="2" xfId="0" applyFont="1" applyBorder="1" applyAlignment="1">
      <alignment vertical="top"/>
    </xf>
    <xf numFmtId="0" fontId="1" fillId="0" borderId="1" xfId="0" applyFont="1" applyBorder="1" applyAlignment="1">
      <alignment wrapText="1"/>
    </xf>
    <xf numFmtId="0" fontId="2" fillId="0" borderId="12" xfId="0" applyFont="1" applyBorder="1" applyAlignment="1">
      <alignment vertical="top"/>
    </xf>
    <xf numFmtId="0" fontId="6" fillId="0" borderId="4" xfId="0" applyFont="1" applyBorder="1"/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top"/>
    </xf>
    <xf numFmtId="0" fontId="8" fillId="0" borderId="4" xfId="0" applyFont="1" applyBorder="1"/>
    <xf numFmtId="0" fontId="2" fillId="5" borderId="11" xfId="0" applyFont="1" applyFill="1" applyBorder="1" applyAlignment="1">
      <alignment horizontal="center" vertical="top" wrapText="1"/>
    </xf>
    <xf numFmtId="176" fontId="1" fillId="5" borderId="1" xfId="0" applyNumberFormat="1" applyFont="1" applyFill="1" applyBorder="1" applyAlignment="1">
      <alignment horizontal="center" vertical="top" wrapText="1"/>
    </xf>
    <xf numFmtId="0" fontId="5" fillId="0" borderId="0" xfId="0" applyFont="1" applyAlignment="1">
      <alignment vertical="top"/>
    </xf>
    <xf numFmtId="1" fontId="1" fillId="10" borderId="11" xfId="0" applyNumberFormat="1" applyFont="1" applyFill="1" applyBorder="1" applyAlignment="1">
      <alignment horizontal="center" vertical="top"/>
    </xf>
    <xf numFmtId="0" fontId="2" fillId="10" borderId="2" xfId="0" applyFont="1" applyFill="1" applyBorder="1" applyAlignment="1">
      <alignment vertical="top" wrapText="1"/>
    </xf>
    <xf numFmtId="0" fontId="1" fillId="10" borderId="4" xfId="0" applyFont="1" applyFill="1" applyBorder="1" applyAlignment="1">
      <alignment vertical="top" wrapText="1"/>
    </xf>
    <xf numFmtId="0" fontId="1" fillId="10" borderId="1" xfId="0" applyFont="1" applyFill="1" applyBorder="1" applyAlignment="1">
      <alignment vertical="top"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vertical="center"/>
    </xf>
    <xf numFmtId="0" fontId="5" fillId="10" borderId="0" xfId="0" applyFont="1" applyFill="1"/>
    <xf numFmtId="0" fontId="10" fillId="0" borderId="7" xfId="0" applyFont="1" applyBorder="1" applyAlignment="1"/>
    <xf numFmtId="0" fontId="10" fillId="0" borderId="8" xfId="0" applyFont="1" applyBorder="1" applyAlignment="1"/>
    <xf numFmtId="0" fontId="1" fillId="10" borderId="3" xfId="0" applyFont="1" applyFill="1" applyBorder="1" applyAlignment="1">
      <alignment vertical="top" wrapText="1"/>
    </xf>
    <xf numFmtId="0" fontId="1" fillId="10" borderId="7" xfId="0" applyFont="1" applyFill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0" fillId="0" borderId="6" xfId="0" applyFont="1" applyBorder="1"/>
    <xf numFmtId="179" fontId="1" fillId="0" borderId="1" xfId="0" applyNumberFormat="1" applyFont="1" applyBorder="1" applyAlignment="1">
      <alignment horizontal="center" vertical="top" wrapText="1"/>
    </xf>
    <xf numFmtId="179" fontId="1" fillId="0" borderId="1" xfId="0" applyNumberFormat="1" applyFont="1" applyBorder="1" applyAlignment="1">
      <alignment horizontal="center" vertical="center" wrapText="1"/>
    </xf>
    <xf numFmtId="0" fontId="10" fillId="0" borderId="9" xfId="0" applyFont="1" applyBorder="1"/>
    <xf numFmtId="0" fontId="2" fillId="3" borderId="9" xfId="0" applyFont="1" applyFill="1" applyBorder="1" applyAlignment="1">
      <alignment vertical="top"/>
    </xf>
    <xf numFmtId="0" fontId="6" fillId="0" borderId="1" xfId="0" applyFont="1" applyBorder="1"/>
    <xf numFmtId="1" fontId="1" fillId="9" borderId="11" xfId="0" applyNumberFormat="1" applyFont="1" applyFill="1" applyBorder="1" applyAlignment="1">
      <alignment horizontal="center" vertical="top"/>
    </xf>
    <xf numFmtId="0" fontId="2" fillId="9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9" borderId="2" xfId="0" applyFont="1" applyFill="1" applyBorder="1" applyAlignment="1">
      <alignment vertical="top" wrapText="1"/>
    </xf>
    <xf numFmtId="0" fontId="1" fillId="9" borderId="1" xfId="0" applyFont="1" applyFill="1" applyBorder="1" applyAlignment="1">
      <alignment vertical="top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6" fillId="9" borderId="1" xfId="0" applyFont="1" applyFill="1" applyBorder="1"/>
    <xf numFmtId="0" fontId="1" fillId="0" borderId="12" xfId="0" applyFont="1" applyBorder="1" applyAlignment="1">
      <alignment vertical="top" wrapText="1"/>
    </xf>
    <xf numFmtId="0" fontId="1" fillId="3" borderId="2" xfId="0" applyFont="1" applyFill="1" applyBorder="1" applyAlignment="1">
      <alignment vertical="top"/>
    </xf>
    <xf numFmtId="0" fontId="1" fillId="3" borderId="1" xfId="0" applyFont="1" applyFill="1" applyBorder="1" applyAlignment="1">
      <alignment wrapText="1"/>
    </xf>
    <xf numFmtId="0" fontId="2" fillId="10" borderId="2" xfId="0" applyFont="1" applyFill="1" applyBorder="1" applyAlignment="1">
      <alignment vertical="top"/>
    </xf>
    <xf numFmtId="0" fontId="1" fillId="10" borderId="8" xfId="0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center" vertical="center" wrapText="1"/>
    </xf>
    <xf numFmtId="0" fontId="1" fillId="10" borderId="4" xfId="0" applyFont="1" applyFill="1" applyBorder="1"/>
    <xf numFmtId="0" fontId="2" fillId="0" borderId="6" xfId="0" applyFont="1" applyBorder="1" applyAlignment="1">
      <alignment vertical="top"/>
    </xf>
    <xf numFmtId="0" fontId="6" fillId="10" borderId="1" xfId="0" applyFont="1" applyFill="1" applyBorder="1"/>
    <xf numFmtId="0" fontId="1" fillId="0" borderId="10" xfId="0" applyFont="1" applyBorder="1" applyAlignment="1">
      <alignment vertical="top" wrapText="1"/>
    </xf>
    <xf numFmtId="0" fontId="2" fillId="3" borderId="11" xfId="0" applyFont="1" applyFill="1" applyBorder="1" applyAlignment="1">
      <alignment horizontal="left" vertical="top" wrapText="1"/>
    </xf>
    <xf numFmtId="1" fontId="1" fillId="10" borderId="12" xfId="0" applyNumberFormat="1" applyFont="1" applyFill="1" applyBorder="1" applyAlignment="1">
      <alignment horizontal="center" vertical="top"/>
    </xf>
    <xf numFmtId="0" fontId="2" fillId="10" borderId="12" xfId="0" applyFont="1" applyFill="1" applyBorder="1" applyAlignment="1">
      <alignment vertical="top" wrapText="1"/>
    </xf>
    <xf numFmtId="0" fontId="1" fillId="10" borderId="6" xfId="0" applyFont="1" applyFill="1" applyBorder="1" applyAlignment="1">
      <alignment vertical="top" wrapText="1"/>
    </xf>
    <xf numFmtId="0" fontId="1" fillId="10" borderId="4" xfId="0" applyFont="1" applyFill="1" applyBorder="1" applyAlignment="1">
      <alignment horizontal="left" vertical="top" wrapText="1"/>
    </xf>
    <xf numFmtId="0" fontId="1" fillId="10" borderId="1" xfId="0" applyFont="1" applyFill="1" applyBorder="1" applyAlignment="1">
      <alignment horizontal="left" vertical="top" wrapText="1"/>
    </xf>
    <xf numFmtId="0" fontId="1" fillId="10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center" vertical="top" wrapText="1"/>
    </xf>
    <xf numFmtId="0" fontId="6" fillId="0" borderId="2" xfId="0" applyFont="1" applyBorder="1" applyAlignment="1">
      <alignment vertical="center" wrapText="1"/>
    </xf>
    <xf numFmtId="179" fontId="5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179" fontId="1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12" fillId="11" borderId="11" xfId="0" applyFont="1" applyFill="1" applyBorder="1" applyAlignment="1">
      <alignment vertical="top" readingOrder="1"/>
    </xf>
    <xf numFmtId="0" fontId="13" fillId="11" borderId="3" xfId="0" applyFont="1" applyFill="1" applyBorder="1" applyAlignment="1">
      <alignment readingOrder="1"/>
    </xf>
    <xf numFmtId="0" fontId="13" fillId="11" borderId="4" xfId="0" applyFont="1" applyFill="1" applyBorder="1" applyAlignment="1">
      <alignment wrapText="1" readingOrder="1"/>
    </xf>
    <xf numFmtId="0" fontId="13" fillId="11" borderId="4" xfId="0" applyFont="1" applyFill="1" applyBorder="1" applyAlignment="1">
      <alignment readingOrder="1"/>
    </xf>
    <xf numFmtId="0" fontId="13" fillId="11" borderId="1" xfId="0" applyFont="1" applyFill="1" applyBorder="1"/>
    <xf numFmtId="0" fontId="1" fillId="12" borderId="11" xfId="0" applyFont="1" applyFill="1" applyBorder="1" applyAlignment="1">
      <alignment horizontal="center" vertical="top" readingOrder="1"/>
    </xf>
    <xf numFmtId="0" fontId="2" fillId="12" borderId="2" xfId="0" applyFont="1" applyFill="1" applyBorder="1" applyAlignment="1">
      <alignment vertical="top" readingOrder="1"/>
    </xf>
    <xf numFmtId="0" fontId="1" fillId="12" borderId="8" xfId="0" applyFont="1" applyFill="1" applyBorder="1" applyAlignment="1">
      <alignment vertical="top" wrapText="1" readingOrder="1"/>
    </xf>
    <xf numFmtId="0" fontId="1" fillId="12" borderId="8" xfId="0" applyFont="1" applyFill="1" applyBorder="1" applyAlignment="1">
      <alignment horizontal="center" vertical="top" wrapText="1" readingOrder="1"/>
    </xf>
    <xf numFmtId="0" fontId="2" fillId="12" borderId="8" xfId="0" applyFont="1" applyFill="1" applyBorder="1" applyAlignment="1">
      <alignment horizontal="center" vertical="top" wrapText="1" readingOrder="1"/>
    </xf>
    <xf numFmtId="0" fontId="6" fillId="10" borderId="1" xfId="0" applyFont="1" applyFill="1" applyBorder="1" applyAlignment="1">
      <alignment horizontal="center" wrapText="1"/>
    </xf>
    <xf numFmtId="0" fontId="1" fillId="0" borderId="10" xfId="0" applyFont="1" applyBorder="1" applyAlignment="1">
      <alignment horizontal="center" vertical="top" readingOrder="1"/>
    </xf>
    <xf numFmtId="0" fontId="2" fillId="0" borderId="9" xfId="0" applyFont="1" applyBorder="1" applyAlignment="1">
      <alignment vertical="top" readingOrder="1"/>
    </xf>
    <xf numFmtId="0" fontId="1" fillId="0" borderId="3" xfId="0" applyFont="1" applyBorder="1" applyAlignment="1">
      <alignment vertical="top" wrapText="1" readingOrder="1"/>
    </xf>
    <xf numFmtId="0" fontId="1" fillId="10" borderId="1" xfId="0" applyFont="1" applyFill="1" applyBorder="1" applyAlignment="1">
      <alignment horizontal="center"/>
    </xf>
    <xf numFmtId="0" fontId="1" fillId="12" borderId="6" xfId="0" applyFont="1" applyFill="1" applyBorder="1" applyAlignment="1">
      <alignment horizontal="center" vertical="top" readingOrder="1"/>
    </xf>
    <xf numFmtId="0" fontId="2" fillId="12" borderId="7" xfId="0" applyFont="1" applyFill="1" applyBorder="1" applyAlignment="1">
      <alignment vertical="top" readingOrder="1"/>
    </xf>
    <xf numFmtId="0" fontId="1" fillId="12" borderId="3" xfId="0" applyFont="1" applyFill="1" applyBorder="1" applyAlignment="1">
      <alignment vertical="top" wrapText="1" readingOrder="1"/>
    </xf>
    <xf numFmtId="177" fontId="1" fillId="12" borderId="8" xfId="0" applyNumberFormat="1" applyFont="1" applyFill="1" applyBorder="1" applyAlignment="1">
      <alignment vertical="top" wrapText="1" readingOrder="1"/>
    </xf>
    <xf numFmtId="0" fontId="1" fillId="0" borderId="12" xfId="0" applyFont="1" applyBorder="1" applyAlignment="1">
      <alignment vertical="top" readingOrder="1"/>
    </xf>
    <xf numFmtId="0" fontId="1" fillId="0" borderId="2" xfId="0" applyFont="1" applyBorder="1" applyAlignment="1">
      <alignment vertical="top" wrapText="1" readingOrder="1"/>
    </xf>
    <xf numFmtId="0" fontId="6" fillId="0" borderId="1" xfId="0" applyFont="1" applyBorder="1" applyAlignment="1">
      <alignment horizontal="center" wrapText="1"/>
    </xf>
    <xf numFmtId="0" fontId="1" fillId="0" borderId="6" xfId="0" applyFont="1" applyBorder="1" applyAlignment="1">
      <alignment vertical="top" wrapText="1" readingOrder="1"/>
    </xf>
    <xf numFmtId="0" fontId="1" fillId="0" borderId="10" xfId="0" applyFont="1" applyBorder="1" applyAlignment="1">
      <alignment vertical="top" readingOrder="1"/>
    </xf>
    <xf numFmtId="0" fontId="1" fillId="12" borderId="7" xfId="0" applyFont="1" applyFill="1" applyBorder="1" applyAlignment="1">
      <alignment vertical="top" wrapText="1" readingOrder="1"/>
    </xf>
    <xf numFmtId="0" fontId="1" fillId="0" borderId="6" xfId="0" applyFont="1" applyBorder="1" applyAlignment="1">
      <alignment horizontal="center" vertical="top" readingOrder="1"/>
    </xf>
    <xf numFmtId="0" fontId="2" fillId="0" borderId="7" xfId="0" applyFont="1" applyBorder="1" applyAlignment="1">
      <alignment vertical="top" readingOrder="1"/>
    </xf>
    <xf numFmtId="0" fontId="2" fillId="0" borderId="7" xfId="0" applyFont="1" applyBorder="1" applyAlignment="1">
      <alignment vertical="top" wrapText="1" readingOrder="1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vertical="top" readingOrder="1"/>
    </xf>
    <xf numFmtId="0" fontId="2" fillId="0" borderId="6" xfId="0" applyFont="1" applyBorder="1" applyAlignment="1">
      <alignment vertical="top" wrapText="1" readingOrder="1"/>
    </xf>
    <xf numFmtId="0" fontId="1" fillId="0" borderId="9" xfId="0" applyFont="1" applyBorder="1" applyAlignment="1">
      <alignment horizontal="center" vertical="top" readingOrder="1"/>
    </xf>
    <xf numFmtId="0" fontId="2" fillId="0" borderId="15" xfId="0" applyFont="1" applyBorder="1" applyAlignment="1">
      <alignment vertical="top" readingOrder="1"/>
    </xf>
    <xf numFmtId="0" fontId="2" fillId="0" borderId="9" xfId="0" applyFont="1" applyBorder="1" applyAlignment="1">
      <alignment vertical="top" wrapText="1" readingOrder="1"/>
    </xf>
    <xf numFmtId="0" fontId="1" fillId="12" borderId="9" xfId="0" applyFont="1" applyFill="1" applyBorder="1" applyAlignment="1">
      <alignment horizontal="center" vertical="top" readingOrder="1"/>
    </xf>
    <xf numFmtId="0" fontId="2" fillId="12" borderId="8" xfId="0" applyFont="1" applyFill="1" applyBorder="1" applyAlignment="1">
      <alignment vertical="top" wrapText="1" readingOrder="1"/>
    </xf>
    <xf numFmtId="0" fontId="6" fillId="10" borderId="1" xfId="0" applyFont="1" applyFill="1" applyBorder="1" applyAlignment="1">
      <alignment horizontal="center"/>
    </xf>
    <xf numFmtId="0" fontId="2" fillId="0" borderId="8" xfId="0" applyFont="1" applyBorder="1" applyAlignment="1">
      <alignment vertical="top" wrapText="1" readingOrder="1"/>
    </xf>
    <xf numFmtId="0" fontId="6" fillId="0" borderId="1" xfId="0" applyFont="1" applyBorder="1" applyAlignment="1">
      <alignment horizontal="center"/>
    </xf>
    <xf numFmtId="0" fontId="14" fillId="13" borderId="1" xfId="0" applyFont="1" applyFill="1" applyBorder="1" applyAlignment="1">
      <alignment horizontal="center" vertical="center" wrapText="1" readingOrder="1"/>
    </xf>
    <xf numFmtId="0" fontId="14" fillId="13" borderId="17" xfId="0" applyFont="1" applyFill="1" applyBorder="1" applyAlignment="1">
      <alignment horizontal="center" vertical="center" wrapText="1" readingOrder="1"/>
    </xf>
    <xf numFmtId="0" fontId="15" fillId="0" borderId="18" xfId="0" applyFont="1" applyBorder="1" applyAlignment="1">
      <alignment horizontal="center" vertical="center" wrapText="1" readingOrder="1"/>
    </xf>
    <xf numFmtId="0" fontId="15" fillId="14" borderId="19" xfId="0" applyFont="1" applyFill="1" applyBorder="1" applyAlignment="1">
      <alignment horizontal="left" vertical="center" wrapText="1" readingOrder="1"/>
    </xf>
    <xf numFmtId="0" fontId="15" fillId="0" borderId="19" xfId="0" applyFont="1" applyBorder="1" applyAlignment="1">
      <alignment horizontal="left" vertical="center" wrapText="1" readingOrder="1"/>
    </xf>
    <xf numFmtId="177" fontId="15" fillId="0" borderId="19" xfId="0" applyNumberFormat="1" applyFont="1" applyBorder="1" applyAlignment="1">
      <alignment horizontal="center" vertical="center" wrapText="1" readingOrder="1"/>
    </xf>
    <xf numFmtId="0" fontId="15" fillId="0" borderId="19" xfId="0" applyFont="1" applyBorder="1" applyAlignment="1">
      <alignment horizontal="center" vertical="center" wrapText="1" readingOrder="1"/>
    </xf>
    <xf numFmtId="0" fontId="15" fillId="0" borderId="19" xfId="0" applyFont="1" applyBorder="1" applyAlignment="1">
      <alignment readingOrder="1"/>
    </xf>
    <xf numFmtId="0" fontId="15" fillId="0" borderId="19" xfId="0" applyFont="1" applyBorder="1" applyAlignment="1">
      <alignment wrapText="1" readingOrder="1"/>
    </xf>
    <xf numFmtId="0" fontId="15" fillId="14" borderId="19" xfId="0" applyFont="1" applyFill="1" applyBorder="1" applyAlignment="1">
      <alignment horizontal="left" vertical="center" readingOrder="1"/>
    </xf>
    <xf numFmtId="1" fontId="15" fillId="14" borderId="19" xfId="0" applyNumberFormat="1" applyFont="1" applyFill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15" fillId="14" borderId="19" xfId="0" applyFont="1" applyFill="1" applyBorder="1" applyAlignment="1" quotePrefix="1">
      <alignment horizontal="left" vertical="center" wrapText="1" readingOrder="1"/>
    </xf>
    <xf numFmtId="0" fontId="15" fillId="0" borderId="19" xfId="0" applyFont="1" applyBorder="1" applyAlignment="1" quotePrefix="1">
      <alignment horizontal="left" vertical="center" wrapText="1" readingOrder="1"/>
    </xf>
    <xf numFmtId="0" fontId="15" fillId="14" borderId="19" xfId="0" applyFont="1" applyFill="1" applyBorder="1" applyAlignment="1" quotePrefix="1">
      <alignment horizontal="left" vertical="center" readingOrder="1"/>
    </xf>
    <xf numFmtId="0" fontId="1" fillId="0" borderId="1" xfId="0" applyFont="1" applyBorder="1" applyAlignment="1" quotePrefix="1">
      <alignment vertical="top" wrapText="1"/>
    </xf>
    <xf numFmtId="177" fontId="1" fillId="0" borderId="1" xfId="0" applyNumberFormat="1" applyFont="1" applyBorder="1" applyAlignment="1" quotePrefix="1">
      <alignment horizontal="center" vertical="center" wrapText="1"/>
    </xf>
    <xf numFmtId="0" fontId="1" fillId="0" borderId="1" xfId="0" applyFont="1" applyBorder="1" applyAlignment="1" quotePrefix="1">
      <alignment horizontal="center" vertical="center" wrapText="1"/>
    </xf>
    <xf numFmtId="0" fontId="1" fillId="3" borderId="1" xfId="0" applyFont="1" applyFill="1" applyBorder="1" applyAlignment="1" quotePrefix="1">
      <alignment horizontal="left" vertical="top" wrapText="1"/>
    </xf>
    <xf numFmtId="0" fontId="7" fillId="0" borderId="13" xfId="50" applyFont="1" applyBorder="1" applyAlignment="1" quotePrefix="1">
      <alignment horizontal="left" vertical="top" wrapText="1"/>
    </xf>
    <xf numFmtId="176" fontId="1" fillId="0" borderId="1" xfId="0" applyNumberFormat="1" applyFont="1" applyBorder="1" applyAlignment="1" quotePrefix="1">
      <alignment horizontal="left" vertical="top" wrapText="1"/>
    </xf>
    <xf numFmtId="177" fontId="1" fillId="0" borderId="1" xfId="0" applyNumberFormat="1" applyFont="1" applyBorder="1" applyAlignment="1" quotePrefix="1">
      <alignment horizontal="center" vertical="top" wrapText="1"/>
    </xf>
    <xf numFmtId="0" fontId="1" fillId="3" borderId="2" xfId="0" applyFont="1" applyFill="1" applyBorder="1" applyAlignment="1" quotePrefix="1">
      <alignment vertical="top" wrapText="1"/>
    </xf>
    <xf numFmtId="0" fontId="1" fillId="3" borderId="7" xfId="0" applyFont="1" applyFill="1" applyBorder="1" applyAlignment="1" quotePrefix="1">
      <alignment vertical="top" wrapText="1"/>
    </xf>
    <xf numFmtId="0" fontId="1" fillId="0" borderId="4" xfId="0" applyFont="1" applyBorder="1" applyAlignment="1" quotePrefix="1">
      <alignment vertical="top" wrapText="1"/>
    </xf>
    <xf numFmtId="0" fontId="2" fillId="3" borderId="6" xfId="0" applyFont="1" applyFill="1" applyBorder="1" applyAlignment="1" quotePrefix="1">
      <alignment vertical="top" wrapText="1"/>
    </xf>
    <xf numFmtId="0" fontId="1" fillId="3" borderId="6" xfId="0" applyFont="1" applyFill="1" applyBorder="1" applyAlignment="1" quotePrefix="1">
      <alignment vertical="top" wrapText="1"/>
    </xf>
    <xf numFmtId="0" fontId="2" fillId="3" borderId="2" xfId="0" applyFont="1" applyFill="1" applyBorder="1" applyAlignment="1" quotePrefix="1">
      <alignment vertical="top" wrapText="1"/>
    </xf>
    <xf numFmtId="0" fontId="1" fillId="0" borderId="1" xfId="0" applyFont="1" applyBorder="1" applyAlignment="1" quotePrefix="1">
      <alignment vertical="center" wrapText="1"/>
    </xf>
    <xf numFmtId="177" fontId="1" fillId="6" borderId="8" xfId="0" applyNumberFormat="1" applyFont="1" applyFill="1" applyBorder="1" applyAlignment="1" quotePrefix="1">
      <alignment vertical="top" wrapText="1" readingOrder="1"/>
    </xf>
    <xf numFmtId="0" fontId="1" fillId="6" borderId="8" xfId="0" applyFont="1" applyFill="1" applyBorder="1" applyAlignment="1" quotePrefix="1">
      <alignment vertical="top" wrapText="1" readingOrder="1"/>
    </xf>
    <xf numFmtId="177" fontId="1" fillId="0" borderId="8" xfId="0" applyNumberFormat="1" applyFont="1" applyBorder="1" applyAlignment="1" quotePrefix="1">
      <alignment vertical="top" wrapText="1" readingOrder="1"/>
    </xf>
    <xf numFmtId="0" fontId="1" fillId="0" borderId="8" xfId="0" applyFont="1" applyBorder="1" applyAlignment="1" quotePrefix="1">
      <alignment vertical="top" wrapText="1" readingOrder="1"/>
    </xf>
    <xf numFmtId="0" fontId="1" fillId="5" borderId="1" xfId="0" applyFont="1" applyFill="1" applyBorder="1" applyAlignment="1" quotePrefix="1">
      <alignment horizontal="center" vertical="center" wrapText="1"/>
    </xf>
    <xf numFmtId="0" fontId="1" fillId="0" borderId="2" xfId="0" applyFont="1" applyBorder="1" applyAlignment="1" quotePrefix="1">
      <alignment vertical="top" wrapText="1"/>
    </xf>
    <xf numFmtId="0" fontId="1" fillId="7" borderId="7" xfId="0" applyFont="1" applyFill="1" applyBorder="1" applyAlignment="1" quotePrefix="1">
      <alignment vertical="top" wrapText="1"/>
    </xf>
    <xf numFmtId="0" fontId="7" fillId="0" borderId="3" xfId="50" applyFont="1" applyBorder="1" applyAlignment="1" quotePrefix="1">
      <alignment horizontal="left" vertical="top" wrapText="1"/>
    </xf>
    <xf numFmtId="0" fontId="1" fillId="3" borderId="1" xfId="0" applyFont="1" applyFill="1" applyBorder="1" applyAlignment="1" quotePrefix="1">
      <alignment horizontal="center" vertical="center" wrapText="1"/>
    </xf>
    <xf numFmtId="0" fontId="1" fillId="3" borderId="1" xfId="0" applyFont="1" applyFill="1" applyBorder="1" applyAlignment="1" quotePrefix="1">
      <alignment vertical="center" wrapText="1"/>
    </xf>
    <xf numFmtId="176" fontId="1" fillId="3" borderId="1" xfId="0" applyNumberFormat="1" applyFont="1" applyFill="1" applyBorder="1" applyAlignment="1" quotePrefix="1">
      <alignment horizontal="center" vertical="center" wrapText="1"/>
    </xf>
    <xf numFmtId="176" fontId="1" fillId="0" borderId="1" xfId="0" applyNumberFormat="1" applyFont="1" applyBorder="1" applyAlignment="1" quotePrefix="1">
      <alignment horizontal="center" vertical="center" wrapText="1"/>
    </xf>
    <xf numFmtId="0" fontId="1" fillId="0" borderId="9" xfId="0" applyFont="1" applyBorder="1" applyAlignment="1" quotePrefix="1">
      <alignment vertical="top" wrapText="1"/>
    </xf>
    <xf numFmtId="176" fontId="1" fillId="0" borderId="2" xfId="0" applyNumberFormat="1" applyFont="1" applyBorder="1" applyAlignment="1" quotePrefix="1">
      <alignment horizontal="center" vertical="top" wrapText="1"/>
    </xf>
    <xf numFmtId="176" fontId="1" fillId="3" borderId="1" xfId="0" applyNumberFormat="1" applyFont="1" applyFill="1" applyBorder="1" applyAlignment="1" quotePrefix="1">
      <alignment horizontal="center" vertical="top" wrapText="1"/>
    </xf>
    <xf numFmtId="176" fontId="1" fillId="0" borderId="1" xfId="0" applyNumberFormat="1" applyFont="1" applyBorder="1" applyAlignment="1" quotePrefix="1">
      <alignment horizontal="center" vertical="top" wrapText="1"/>
    </xf>
    <xf numFmtId="0" fontId="1" fillId="0" borderId="1" xfId="0" applyFont="1" applyBorder="1" applyAlignment="1" quotePrefix="1">
      <alignment horizontal="center" vertical="top" wrapText="1"/>
    </xf>
    <xf numFmtId="0" fontId="1" fillId="0" borderId="2" xfId="0" applyFont="1" applyBorder="1" applyAlignment="1" quotePrefix="1">
      <alignment horizontal="center" vertical="top" wrapText="1"/>
    </xf>
    <xf numFmtId="0" fontId="1" fillId="5" borderId="1" xfId="0" applyFont="1" applyFill="1" applyBorder="1" applyAlignment="1" quotePrefix="1">
      <alignment horizontal="center" vertical="top" wrapText="1"/>
    </xf>
    <xf numFmtId="0" fontId="1" fillId="5" borderId="1" xfId="0" applyFont="1" applyFill="1" applyBorder="1" applyAlignment="1" quotePrefix="1">
      <alignment vertical="top" wrapText="1"/>
    </xf>
    <xf numFmtId="0" fontId="1" fillId="9" borderId="6" xfId="0" applyFont="1" applyFill="1" applyBorder="1" applyAlignment="1" quotePrefix="1">
      <alignment vertical="top" wrapText="1"/>
    </xf>
    <xf numFmtId="0" fontId="1" fillId="0" borderId="0" xfId="0" applyFont="1" applyAlignment="1" quotePrefix="1">
      <alignment vertical="top" wrapText="1"/>
    </xf>
    <xf numFmtId="0" fontId="1" fillId="0" borderId="14" xfId="0" applyFont="1" applyBorder="1" applyAlignment="1" quotePrefix="1">
      <alignment vertical="top" wrapText="1" readingOrder="1"/>
    </xf>
    <xf numFmtId="0" fontId="1" fillId="0" borderId="3" xfId="0" applyFont="1" applyBorder="1" applyAlignment="1" quotePrefix="1">
      <alignment vertical="top" wrapText="1"/>
    </xf>
    <xf numFmtId="0" fontId="1" fillId="0" borderId="2" xfId="0" applyFont="1" applyBorder="1" applyAlignment="1" quotePrefix="1">
      <alignment horizontal="left" vertical="top" wrapText="1"/>
    </xf>
    <xf numFmtId="0" fontId="1" fillId="12" borderId="8" xfId="0" applyFont="1" applyFill="1" applyBorder="1" applyAlignment="1" quotePrefix="1">
      <alignment vertical="top" wrapText="1" readingOrder="1"/>
    </xf>
    <xf numFmtId="0" fontId="1" fillId="0" borderId="3" xfId="0" applyFont="1" applyBorder="1" applyAlignment="1" quotePrefix="1">
      <alignment vertical="top" wrapText="1" readingOrder="1"/>
    </xf>
    <xf numFmtId="177" fontId="1" fillId="12" borderId="8" xfId="0" applyNumberFormat="1" applyFont="1" applyFill="1" applyBorder="1" applyAlignment="1" quotePrefix="1">
      <alignment vertical="top" wrapText="1" readingOrder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drive.google.com/file/d/1FWwb9kuwEVVox56TpWfaVGDT4APKk8rd/view?usp=drive_link" TargetMode="External"/><Relationship Id="rId8" Type="http://schemas.openxmlformats.org/officeDocument/2006/relationships/hyperlink" Target="https://drive.google.com/drive/folders/14xbSEFgo4nmLenoiDpyF0GAFg4TaLkRF?usp=drive_link" TargetMode="External"/><Relationship Id="rId7" Type="http://schemas.openxmlformats.org/officeDocument/2006/relationships/hyperlink" Target="https://1drv.ms/f/c/f4f886efd947f863/IgBE8jk03D3MTK6c7inqw91VAU117D42a119HhOIobrrmvw?e=nWXGpy" TargetMode="External"/><Relationship Id="rId6" Type="http://schemas.openxmlformats.org/officeDocument/2006/relationships/hyperlink" Target="https://drive.google.com/drive/folders/1aPe9n1ns5be3hR2eaLU4Z7OsarqilHPM?usp=drive_link" TargetMode="External"/><Relationship Id="rId5" Type="http://schemas.openxmlformats.org/officeDocument/2006/relationships/hyperlink" Target="https://drive.google.com/drive/folders/1PinSM_1nrcmaofSoViVXEytSyLbn3sR7?usp=drive_link" TargetMode="External"/><Relationship Id="rId4" Type="http://schemas.openxmlformats.org/officeDocument/2006/relationships/hyperlink" Target="https://drive.google.com/drive/folders/16aBuRNg0KXRCRJ4XORmua_cwSWpdI0H8?usp=drive_link" TargetMode="External"/><Relationship Id="rId3" Type="http://schemas.openxmlformats.org/officeDocument/2006/relationships/hyperlink" Target="https://drive.google.com/file/d/1XWdW3lP5bRVxaTiy75i2MWlxrCCPhrAx/view?usp=drive_link" TargetMode="External"/><Relationship Id="rId29" Type="http://schemas.openxmlformats.org/officeDocument/2006/relationships/hyperlink" Target="https://drive.google.com/drive/folders/1obF3QRZABRWs05WKZCrvcJ1CCqpTDtr5?usp=drive_link" TargetMode="External"/><Relationship Id="rId28" Type="http://schemas.openxmlformats.org/officeDocument/2006/relationships/hyperlink" Target="https://drive.google.com/file/d/1SkDQRc6NR07qwtCJ9y7hticxcvf9gnvR/view?usp=drive_link" TargetMode="External"/><Relationship Id="rId27" Type="http://schemas.openxmlformats.org/officeDocument/2006/relationships/hyperlink" Target="https://puprtes-my.sharepoint.com/:b:/g/personal/budiputomo_pu_go_id/IQBS5F9VJZZrSLkDo2YJkNahAYLvF27CSz-Vuq0LBLlYuGk?e=yjGgDK" TargetMode="External"/><Relationship Id="rId26" Type="http://schemas.openxmlformats.org/officeDocument/2006/relationships/hyperlink" Target="https://drive.google.com/drive/folders/1u9PsfPhl_8qqaUw-tHxWTDgHSj0VmPXk" TargetMode="External"/><Relationship Id="rId25" Type="http://schemas.openxmlformats.org/officeDocument/2006/relationships/hyperlink" Target="https://drive.google.com/drive/folders/1igCKt0Qv-mUA2cmUA9m8Sr9YnzEMHC3t?usp=drive_link" TargetMode="External"/><Relationship Id="rId24" Type="http://schemas.openxmlformats.org/officeDocument/2006/relationships/hyperlink" Target="https://drive.google.com/drive/folders/1wkS3uE--R-QIieIUBQ-glRNczEIKhJmz?usp=drive_link" TargetMode="External"/><Relationship Id="rId23" Type="http://schemas.openxmlformats.org/officeDocument/2006/relationships/hyperlink" Target="https://puprtes-my.sharepoint.com/:f:/g/personal/rahmandaraf_pu_go_id/Et7aYK_qPFNAvnth8QoAmmABp5aeG6Q5hKXH3TD3JD1gIQ?e=4ZfdEK" TargetMode="External"/><Relationship Id="rId22" Type="http://schemas.openxmlformats.org/officeDocument/2006/relationships/hyperlink" Target="https://drive.google.com/file/d/1ctagdn2sGhKwHNg_AOFg0tX5Xcx9tnQE/view?usp=sharing" TargetMode="External"/><Relationship Id="rId21" Type="http://schemas.openxmlformats.org/officeDocument/2006/relationships/hyperlink" Target="https://drive.google.com/file/d/1QDz4NjUL_nzSd3ucxi8Q42y6lXbE2gpd/view?usp=sharing" TargetMode="External"/><Relationship Id="rId20" Type="http://schemas.openxmlformats.org/officeDocument/2006/relationships/hyperlink" Target="https://drive.google.com/file/d/1FRs5LoMGK5HdDuhDYcS-WUVt6nTIQjor/view?usp=sharing" TargetMode="External"/><Relationship Id="rId2" Type="http://schemas.openxmlformats.org/officeDocument/2006/relationships/hyperlink" Target="https://drive.google.com/drive/folders/13DbrcpndLbNFpjMUd_-5jYdRPveog8vA" TargetMode="External"/><Relationship Id="rId19" Type="http://schemas.openxmlformats.org/officeDocument/2006/relationships/hyperlink" Target="https://drive.google.com/file/d/1QBxcdEEOpFLRhzMP_9r013QNOmB1BUyw/view?usp=sharing" TargetMode="External"/><Relationship Id="rId18" Type="http://schemas.openxmlformats.org/officeDocument/2006/relationships/hyperlink" Target="https://drive.google.com/drive/folders/1a_halu97Fu2Sa73MmRxmJpN3gECvZtpH?usp=drive_link" TargetMode="External"/><Relationship Id="rId17" Type="http://schemas.openxmlformats.org/officeDocument/2006/relationships/hyperlink" Target="https://drive.google.com/drive/folders/1S2KfJ0_b0NyIMSQ_PAghBRXvYqqEdWbY?usp=drive_link" TargetMode="External"/><Relationship Id="rId16" Type="http://schemas.openxmlformats.org/officeDocument/2006/relationships/hyperlink" Target="https://drive.google.com/drive/folders/1ZgL98oHAEwywZfjXHHKNpee6PeefDmyo?usp=drive_link" TargetMode="External"/><Relationship Id="rId15" Type="http://schemas.openxmlformats.org/officeDocument/2006/relationships/hyperlink" Target="https://puprtes-my.sharepoint.com/:f:/g/personal/chofifa_hidayati_pu_go_id/EvGnaZxHG49AloA48Fz1GvABHXQ_1MVJcn2khVMwNuidlg?e=YEe4cc" TargetMode="External"/><Relationship Id="rId14" Type="http://schemas.openxmlformats.org/officeDocument/2006/relationships/hyperlink" Target="https://drive.google.com/drive/folders/1RbwovcCO-SzVSZ06pIVuO9cHjZAEAjZM?usp=drive_link" TargetMode="External"/><Relationship Id="rId13" Type="http://schemas.openxmlformats.org/officeDocument/2006/relationships/hyperlink" Target="https://drive.google.com/drive/folders/1EINCa-qUav1hnAZb5pPK1jvDYpoxrR9Y?usp=sharing" TargetMode="External"/><Relationship Id="rId12" Type="http://schemas.openxmlformats.org/officeDocument/2006/relationships/hyperlink" Target="https://drive.google.com/file/d/1etbXkVkeKdWXgY2d54LkGQ1ePeJNusGH/view?usp=drive_link" TargetMode="External"/><Relationship Id="rId11" Type="http://schemas.openxmlformats.org/officeDocument/2006/relationships/hyperlink" Target="https://drive.google.com/file/d/1-Eb8XnGfkNTuz9uTXB1M2mqv0nbLa1yO/view?usp=drive_link" TargetMode="External"/><Relationship Id="rId10" Type="http://schemas.openxmlformats.org/officeDocument/2006/relationships/hyperlink" Target="https://drive.google.com/file/d/1xPZ-5fVTeAj3NPbRDnytGp5XP0FHpOJ6/view?usp=drive_link" TargetMode="External"/><Relationship Id="rId1" Type="http://schemas.openxmlformats.org/officeDocument/2006/relationships/hyperlink" Target="https://drive.google.com/drive/folders/1jiXm9rrXSDCswVlZBDiSwIisce2JBM-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35"/>
  <sheetViews>
    <sheetView topLeftCell="A17" workbookViewId="0">
      <selection activeCell="D19" sqref="D19"/>
    </sheetView>
  </sheetViews>
  <sheetFormatPr defaultColWidth="9" defaultRowHeight="16.8"/>
  <cols>
    <col min="1" max="1" width="4.859375" customWidth="1"/>
    <col min="2" max="2" width="31.859375" customWidth="1"/>
    <col min="3" max="3" width="21.140625" customWidth="1"/>
    <col min="4" max="4" width="15" customWidth="1"/>
    <col min="5" max="5" width="27.140625" customWidth="1"/>
    <col min="6" max="6" width="19.4296875" customWidth="1"/>
    <col min="7" max="8" width="11.7109375" customWidth="1"/>
    <col min="9" max="9" width="13.140625" customWidth="1"/>
    <col min="10" max="10" width="29.859375" customWidth="1"/>
  </cols>
  <sheetData>
    <row r="3" ht="29" spans="1:10">
      <c r="A3" s="397" t="s">
        <v>0</v>
      </c>
      <c r="B3" s="398" t="s">
        <v>1</v>
      </c>
      <c r="C3" s="398" t="s">
        <v>2</v>
      </c>
      <c r="D3" s="398" t="s">
        <v>3</v>
      </c>
      <c r="E3" s="398" t="s">
        <v>4</v>
      </c>
      <c r="F3" s="398" t="s">
        <v>5</v>
      </c>
      <c r="G3" s="398" t="s">
        <v>6</v>
      </c>
      <c r="H3" s="398" t="s">
        <v>7</v>
      </c>
      <c r="I3" s="398" t="s">
        <v>8</v>
      </c>
      <c r="J3" s="398" t="s">
        <v>9</v>
      </c>
    </row>
    <row r="4" ht="29" spans="1:10">
      <c r="A4" s="399">
        <v>1</v>
      </c>
      <c r="B4" s="400" t="s">
        <v>10</v>
      </c>
      <c r="C4" s="409" t="s">
        <v>11</v>
      </c>
      <c r="D4" s="410" t="s">
        <v>12</v>
      </c>
      <c r="E4" s="400" t="s">
        <v>13</v>
      </c>
      <c r="F4" s="400" t="s">
        <v>14</v>
      </c>
      <c r="G4" s="402">
        <v>44286</v>
      </c>
      <c r="H4" s="402">
        <v>45352</v>
      </c>
      <c r="I4" s="403">
        <v>101.042</v>
      </c>
      <c r="J4" s="404"/>
    </row>
    <row r="5" ht="29" spans="1:10">
      <c r="A5" s="399">
        <v>2</v>
      </c>
      <c r="B5" s="400" t="s">
        <v>15</v>
      </c>
      <c r="C5" s="409" t="s">
        <v>16</v>
      </c>
      <c r="D5" s="410" t="s">
        <v>17</v>
      </c>
      <c r="E5" s="400" t="s">
        <v>13</v>
      </c>
      <c r="F5" s="400" t="s">
        <v>14</v>
      </c>
      <c r="G5" s="402">
        <v>43374</v>
      </c>
      <c r="H5" s="402">
        <v>44197</v>
      </c>
      <c r="I5" s="403">
        <v>0</v>
      </c>
      <c r="J5" s="405" t="s">
        <v>18</v>
      </c>
    </row>
    <row r="6" ht="29" spans="1:10">
      <c r="A6" s="399">
        <v>3</v>
      </c>
      <c r="B6" s="400" t="s">
        <v>19</v>
      </c>
      <c r="C6" s="409" t="s">
        <v>20</v>
      </c>
      <c r="D6" s="411" t="s">
        <v>21</v>
      </c>
      <c r="E6" s="400" t="s">
        <v>22</v>
      </c>
      <c r="F6" s="400" t="s">
        <v>23</v>
      </c>
      <c r="G6" s="402">
        <v>45017</v>
      </c>
      <c r="H6" s="402">
        <v>45566</v>
      </c>
      <c r="I6" s="403">
        <v>162.5</v>
      </c>
      <c r="J6" s="404"/>
    </row>
    <row r="7" ht="29" spans="1:10">
      <c r="A7" s="399">
        <v>4</v>
      </c>
      <c r="B7" s="400" t="s">
        <v>24</v>
      </c>
      <c r="C7" s="407">
        <v>1.97103072007011e+17</v>
      </c>
      <c r="D7" s="411" t="s">
        <v>25</v>
      </c>
      <c r="E7" s="400" t="s">
        <v>13</v>
      </c>
      <c r="F7" s="400" t="s">
        <v>26</v>
      </c>
      <c r="G7" s="402">
        <v>44835</v>
      </c>
      <c r="H7" s="402">
        <v>45352</v>
      </c>
      <c r="I7" s="403">
        <v>37.5</v>
      </c>
      <c r="J7" s="404"/>
    </row>
    <row r="8" ht="29" spans="1:10">
      <c r="A8" s="399">
        <v>5</v>
      </c>
      <c r="B8" s="400" t="s">
        <v>27</v>
      </c>
      <c r="C8" s="407">
        <v>1.99609182019032e+17</v>
      </c>
      <c r="D8" s="411" t="s">
        <v>28</v>
      </c>
      <c r="E8" s="400" t="s">
        <v>13</v>
      </c>
      <c r="F8" s="400" t="s">
        <v>14</v>
      </c>
      <c r="G8" s="402">
        <v>45200</v>
      </c>
      <c r="H8" s="402">
        <v>44044</v>
      </c>
      <c r="I8" s="403">
        <v>110.45</v>
      </c>
      <c r="J8" s="404"/>
    </row>
    <row r="9" ht="29" spans="1:10">
      <c r="A9" s="399">
        <v>6</v>
      </c>
      <c r="B9" s="400" t="s">
        <v>29</v>
      </c>
      <c r="C9" s="407">
        <v>1.98405012010122e+17</v>
      </c>
      <c r="D9" s="411" t="s">
        <v>30</v>
      </c>
      <c r="E9" s="400" t="s">
        <v>22</v>
      </c>
      <c r="F9" s="400" t="s">
        <v>23</v>
      </c>
      <c r="G9" s="402">
        <v>44287</v>
      </c>
      <c r="H9" s="402">
        <v>45566</v>
      </c>
      <c r="I9" s="403">
        <v>215.625</v>
      </c>
      <c r="J9" s="404"/>
    </row>
    <row r="10" ht="29" spans="1:10">
      <c r="A10" s="399">
        <v>7</v>
      </c>
      <c r="B10" s="400" t="s">
        <v>31</v>
      </c>
      <c r="C10" s="407">
        <v>1.98901072020121e+17</v>
      </c>
      <c r="D10" s="411" t="s">
        <v>32</v>
      </c>
      <c r="E10" s="400" t="s">
        <v>13</v>
      </c>
      <c r="F10" s="400" t="s">
        <v>14</v>
      </c>
      <c r="G10" s="402">
        <v>44166</v>
      </c>
      <c r="H10" s="402">
        <v>44166</v>
      </c>
      <c r="I10" s="403">
        <v>0</v>
      </c>
      <c r="J10" s="405" t="s">
        <v>18</v>
      </c>
    </row>
    <row r="11" ht="29" spans="1:10">
      <c r="A11" s="399">
        <v>8</v>
      </c>
      <c r="B11" s="400" t="s">
        <v>33</v>
      </c>
      <c r="C11" s="407">
        <v>1.99103092019031e+17</v>
      </c>
      <c r="D11" s="411" t="s">
        <v>34</v>
      </c>
      <c r="E11" s="400" t="s">
        <v>13</v>
      </c>
      <c r="F11" s="400" t="s">
        <v>14</v>
      </c>
      <c r="G11" s="402">
        <v>45689</v>
      </c>
      <c r="H11" s="402">
        <v>44013</v>
      </c>
      <c r="I11" s="403">
        <v>80.75</v>
      </c>
      <c r="J11" s="404"/>
    </row>
    <row r="12" ht="29" spans="1:10">
      <c r="A12" s="399">
        <v>9</v>
      </c>
      <c r="B12" s="400" t="s">
        <v>35</v>
      </c>
      <c r="C12" s="407">
        <v>1.98902192019031e+17</v>
      </c>
      <c r="D12" s="411" t="s">
        <v>36</v>
      </c>
      <c r="E12" s="400" t="s">
        <v>13</v>
      </c>
      <c r="F12" s="400" t="s">
        <v>37</v>
      </c>
      <c r="G12" s="402">
        <v>43525</v>
      </c>
      <c r="H12" s="402">
        <v>44013</v>
      </c>
      <c r="I12" s="403">
        <v>46.5</v>
      </c>
      <c r="J12" s="404"/>
    </row>
    <row r="13" ht="29" spans="1:10">
      <c r="A13" s="399">
        <v>10</v>
      </c>
      <c r="B13" s="400" t="s">
        <v>38</v>
      </c>
      <c r="C13" s="407">
        <v>1.99104052019031e+17</v>
      </c>
      <c r="D13" s="411" t="s">
        <v>39</v>
      </c>
      <c r="E13" s="400" t="s">
        <v>13</v>
      </c>
      <c r="F13" s="400" t="s">
        <v>26</v>
      </c>
      <c r="G13" s="402">
        <v>45566</v>
      </c>
      <c r="H13" s="402">
        <v>43525</v>
      </c>
      <c r="I13" s="403">
        <v>88.25</v>
      </c>
      <c r="J13" s="404"/>
    </row>
    <row r="14" ht="29" spans="1:10">
      <c r="A14" s="399">
        <v>11</v>
      </c>
      <c r="B14" s="400" t="s">
        <v>40</v>
      </c>
      <c r="C14" s="407">
        <v>1.99403092020122e+17</v>
      </c>
      <c r="D14" s="411" t="s">
        <v>41</v>
      </c>
      <c r="E14" s="400" t="s">
        <v>13</v>
      </c>
      <c r="F14" s="400" t="s">
        <v>14</v>
      </c>
      <c r="G14" s="402">
        <v>45689</v>
      </c>
      <c r="H14" s="402">
        <v>44593</v>
      </c>
      <c r="I14" s="403">
        <v>83.94</v>
      </c>
      <c r="J14" s="404"/>
    </row>
    <row r="15" ht="29" spans="1:10">
      <c r="A15" s="399">
        <v>12</v>
      </c>
      <c r="B15" s="400" t="s">
        <v>42</v>
      </c>
      <c r="C15" s="407">
        <v>1.99211052020122e+17</v>
      </c>
      <c r="D15" s="411" t="s">
        <v>43</v>
      </c>
      <c r="E15" s="400" t="s">
        <v>22</v>
      </c>
      <c r="F15" s="400" t="s">
        <v>14</v>
      </c>
      <c r="G15" s="402">
        <v>45931</v>
      </c>
      <c r="H15" s="402">
        <v>45839</v>
      </c>
      <c r="I15" s="403">
        <v>18.75</v>
      </c>
      <c r="J15" s="404"/>
    </row>
    <row r="16" ht="29" spans="1:10">
      <c r="A16" s="399">
        <v>13</v>
      </c>
      <c r="B16" s="400" t="s">
        <v>44</v>
      </c>
      <c r="C16" s="407">
        <v>1.99505132020122e+17</v>
      </c>
      <c r="D16" s="411" t="s">
        <v>45</v>
      </c>
      <c r="E16" s="400" t="s">
        <v>13</v>
      </c>
      <c r="F16" s="400" t="s">
        <v>14</v>
      </c>
      <c r="G16" s="402">
        <v>46023</v>
      </c>
      <c r="H16" s="402">
        <v>45962</v>
      </c>
      <c r="I16" s="403">
        <v>6.25</v>
      </c>
      <c r="J16" s="404"/>
    </row>
    <row r="17" ht="29" spans="1:10">
      <c r="A17" s="399">
        <v>14</v>
      </c>
      <c r="B17" s="400" t="s">
        <v>46</v>
      </c>
      <c r="C17" s="407">
        <v>1.99510242020121e+17</v>
      </c>
      <c r="D17" s="411" t="s">
        <v>47</v>
      </c>
      <c r="E17" s="400" t="s">
        <v>13</v>
      </c>
      <c r="F17" s="400" t="s">
        <v>14</v>
      </c>
      <c r="G17" s="402">
        <v>45566</v>
      </c>
      <c r="H17" s="402">
        <v>44593</v>
      </c>
      <c r="I17" s="403">
        <v>85.2</v>
      </c>
      <c r="J17" s="404"/>
    </row>
    <row r="18" ht="29" spans="1:10">
      <c r="A18" s="399">
        <v>15</v>
      </c>
      <c r="B18" s="400" t="s">
        <v>48</v>
      </c>
      <c r="C18" s="407">
        <v>1.99209262020122e+17</v>
      </c>
      <c r="D18" s="411" t="s">
        <v>49</v>
      </c>
      <c r="E18" s="400" t="s">
        <v>13</v>
      </c>
      <c r="F18" s="400" t="s">
        <v>14</v>
      </c>
      <c r="G18" s="402">
        <v>46023</v>
      </c>
      <c r="H18" s="402">
        <v>45962</v>
      </c>
      <c r="I18" s="403">
        <v>4.167</v>
      </c>
      <c r="J18" s="404"/>
    </row>
    <row r="19" ht="29" spans="1:10">
      <c r="A19" s="399">
        <v>16</v>
      </c>
      <c r="B19" s="400" t="s">
        <v>50</v>
      </c>
      <c r="C19" s="407">
        <v>1.99503292020122e+17</v>
      </c>
      <c r="D19" s="411" t="s">
        <v>51</v>
      </c>
      <c r="E19" s="400" t="s">
        <v>13</v>
      </c>
      <c r="F19" s="400" t="s">
        <v>14</v>
      </c>
      <c r="G19" s="402">
        <v>45931</v>
      </c>
      <c r="H19" s="402">
        <v>44593</v>
      </c>
      <c r="I19" s="403">
        <v>69.48</v>
      </c>
      <c r="J19" s="404"/>
    </row>
    <row r="20" ht="29" spans="1:10">
      <c r="A20" s="399">
        <v>17</v>
      </c>
      <c r="B20" s="400" t="s">
        <v>52</v>
      </c>
      <c r="C20" s="407">
        <v>1.98606102010122e+17</v>
      </c>
      <c r="D20" s="411" t="s">
        <v>53</v>
      </c>
      <c r="E20" s="400" t="s">
        <v>22</v>
      </c>
      <c r="F20" s="400" t="s">
        <v>23</v>
      </c>
      <c r="G20" s="402">
        <v>45017</v>
      </c>
      <c r="H20" s="402">
        <v>45566</v>
      </c>
      <c r="I20" s="403">
        <v>156.25</v>
      </c>
      <c r="J20" s="404"/>
    </row>
    <row r="21" ht="29" spans="1:10">
      <c r="A21" s="399">
        <v>18</v>
      </c>
      <c r="B21" s="400" t="s">
        <v>54</v>
      </c>
      <c r="C21" s="407">
        <v>1.99507152020121e+17</v>
      </c>
      <c r="D21" s="411" t="s">
        <v>55</v>
      </c>
      <c r="E21" s="400" t="s">
        <v>13</v>
      </c>
      <c r="F21" s="400" t="s">
        <v>14</v>
      </c>
      <c r="G21" s="402">
        <v>45873</v>
      </c>
      <c r="H21" s="402">
        <v>44593</v>
      </c>
      <c r="I21" s="403">
        <v>63.192</v>
      </c>
      <c r="J21" s="404"/>
    </row>
    <row r="22" ht="29" spans="1:10">
      <c r="A22" s="399">
        <v>19</v>
      </c>
      <c r="B22" s="400" t="s">
        <v>56</v>
      </c>
      <c r="C22" s="407">
        <v>1.99501012020121e+17</v>
      </c>
      <c r="D22" s="411" t="s">
        <v>57</v>
      </c>
      <c r="E22" s="400" t="s">
        <v>13</v>
      </c>
      <c r="F22" s="400" t="s">
        <v>14</v>
      </c>
      <c r="G22" s="402">
        <v>45748</v>
      </c>
      <c r="H22" s="402">
        <v>44593</v>
      </c>
      <c r="I22" s="403">
        <v>65.26</v>
      </c>
      <c r="J22" s="404"/>
    </row>
    <row r="23" ht="29" spans="1:10">
      <c r="A23" s="399">
        <v>20</v>
      </c>
      <c r="B23" s="400" t="s">
        <v>58</v>
      </c>
      <c r="C23" s="407">
        <v>1.99010082020121e+17</v>
      </c>
      <c r="D23" s="411" t="s">
        <v>59</v>
      </c>
      <c r="E23" s="400" t="s">
        <v>13</v>
      </c>
      <c r="F23" s="400" t="s">
        <v>26</v>
      </c>
      <c r="G23" s="402">
        <v>44531</v>
      </c>
      <c r="H23" s="402">
        <v>44593</v>
      </c>
      <c r="I23" s="403">
        <v>53.81</v>
      </c>
      <c r="J23" s="404"/>
    </row>
    <row r="24" spans="1:10">
      <c r="A24" s="408"/>
      <c r="G24" s="408"/>
      <c r="H24" s="408"/>
      <c r="I24" s="408"/>
    </row>
    <row r="25" spans="1:10">
      <c r="A25" s="408"/>
      <c r="G25" s="408"/>
      <c r="H25" s="408"/>
      <c r="I25" s="408"/>
    </row>
    <row r="26" spans="1:10">
      <c r="A26" s="408"/>
      <c r="G26" s="408"/>
      <c r="H26" s="408"/>
      <c r="I26" s="408"/>
    </row>
    <row r="27" spans="1:10">
      <c r="A27" s="408"/>
      <c r="G27" s="408"/>
      <c r="H27" s="408"/>
      <c r="I27" s="408"/>
    </row>
    <row r="28" spans="1:10">
      <c r="A28" s="408"/>
      <c r="G28" s="408"/>
      <c r="H28" s="408"/>
      <c r="I28" s="408"/>
    </row>
    <row r="29" spans="1:10">
      <c r="A29" s="408"/>
      <c r="G29" s="408"/>
      <c r="H29" s="408"/>
      <c r="I29" s="408"/>
    </row>
    <row r="30" spans="1:10">
      <c r="A30" s="408"/>
      <c r="G30" s="408"/>
      <c r="H30" s="408"/>
      <c r="I30" s="408"/>
    </row>
    <row r="31" spans="1:10">
      <c r="A31" s="408"/>
      <c r="G31" s="408"/>
      <c r="H31" s="408"/>
      <c r="I31" s="408"/>
    </row>
    <row r="32" spans="1:10">
      <c r="A32" s="408"/>
      <c r="G32" s="408"/>
      <c r="H32" s="408"/>
      <c r="I32" s="408"/>
    </row>
    <row r="33" spans="1:9">
      <c r="A33" s="408"/>
      <c r="G33" s="408"/>
      <c r="H33" s="408"/>
      <c r="I33" s="408"/>
    </row>
    <row r="34" spans="1:9">
      <c r="A34" s="408"/>
      <c r="G34" s="408"/>
      <c r="H34" s="408"/>
      <c r="I34" s="408"/>
    </row>
    <row r="35" spans="1:9">
      <c r="A35" s="408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D1227"/>
  <sheetViews>
    <sheetView workbookViewId="0">
      <selection activeCell="A7" sqref="A7"/>
    </sheetView>
  </sheetViews>
  <sheetFormatPr defaultColWidth="9" defaultRowHeight="15.75" customHeight="1"/>
  <cols>
    <col min="1" max="1" width="4.4296875" style="2" customWidth="1"/>
    <col min="2" max="2" width="28.859375" style="2" customWidth="1"/>
    <col min="3" max="3" width="26.2890625" style="3" customWidth="1"/>
    <col min="4" max="4" width="28.4296875" style="2" customWidth="1"/>
    <col min="5" max="5" width="20.7109375" style="2" customWidth="1"/>
    <col min="6" max="6" width="25.4296875" style="2" customWidth="1"/>
    <col min="7" max="9" width="22.859375" style="2" customWidth="1"/>
    <col min="10" max="11" width="8.4296875" style="2" customWidth="1"/>
    <col min="12" max="12" width="7.5703125" style="2" customWidth="1"/>
    <col min="13" max="13" width="13.2890625" style="2" customWidth="1"/>
    <col min="14" max="14" width="27.140625" style="2" customWidth="1"/>
    <col min="15" max="15" width="11.5703125" style="2" customWidth="1"/>
    <col min="16" max="16" width="19.7109375" customWidth="1"/>
    <col min="17" max="17" width="13.5703125" customWidth="1"/>
    <col min="18" max="30" width="8.5703125" customWidth="1"/>
  </cols>
  <sheetData>
    <row r="1" ht="16.8" spans="1:30">
      <c r="A1" s="4" t="s">
        <v>60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customHeight="1" spans="1:30">
      <c r="A2" s="6" t="s">
        <v>61</v>
      </c>
    </row>
    <row r="3" ht="30.75" customHeight="1" spans="1:30">
      <c r="A3" s="7" t="s">
        <v>0</v>
      </c>
      <c r="B3" s="7" t="s">
        <v>62</v>
      </c>
      <c r="C3" s="7" t="s">
        <v>63</v>
      </c>
      <c r="D3" s="7" t="s">
        <v>64</v>
      </c>
      <c r="E3" s="7"/>
      <c r="F3" s="7"/>
      <c r="G3" s="7"/>
      <c r="H3" s="7"/>
      <c r="I3" s="7"/>
      <c r="J3" s="7"/>
      <c r="K3" s="7"/>
      <c r="L3" s="7"/>
      <c r="M3" s="7"/>
      <c r="N3" s="7" t="s">
        <v>65</v>
      </c>
    </row>
    <row r="4" ht="47.25" customHeight="1" spans="1:30">
      <c r="A4" s="8"/>
      <c r="B4" s="8"/>
      <c r="C4" s="8"/>
      <c r="D4" s="7" t="s">
        <v>66</v>
      </c>
      <c r="E4" s="7" t="s">
        <v>67</v>
      </c>
      <c r="F4" s="7" t="s">
        <v>68</v>
      </c>
      <c r="G4" s="7" t="s">
        <v>69</v>
      </c>
      <c r="H4" s="7" t="s">
        <v>70</v>
      </c>
      <c r="I4" s="7" t="s">
        <v>71</v>
      </c>
      <c r="J4" s="7" t="s">
        <v>72</v>
      </c>
      <c r="K4" s="7" t="s">
        <v>73</v>
      </c>
      <c r="L4" s="7" t="s">
        <v>74</v>
      </c>
      <c r="M4" s="8" t="s">
        <v>75</v>
      </c>
      <c r="N4" s="7"/>
      <c r="O4" s="9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ht="63" customHeight="1" spans="1:30">
      <c r="A5" s="11">
        <v>1</v>
      </c>
      <c r="B5" s="12" t="s">
        <v>76</v>
      </c>
      <c r="C5" s="13" t="s">
        <v>77</v>
      </c>
      <c r="D5" s="14" t="s">
        <v>78</v>
      </c>
      <c r="E5" s="15">
        <v>45775</v>
      </c>
      <c r="F5" s="16" t="s">
        <v>79</v>
      </c>
      <c r="G5" s="16" t="s">
        <v>80</v>
      </c>
      <c r="H5" s="17" t="s">
        <v>81</v>
      </c>
      <c r="I5" s="17" t="s">
        <v>81</v>
      </c>
      <c r="J5" s="17" t="s">
        <v>81</v>
      </c>
      <c r="K5" s="18">
        <v>2</v>
      </c>
      <c r="L5" s="19">
        <f>SUM(K5:K14)</f>
        <v>95</v>
      </c>
      <c r="M5" s="20" t="str">
        <f>IF(L5&gt;=20,"Memenuhi","Tidak Memenuhi")</f>
        <v>Memenuhi</v>
      </c>
      <c r="N5" s="21"/>
    </row>
    <row r="6" ht="51.2" spans="1:30">
      <c r="A6" s="22"/>
      <c r="B6" s="23"/>
      <c r="C6" s="24"/>
      <c r="D6" s="25" t="s">
        <v>82</v>
      </c>
      <c r="E6" s="26">
        <v>45728</v>
      </c>
      <c r="F6" s="27" t="s">
        <v>83</v>
      </c>
      <c r="G6" s="27" t="s">
        <v>84</v>
      </c>
      <c r="H6" s="28" t="s">
        <v>81</v>
      </c>
      <c r="I6" s="28" t="s">
        <v>81</v>
      </c>
      <c r="J6" s="28"/>
      <c r="K6" s="28">
        <v>4</v>
      </c>
      <c r="L6" s="29"/>
      <c r="M6" s="30"/>
      <c r="N6" s="31"/>
      <c r="O6" s="32"/>
      <c r="P6" s="33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</row>
    <row r="7" ht="68" spans="1:30">
      <c r="A7" s="22"/>
      <c r="B7" s="23"/>
      <c r="C7" s="24"/>
      <c r="D7" s="25" t="s">
        <v>85</v>
      </c>
      <c r="E7" s="26">
        <v>45796</v>
      </c>
      <c r="F7" s="27" t="s">
        <v>79</v>
      </c>
      <c r="G7" s="27" t="s">
        <v>86</v>
      </c>
      <c r="H7" s="27"/>
      <c r="I7" s="28" t="s">
        <v>81</v>
      </c>
      <c r="J7" s="28" t="s">
        <v>81</v>
      </c>
      <c r="K7" s="28">
        <v>2</v>
      </c>
      <c r="L7" s="29"/>
      <c r="M7" s="30"/>
      <c r="N7" s="31"/>
      <c r="O7" s="32"/>
      <c r="P7" s="33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ht="33" customHeight="1" spans="1:30">
      <c r="A8" s="22"/>
      <c r="B8" s="23"/>
      <c r="C8" s="24"/>
      <c r="D8" s="25" t="s">
        <v>87</v>
      </c>
      <c r="E8" s="28" t="s">
        <v>88</v>
      </c>
      <c r="F8" s="27" t="s">
        <v>89</v>
      </c>
      <c r="G8" s="27" t="s">
        <v>90</v>
      </c>
      <c r="H8" s="28" t="s">
        <v>81</v>
      </c>
      <c r="I8" s="27"/>
      <c r="J8" s="28" t="s">
        <v>81</v>
      </c>
      <c r="K8" s="28">
        <v>13</v>
      </c>
      <c r="L8" s="29"/>
      <c r="M8" s="30"/>
      <c r="N8" s="31"/>
      <c r="O8" s="32"/>
      <c r="P8" s="33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ht="51.2" spans="1:30">
      <c r="A9" s="22"/>
      <c r="B9" s="23"/>
      <c r="C9" s="24"/>
      <c r="D9" s="25" t="s">
        <v>91</v>
      </c>
      <c r="E9" s="26">
        <v>45716</v>
      </c>
      <c r="F9" s="27" t="s">
        <v>83</v>
      </c>
      <c r="G9" s="27" t="s">
        <v>92</v>
      </c>
      <c r="H9" s="28" t="s">
        <v>81</v>
      </c>
      <c r="I9" s="28" t="s">
        <v>81</v>
      </c>
      <c r="J9" s="28"/>
      <c r="K9" s="28">
        <v>4</v>
      </c>
      <c r="L9" s="29"/>
      <c r="M9" s="30"/>
      <c r="N9" s="31"/>
      <c r="O9" s="32"/>
      <c r="P9" s="33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</row>
    <row r="10" ht="84" spans="1:30">
      <c r="A10" s="35"/>
      <c r="B10" s="36"/>
      <c r="C10" s="37"/>
      <c r="D10" s="38" t="s">
        <v>93</v>
      </c>
      <c r="E10" s="39" t="s">
        <v>94</v>
      </c>
      <c r="F10" s="40" t="s">
        <v>79</v>
      </c>
      <c r="G10" s="40" t="s">
        <v>95</v>
      </c>
      <c r="H10" s="27"/>
      <c r="I10" s="28" t="s">
        <v>81</v>
      </c>
      <c r="J10" s="28" t="s">
        <v>81</v>
      </c>
      <c r="K10" s="39">
        <v>6</v>
      </c>
      <c r="L10" s="41"/>
      <c r="M10" s="42"/>
      <c r="N10" s="40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</row>
    <row r="11" ht="60" customHeight="1" spans="1:30">
      <c r="A11" s="35"/>
      <c r="B11" s="36"/>
      <c r="C11" s="44"/>
      <c r="D11" s="38" t="s">
        <v>96</v>
      </c>
      <c r="E11" s="39" t="s">
        <v>97</v>
      </c>
      <c r="F11" s="40" t="s">
        <v>98</v>
      </c>
      <c r="G11" s="40" t="s">
        <v>99</v>
      </c>
      <c r="H11" s="28" t="s">
        <v>81</v>
      </c>
      <c r="I11" s="27"/>
      <c r="J11" s="28" t="s">
        <v>81</v>
      </c>
      <c r="K11" s="39">
        <v>3</v>
      </c>
      <c r="L11" s="41"/>
      <c r="M11" s="42"/>
      <c r="N11" s="45"/>
    </row>
    <row r="12" ht="51.2" spans="1:30">
      <c r="A12" s="22"/>
      <c r="B12" s="23"/>
      <c r="C12" s="46" t="s">
        <v>100</v>
      </c>
      <c r="D12" s="47" t="s">
        <v>101</v>
      </c>
      <c r="E12" s="28" t="s">
        <v>102</v>
      </c>
      <c r="F12" s="27" t="s">
        <v>103</v>
      </c>
      <c r="G12" s="27" t="s">
        <v>104</v>
      </c>
      <c r="H12" s="28" t="s">
        <v>81</v>
      </c>
      <c r="I12" s="28" t="s">
        <v>81</v>
      </c>
      <c r="J12" s="28"/>
      <c r="K12" s="28">
        <v>54</v>
      </c>
      <c r="L12" s="29"/>
      <c r="M12" s="30"/>
      <c r="N12" s="31"/>
      <c r="O12" s="32"/>
      <c r="P12" s="33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</row>
    <row r="13" ht="51.2" spans="1:30">
      <c r="A13" s="22"/>
      <c r="B13" s="23"/>
      <c r="C13" s="48" t="s">
        <v>105</v>
      </c>
      <c r="D13" s="47" t="s">
        <v>106</v>
      </c>
      <c r="E13" s="26">
        <v>45708</v>
      </c>
      <c r="F13" s="27" t="s">
        <v>107</v>
      </c>
      <c r="G13" s="49" t="s">
        <v>108</v>
      </c>
      <c r="H13" s="27"/>
      <c r="I13" s="28" t="s">
        <v>81</v>
      </c>
      <c r="J13" s="28" t="s">
        <v>81</v>
      </c>
      <c r="K13" s="28">
        <v>3</v>
      </c>
      <c r="L13" s="29"/>
      <c r="M13" s="30"/>
      <c r="N13" s="31"/>
      <c r="P13" s="50" t="s">
        <v>109</v>
      </c>
      <c r="Q13" s="51">
        <f>COUNTIF(M5:M347,"Tidak Memenuhi")</f>
        <v>2</v>
      </c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</row>
    <row r="14" ht="68" spans="1:30">
      <c r="A14" s="22"/>
      <c r="B14" s="23"/>
      <c r="C14" s="52" t="s">
        <v>105</v>
      </c>
      <c r="D14" s="47" t="s">
        <v>110</v>
      </c>
      <c r="E14" s="26">
        <v>45715</v>
      </c>
      <c r="F14" s="27" t="s">
        <v>111</v>
      </c>
      <c r="G14" s="27" t="s">
        <v>112</v>
      </c>
      <c r="H14" s="28" t="s">
        <v>81</v>
      </c>
      <c r="I14" s="27"/>
      <c r="J14" s="28" t="s">
        <v>81</v>
      </c>
      <c r="K14" s="28">
        <v>4</v>
      </c>
      <c r="L14" s="29"/>
      <c r="M14" s="30"/>
      <c r="N14" s="31"/>
      <c r="O14" s="32"/>
      <c r="P14" s="50" t="s">
        <v>113</v>
      </c>
      <c r="Q14" s="51">
        <f>COUNTIF(M5:M347,"Memenuhi")</f>
        <v>52</v>
      </c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</row>
    <row r="15" ht="57.75" customHeight="1" spans="1:30">
      <c r="A15" s="11">
        <v>2</v>
      </c>
      <c r="B15" s="53" t="s">
        <v>114</v>
      </c>
      <c r="C15" s="13" t="s">
        <v>77</v>
      </c>
      <c r="D15" s="54" t="s">
        <v>115</v>
      </c>
      <c r="E15" s="55">
        <v>45708</v>
      </c>
      <c r="F15" s="56" t="s">
        <v>116</v>
      </c>
      <c r="G15" s="56" t="s">
        <v>117</v>
      </c>
      <c r="H15" s="28" t="s">
        <v>81</v>
      </c>
      <c r="I15" s="28" t="s">
        <v>81</v>
      </c>
      <c r="J15" s="28"/>
      <c r="K15" s="57">
        <v>20</v>
      </c>
      <c r="L15" s="58">
        <f>SUM(K15:K28)</f>
        <v>170</v>
      </c>
      <c r="M15" s="20" t="str">
        <f>IF(L15&gt;=20,"Memenuhi","Tidak Memenuhi")</f>
        <v>Memenuhi</v>
      </c>
      <c r="N15" s="59" t="s">
        <v>118</v>
      </c>
    </row>
    <row r="16" ht="34" spans="1:30">
      <c r="A16" s="60"/>
      <c r="B16" s="61"/>
      <c r="C16" s="62"/>
      <c r="D16" s="25" t="s">
        <v>119</v>
      </c>
      <c r="E16" s="63">
        <v>45908</v>
      </c>
      <c r="F16" s="47" t="s">
        <v>116</v>
      </c>
      <c r="G16" s="47" t="s">
        <v>120</v>
      </c>
      <c r="H16" s="27"/>
      <c r="I16" s="28" t="s">
        <v>81</v>
      </c>
      <c r="J16" s="28" t="s">
        <v>81</v>
      </c>
      <c r="K16" s="64">
        <v>13</v>
      </c>
      <c r="L16" s="65"/>
      <c r="M16" s="66"/>
      <c r="N16" s="67"/>
    </row>
    <row r="17" ht="54.75" customHeight="1" spans="1:16">
      <c r="A17" s="22"/>
      <c r="B17" s="68"/>
      <c r="C17" s="69"/>
      <c r="D17" s="25" t="s">
        <v>121</v>
      </c>
      <c r="E17" s="64" t="s">
        <v>122</v>
      </c>
      <c r="F17" s="47" t="s">
        <v>123</v>
      </c>
      <c r="G17" s="47" t="s">
        <v>124</v>
      </c>
      <c r="H17" s="28" t="s">
        <v>81</v>
      </c>
      <c r="I17" s="27"/>
      <c r="J17" s="28" t="s">
        <v>81</v>
      </c>
      <c r="K17" s="64">
        <v>4</v>
      </c>
      <c r="L17" s="29"/>
      <c r="M17" s="30"/>
      <c r="N17" s="27"/>
    </row>
    <row r="18" ht="34" spans="1:16">
      <c r="A18" s="60"/>
      <c r="B18" s="70"/>
      <c r="C18" s="71" t="s">
        <v>125</v>
      </c>
      <c r="D18" s="72" t="s">
        <v>126</v>
      </c>
      <c r="E18" s="73" t="s">
        <v>127</v>
      </c>
      <c r="F18" s="72" t="s">
        <v>128</v>
      </c>
      <c r="G18" s="72" t="s">
        <v>129</v>
      </c>
      <c r="H18" s="28" t="s">
        <v>81</v>
      </c>
      <c r="I18" s="28" t="s">
        <v>81</v>
      </c>
      <c r="J18" s="28"/>
      <c r="K18" s="74">
        <v>38</v>
      </c>
      <c r="L18" s="75"/>
      <c r="M18" s="76"/>
      <c r="N18" s="45"/>
      <c r="O18" s="77"/>
      <c r="P18" s="77">
        <f>Q14+Q13</f>
        <v>54</v>
      </c>
    </row>
    <row r="19" ht="71.25" customHeight="1" spans="1:16">
      <c r="A19" s="60"/>
      <c r="B19" s="78"/>
      <c r="C19" s="79" t="s">
        <v>130</v>
      </c>
      <c r="D19" s="72" t="s">
        <v>131</v>
      </c>
      <c r="E19" s="73" t="s">
        <v>132</v>
      </c>
      <c r="F19" s="72" t="s">
        <v>133</v>
      </c>
      <c r="G19" s="72" t="s">
        <v>134</v>
      </c>
      <c r="H19" s="27"/>
      <c r="I19" s="28" t="s">
        <v>81</v>
      </c>
      <c r="J19" s="28" t="s">
        <v>81</v>
      </c>
      <c r="K19" s="74">
        <v>16</v>
      </c>
      <c r="L19" s="75"/>
      <c r="M19" s="76"/>
      <c r="N19" s="67" t="s">
        <v>118</v>
      </c>
    </row>
    <row r="20" ht="43.5" customHeight="1" spans="1:16">
      <c r="A20" s="60"/>
      <c r="B20" s="70"/>
      <c r="C20" s="79" t="s">
        <v>105</v>
      </c>
      <c r="D20" s="72" t="s">
        <v>106</v>
      </c>
      <c r="E20" s="73">
        <v>45708</v>
      </c>
      <c r="F20" s="72" t="s">
        <v>107</v>
      </c>
      <c r="G20" s="72" t="s">
        <v>135</v>
      </c>
      <c r="H20" s="28" t="s">
        <v>81</v>
      </c>
      <c r="I20" s="27"/>
      <c r="J20" s="28" t="s">
        <v>81</v>
      </c>
      <c r="K20" s="74">
        <v>3</v>
      </c>
      <c r="L20" s="75"/>
      <c r="M20" s="76"/>
      <c r="N20" s="67" t="s">
        <v>118</v>
      </c>
    </row>
    <row r="21" ht="68" spans="1:16">
      <c r="A21" s="60"/>
      <c r="B21" s="70"/>
      <c r="C21" s="79" t="s">
        <v>136</v>
      </c>
      <c r="D21" s="72" t="s">
        <v>110</v>
      </c>
      <c r="E21" s="73">
        <v>45715</v>
      </c>
      <c r="F21" s="72" t="s">
        <v>111</v>
      </c>
      <c r="G21" s="72" t="s">
        <v>137</v>
      </c>
      <c r="H21" s="28" t="s">
        <v>81</v>
      </c>
      <c r="I21" s="28" t="s">
        <v>81</v>
      </c>
      <c r="J21" s="28"/>
      <c r="K21" s="74">
        <v>4</v>
      </c>
      <c r="L21" s="75"/>
      <c r="M21" s="76"/>
      <c r="N21" s="67" t="s">
        <v>118</v>
      </c>
    </row>
    <row r="22" ht="44.25" customHeight="1" spans="1:16">
      <c r="A22" s="60"/>
      <c r="B22" s="70"/>
      <c r="C22" s="80" t="s">
        <v>138</v>
      </c>
      <c r="D22" s="72" t="s">
        <v>101</v>
      </c>
      <c r="E22" s="73" t="s">
        <v>139</v>
      </c>
      <c r="F22" s="72" t="s">
        <v>140</v>
      </c>
      <c r="G22" s="72" t="s">
        <v>141</v>
      </c>
      <c r="H22" s="27"/>
      <c r="I22" s="28" t="s">
        <v>81</v>
      </c>
      <c r="J22" s="28" t="s">
        <v>81</v>
      </c>
      <c r="K22" s="74">
        <v>54</v>
      </c>
      <c r="L22" s="75"/>
      <c r="M22" s="76"/>
      <c r="N22" s="67" t="s">
        <v>118</v>
      </c>
    </row>
    <row r="23" ht="45.75" customHeight="1" spans="1:16">
      <c r="A23" s="60"/>
      <c r="B23" s="70"/>
      <c r="C23" s="80" t="s">
        <v>142</v>
      </c>
      <c r="D23" s="79" t="s">
        <v>143</v>
      </c>
      <c r="E23" s="73" t="s">
        <v>144</v>
      </c>
      <c r="F23" s="72" t="s">
        <v>145</v>
      </c>
      <c r="G23" s="72" t="s">
        <v>146</v>
      </c>
      <c r="H23" s="28" t="s">
        <v>81</v>
      </c>
      <c r="I23" s="27"/>
      <c r="J23" s="28" t="s">
        <v>81</v>
      </c>
      <c r="K23" s="74">
        <v>2</v>
      </c>
      <c r="L23" s="75"/>
      <c r="M23" s="76"/>
      <c r="N23" s="67" t="s">
        <v>118</v>
      </c>
    </row>
    <row r="24" ht="51" spans="1:16">
      <c r="A24" s="60"/>
      <c r="B24" s="70"/>
      <c r="C24" s="78"/>
      <c r="D24" s="79" t="s">
        <v>147</v>
      </c>
      <c r="E24" s="73">
        <v>45796</v>
      </c>
      <c r="F24" s="72" t="s">
        <v>145</v>
      </c>
      <c r="G24" s="72" t="s">
        <v>148</v>
      </c>
      <c r="H24" s="28" t="s">
        <v>81</v>
      </c>
      <c r="I24" s="28" t="s">
        <v>81</v>
      </c>
      <c r="J24" s="28"/>
      <c r="K24" s="74">
        <v>2</v>
      </c>
      <c r="L24" s="75"/>
      <c r="M24" s="76"/>
      <c r="N24" s="67" t="s">
        <v>118</v>
      </c>
    </row>
    <row r="25" ht="68" spans="1:16">
      <c r="A25" s="35"/>
      <c r="B25" s="81"/>
      <c r="C25" s="78"/>
      <c r="D25" s="38" t="s">
        <v>149</v>
      </c>
      <c r="E25" s="82" t="s">
        <v>150</v>
      </c>
      <c r="F25" s="83" t="s">
        <v>145</v>
      </c>
      <c r="G25" s="83" t="s">
        <v>151</v>
      </c>
      <c r="H25" s="27"/>
      <c r="I25" s="28" t="s">
        <v>81</v>
      </c>
      <c r="J25" s="28" t="s">
        <v>81</v>
      </c>
      <c r="K25" s="82">
        <v>2</v>
      </c>
      <c r="L25" s="41"/>
      <c r="M25" s="42"/>
      <c r="N25" s="45"/>
    </row>
    <row r="26" ht="77.25" customHeight="1" spans="1:16">
      <c r="A26" s="35"/>
      <c r="B26" s="81"/>
      <c r="C26" s="78"/>
      <c r="D26" s="38" t="s">
        <v>152</v>
      </c>
      <c r="E26" s="82" t="s">
        <v>153</v>
      </c>
      <c r="F26" s="83" t="s">
        <v>154</v>
      </c>
      <c r="G26" s="83" t="s">
        <v>155</v>
      </c>
      <c r="H26" s="28" t="s">
        <v>81</v>
      </c>
      <c r="I26" s="27"/>
      <c r="J26" s="28" t="s">
        <v>81</v>
      </c>
      <c r="K26" s="82">
        <v>2</v>
      </c>
      <c r="L26" s="41"/>
      <c r="M26" s="42"/>
      <c r="N26" s="21"/>
    </row>
    <row r="27" ht="74.25" customHeight="1" spans="1:16">
      <c r="A27" s="22"/>
      <c r="B27" s="68"/>
      <c r="C27" s="78"/>
      <c r="D27" s="25" t="s">
        <v>156</v>
      </c>
      <c r="E27" s="64" t="s">
        <v>157</v>
      </c>
      <c r="F27" s="47" t="s">
        <v>158</v>
      </c>
      <c r="G27" s="47" t="s">
        <v>159</v>
      </c>
      <c r="H27" s="28" t="s">
        <v>81</v>
      </c>
      <c r="I27" s="28" t="s">
        <v>81</v>
      </c>
      <c r="J27" s="28"/>
      <c r="K27" s="64">
        <v>4</v>
      </c>
      <c r="L27" s="29"/>
      <c r="M27" s="30"/>
      <c r="N27" s="27"/>
    </row>
    <row r="28" ht="101.25" customHeight="1" spans="1:16">
      <c r="A28" s="22"/>
      <c r="B28" s="68"/>
      <c r="C28" s="71"/>
      <c r="D28" s="25" t="s">
        <v>160</v>
      </c>
      <c r="E28" s="64" t="s">
        <v>161</v>
      </c>
      <c r="F28" s="47" t="s">
        <v>79</v>
      </c>
      <c r="G28" s="47" t="s">
        <v>162</v>
      </c>
      <c r="H28" s="27"/>
      <c r="I28" s="28" t="s">
        <v>81</v>
      </c>
      <c r="J28" s="28" t="s">
        <v>81</v>
      </c>
      <c r="K28" s="64">
        <v>6</v>
      </c>
      <c r="L28" s="29"/>
      <c r="M28" s="30"/>
      <c r="N28" s="27"/>
    </row>
    <row r="29" ht="67.5" customHeight="1" spans="1:16">
      <c r="A29" s="84">
        <v>3</v>
      </c>
      <c r="B29" s="85" t="s">
        <v>163</v>
      </c>
      <c r="C29" s="54" t="s">
        <v>164</v>
      </c>
      <c r="D29" s="16" t="s">
        <v>115</v>
      </c>
      <c r="E29" s="15">
        <v>45716</v>
      </c>
      <c r="F29" s="16" t="s">
        <v>116</v>
      </c>
      <c r="G29" s="16" t="s">
        <v>117</v>
      </c>
      <c r="H29" s="28" t="s">
        <v>81</v>
      </c>
      <c r="I29" s="27"/>
      <c r="J29" s="28" t="s">
        <v>81</v>
      </c>
      <c r="K29" s="18">
        <v>20</v>
      </c>
      <c r="L29" s="19">
        <f>SUM(K29:K55)</f>
        <v>170</v>
      </c>
      <c r="M29" s="86" t="str">
        <f>IF(L29&gt;=20,"Memenuhi","Tidak Memenuhi")</f>
        <v>Memenuhi</v>
      </c>
      <c r="N29" s="87" t="s">
        <v>165</v>
      </c>
    </row>
    <row r="30" ht="45" customHeight="1" spans="1:16">
      <c r="A30" s="88"/>
      <c r="B30" s="89"/>
      <c r="C30" s="79" t="s">
        <v>105</v>
      </c>
      <c r="D30" s="72" t="s">
        <v>166</v>
      </c>
      <c r="E30" s="82" t="s">
        <v>167</v>
      </c>
      <c r="F30" s="83" t="s">
        <v>111</v>
      </c>
      <c r="G30" s="83" t="s">
        <v>168</v>
      </c>
      <c r="H30" s="28" t="s">
        <v>81</v>
      </c>
      <c r="I30" s="28" t="s">
        <v>81</v>
      </c>
      <c r="J30" s="28"/>
      <c r="K30" s="82">
        <v>4</v>
      </c>
      <c r="L30" s="41"/>
      <c r="M30" s="90"/>
      <c r="N30" s="91"/>
    </row>
    <row r="31" ht="75" customHeight="1" spans="1:16">
      <c r="A31" s="92"/>
      <c r="B31" s="93"/>
      <c r="C31" s="79" t="s">
        <v>164</v>
      </c>
      <c r="D31" s="72" t="s">
        <v>169</v>
      </c>
      <c r="E31" s="82" t="s">
        <v>170</v>
      </c>
      <c r="F31" s="82" t="s">
        <v>171</v>
      </c>
      <c r="G31" s="83" t="s">
        <v>172</v>
      </c>
      <c r="H31" s="27"/>
      <c r="I31" s="28" t="s">
        <v>81</v>
      </c>
      <c r="J31" s="28" t="s">
        <v>81</v>
      </c>
      <c r="K31" s="82">
        <v>6</v>
      </c>
      <c r="L31" s="94"/>
      <c r="M31" s="95"/>
      <c r="N31" s="91"/>
    </row>
    <row r="32" ht="76.5" customHeight="1" spans="1:16">
      <c r="A32" s="92"/>
      <c r="B32" s="96"/>
      <c r="C32" s="79" t="s">
        <v>105</v>
      </c>
      <c r="D32" s="72" t="s">
        <v>173</v>
      </c>
      <c r="E32" s="74" t="s">
        <v>174</v>
      </c>
      <c r="F32" s="72" t="s">
        <v>175</v>
      </c>
      <c r="G32" s="74" t="s">
        <v>176</v>
      </c>
      <c r="H32" s="28" t="s">
        <v>81</v>
      </c>
      <c r="I32" s="27"/>
      <c r="J32" s="28" t="s">
        <v>81</v>
      </c>
      <c r="K32" s="74">
        <v>4</v>
      </c>
      <c r="L32" s="94"/>
      <c r="M32" s="95"/>
      <c r="N32" s="91"/>
    </row>
    <row r="33" ht="34" spans="1:14">
      <c r="A33" s="92"/>
      <c r="B33" s="96"/>
      <c r="C33" s="79" t="s">
        <v>105</v>
      </c>
      <c r="D33" s="72" t="s">
        <v>177</v>
      </c>
      <c r="E33" s="74" t="s">
        <v>178</v>
      </c>
      <c r="F33" s="72" t="s">
        <v>179</v>
      </c>
      <c r="G33" s="412" t="s">
        <v>180</v>
      </c>
      <c r="H33" s="28" t="s">
        <v>81</v>
      </c>
      <c r="I33" s="28" t="s">
        <v>81</v>
      </c>
      <c r="J33" s="28"/>
      <c r="K33" s="74">
        <v>25</v>
      </c>
      <c r="L33" s="94"/>
      <c r="M33" s="95"/>
      <c r="N33" s="91"/>
    </row>
    <row r="34" ht="51" spans="1:14">
      <c r="A34" s="92"/>
      <c r="B34" s="96"/>
      <c r="C34" s="79" t="s">
        <v>105</v>
      </c>
      <c r="D34" s="72" t="s">
        <v>181</v>
      </c>
      <c r="E34" s="73">
        <v>45848</v>
      </c>
      <c r="F34" s="72" t="s">
        <v>182</v>
      </c>
      <c r="G34" s="74" t="s">
        <v>183</v>
      </c>
      <c r="H34" s="27"/>
      <c r="I34" s="28" t="s">
        <v>81</v>
      </c>
      <c r="J34" s="28" t="s">
        <v>81</v>
      </c>
      <c r="K34" s="74"/>
      <c r="L34" s="94"/>
      <c r="M34" s="95"/>
      <c r="N34" s="91"/>
    </row>
    <row r="35" ht="51" spans="1:14">
      <c r="A35" s="92"/>
      <c r="B35" s="96"/>
      <c r="C35" s="79" t="s">
        <v>105</v>
      </c>
      <c r="D35" s="45" t="s">
        <v>184</v>
      </c>
      <c r="E35" s="97">
        <v>45853</v>
      </c>
      <c r="F35" s="45" t="s">
        <v>185</v>
      </c>
      <c r="G35" s="98" t="s">
        <v>186</v>
      </c>
      <c r="H35" s="28" t="s">
        <v>81</v>
      </c>
      <c r="I35" s="27"/>
      <c r="J35" s="28" t="s">
        <v>81</v>
      </c>
      <c r="K35" s="98">
        <v>2</v>
      </c>
      <c r="L35" s="94"/>
      <c r="M35" s="95"/>
      <c r="N35" s="91"/>
    </row>
    <row r="36" ht="51" spans="1:14">
      <c r="A36" s="92"/>
      <c r="B36" s="96"/>
      <c r="C36" s="79" t="s">
        <v>164</v>
      </c>
      <c r="D36" s="45" t="s">
        <v>187</v>
      </c>
      <c r="E36" s="97">
        <v>45868</v>
      </c>
      <c r="F36" s="45" t="s">
        <v>188</v>
      </c>
      <c r="G36" s="98" t="s">
        <v>189</v>
      </c>
      <c r="H36" s="28" t="s">
        <v>81</v>
      </c>
      <c r="I36" s="28" t="s">
        <v>81</v>
      </c>
      <c r="J36" s="28"/>
      <c r="K36" s="98">
        <v>3</v>
      </c>
      <c r="L36" s="94"/>
      <c r="M36" s="95"/>
      <c r="N36" s="91"/>
    </row>
    <row r="37" ht="101" spans="1:14">
      <c r="A37" s="92"/>
      <c r="B37" s="96"/>
      <c r="C37" s="79" t="s">
        <v>105</v>
      </c>
      <c r="D37" s="45" t="s">
        <v>190</v>
      </c>
      <c r="E37" s="97">
        <v>45869</v>
      </c>
      <c r="F37" s="45" t="s">
        <v>175</v>
      </c>
      <c r="G37" s="98" t="s">
        <v>176</v>
      </c>
      <c r="H37" s="27"/>
      <c r="I37" s="28" t="s">
        <v>81</v>
      </c>
      <c r="J37" s="28" t="s">
        <v>81</v>
      </c>
      <c r="K37" s="98">
        <v>4</v>
      </c>
      <c r="L37" s="94"/>
      <c r="M37" s="95"/>
      <c r="N37" s="91"/>
    </row>
    <row r="38" ht="68" spans="1:14">
      <c r="A38" s="92"/>
      <c r="B38" s="96"/>
      <c r="C38" s="79" t="s">
        <v>164</v>
      </c>
      <c r="D38" s="45" t="s">
        <v>191</v>
      </c>
      <c r="E38" s="97">
        <v>45876</v>
      </c>
      <c r="F38" s="45" t="s">
        <v>192</v>
      </c>
      <c r="G38" s="45" t="s">
        <v>193</v>
      </c>
      <c r="H38" s="28" t="s">
        <v>81</v>
      </c>
      <c r="I38" s="27"/>
      <c r="J38" s="28" t="s">
        <v>81</v>
      </c>
      <c r="K38" s="98">
        <v>2</v>
      </c>
      <c r="L38" s="94"/>
      <c r="M38" s="95"/>
      <c r="N38" s="91"/>
    </row>
    <row r="39" ht="51" spans="1:14">
      <c r="A39" s="92"/>
      <c r="B39" s="96"/>
      <c r="C39" s="79" t="s">
        <v>105</v>
      </c>
      <c r="D39" s="45" t="s">
        <v>194</v>
      </c>
      <c r="E39" s="97">
        <v>45889</v>
      </c>
      <c r="F39" s="45" t="s">
        <v>185</v>
      </c>
      <c r="G39" s="45" t="s">
        <v>195</v>
      </c>
      <c r="H39" s="28" t="s">
        <v>81</v>
      </c>
      <c r="I39" s="28" t="s">
        <v>81</v>
      </c>
      <c r="J39" s="28"/>
      <c r="K39" s="98">
        <v>2</v>
      </c>
      <c r="L39" s="94"/>
      <c r="M39" s="95"/>
      <c r="N39" s="91"/>
    </row>
    <row r="40" ht="68" spans="1:14">
      <c r="A40" s="92"/>
      <c r="B40" s="96"/>
      <c r="C40" s="79" t="s">
        <v>105</v>
      </c>
      <c r="D40" s="45" t="s">
        <v>196</v>
      </c>
      <c r="E40" s="97">
        <v>45894</v>
      </c>
      <c r="F40" s="45" t="s">
        <v>197</v>
      </c>
      <c r="G40" s="45"/>
      <c r="H40" s="27"/>
      <c r="I40" s="28" t="s">
        <v>81</v>
      </c>
      <c r="J40" s="28" t="s">
        <v>81</v>
      </c>
      <c r="K40" s="98">
        <v>3</v>
      </c>
      <c r="L40" s="94"/>
      <c r="M40" s="95"/>
      <c r="N40" s="91"/>
    </row>
    <row r="41" ht="84" spans="1:14">
      <c r="A41" s="92"/>
      <c r="B41" s="96"/>
      <c r="C41" s="79" t="s">
        <v>105</v>
      </c>
      <c r="D41" s="45" t="s">
        <v>198</v>
      </c>
      <c r="E41" s="97">
        <v>45894</v>
      </c>
      <c r="F41" s="45" t="s">
        <v>199</v>
      </c>
      <c r="G41" s="45" t="s">
        <v>200</v>
      </c>
      <c r="H41" s="28" t="s">
        <v>81</v>
      </c>
      <c r="I41" s="27"/>
      <c r="J41" s="28" t="s">
        <v>81</v>
      </c>
      <c r="K41" s="98">
        <v>4</v>
      </c>
      <c r="L41" s="94"/>
      <c r="M41" s="95"/>
      <c r="N41" s="91"/>
    </row>
    <row r="42" ht="68" spans="1:14">
      <c r="A42" s="92"/>
      <c r="B42" s="96"/>
      <c r="C42" s="79" t="s">
        <v>105</v>
      </c>
      <c r="D42" s="45" t="s">
        <v>201</v>
      </c>
      <c r="E42" s="98" t="s">
        <v>202</v>
      </c>
      <c r="F42" s="45" t="s">
        <v>203</v>
      </c>
      <c r="G42" s="45" t="s">
        <v>204</v>
      </c>
      <c r="H42" s="28" t="s">
        <v>81</v>
      </c>
      <c r="I42" s="28" t="s">
        <v>81</v>
      </c>
      <c r="J42" s="28"/>
      <c r="K42" s="98">
        <v>2</v>
      </c>
      <c r="L42" s="94"/>
      <c r="M42" s="95"/>
      <c r="N42" s="91"/>
    </row>
    <row r="43" ht="51" spans="1:14">
      <c r="A43" s="92"/>
      <c r="B43" s="96"/>
      <c r="C43" s="79" t="s">
        <v>164</v>
      </c>
      <c r="D43" s="45" t="s">
        <v>119</v>
      </c>
      <c r="E43" s="98" t="s">
        <v>205</v>
      </c>
      <c r="F43" s="45" t="s">
        <v>116</v>
      </c>
      <c r="G43" s="45" t="s">
        <v>206</v>
      </c>
      <c r="H43" s="27"/>
      <c r="I43" s="28" t="s">
        <v>81</v>
      </c>
      <c r="J43" s="28" t="s">
        <v>81</v>
      </c>
      <c r="K43" s="98">
        <v>13</v>
      </c>
      <c r="L43" s="94"/>
      <c r="M43" s="95"/>
      <c r="N43" s="91"/>
    </row>
    <row r="44" ht="84" spans="1:14">
      <c r="A44" s="92"/>
      <c r="B44" s="96"/>
      <c r="C44" s="79" t="s">
        <v>164</v>
      </c>
      <c r="D44" s="45" t="s">
        <v>207</v>
      </c>
      <c r="E44" s="97">
        <v>45926</v>
      </c>
      <c r="F44" s="45" t="s">
        <v>79</v>
      </c>
      <c r="G44" s="45" t="s">
        <v>208</v>
      </c>
      <c r="H44" s="28" t="s">
        <v>81</v>
      </c>
      <c r="I44" s="27"/>
      <c r="J44" s="28" t="s">
        <v>81</v>
      </c>
      <c r="K44" s="98">
        <v>2</v>
      </c>
      <c r="L44" s="94"/>
      <c r="M44" s="95"/>
      <c r="N44" s="91"/>
    </row>
    <row r="45" ht="34" spans="1:14">
      <c r="A45" s="92"/>
      <c r="B45" s="96"/>
      <c r="C45" s="79" t="s">
        <v>105</v>
      </c>
      <c r="D45" s="45" t="s">
        <v>209</v>
      </c>
      <c r="E45" s="97">
        <v>45953</v>
      </c>
      <c r="F45" s="45" t="s">
        <v>210</v>
      </c>
      <c r="G45" s="45" t="s">
        <v>211</v>
      </c>
      <c r="H45" s="28" t="s">
        <v>81</v>
      </c>
      <c r="I45" s="28" t="s">
        <v>81</v>
      </c>
      <c r="J45" s="28"/>
      <c r="K45" s="98">
        <v>2</v>
      </c>
      <c r="L45" s="94"/>
      <c r="M45" s="95"/>
      <c r="N45" s="91"/>
    </row>
    <row r="46" ht="84" spans="1:14">
      <c r="A46" s="92"/>
      <c r="B46" s="96"/>
      <c r="C46" s="79" t="s">
        <v>105</v>
      </c>
      <c r="D46" s="45" t="s">
        <v>212</v>
      </c>
      <c r="E46" s="98" t="s">
        <v>213</v>
      </c>
      <c r="F46" s="45" t="s">
        <v>214</v>
      </c>
      <c r="G46" s="45" t="s">
        <v>215</v>
      </c>
      <c r="H46" s="27"/>
      <c r="I46" s="28" t="s">
        <v>81</v>
      </c>
      <c r="J46" s="28" t="s">
        <v>81</v>
      </c>
      <c r="K46" s="98">
        <v>2</v>
      </c>
      <c r="L46" s="94"/>
      <c r="M46" s="95"/>
      <c r="N46" s="91"/>
    </row>
    <row r="47" ht="51" spans="1:14">
      <c r="A47" s="92"/>
      <c r="B47" s="96"/>
      <c r="C47" s="79" t="s">
        <v>164</v>
      </c>
      <c r="D47" s="45" t="s">
        <v>216</v>
      </c>
      <c r="E47" s="98" t="s">
        <v>217</v>
      </c>
      <c r="F47" s="45" t="s">
        <v>218</v>
      </c>
      <c r="G47" s="45" t="s">
        <v>219</v>
      </c>
      <c r="H47" s="28" t="s">
        <v>81</v>
      </c>
      <c r="I47" s="27"/>
      <c r="J47" s="28" t="s">
        <v>81</v>
      </c>
      <c r="K47" s="98">
        <v>12</v>
      </c>
      <c r="L47" s="94"/>
      <c r="M47" s="95"/>
      <c r="N47" s="91"/>
    </row>
    <row r="48" ht="51" spans="1:14">
      <c r="A48" s="92"/>
      <c r="B48" s="96"/>
      <c r="C48" s="79" t="s">
        <v>164</v>
      </c>
      <c r="D48" s="45" t="s">
        <v>220</v>
      </c>
      <c r="E48" s="98" t="s">
        <v>221</v>
      </c>
      <c r="F48" s="45" t="s">
        <v>218</v>
      </c>
      <c r="G48" s="45" t="s">
        <v>222</v>
      </c>
      <c r="H48" s="28" t="s">
        <v>81</v>
      </c>
      <c r="I48" s="28" t="s">
        <v>81</v>
      </c>
      <c r="J48" s="28"/>
      <c r="K48" s="98">
        <v>11</v>
      </c>
      <c r="L48" s="94"/>
      <c r="M48" s="95"/>
      <c r="N48" s="91"/>
    </row>
    <row r="49" ht="34" spans="1:14">
      <c r="A49" s="92"/>
      <c r="B49" s="96"/>
      <c r="C49" s="79" t="s">
        <v>105</v>
      </c>
      <c r="D49" s="45" t="s">
        <v>223</v>
      </c>
      <c r="E49" s="97">
        <v>45981</v>
      </c>
      <c r="F49" s="45" t="s">
        <v>185</v>
      </c>
      <c r="G49" s="45" t="s">
        <v>224</v>
      </c>
      <c r="H49" s="27"/>
      <c r="I49" s="28" t="s">
        <v>81</v>
      </c>
      <c r="J49" s="28" t="s">
        <v>81</v>
      </c>
      <c r="K49" s="98">
        <v>2</v>
      </c>
      <c r="L49" s="94"/>
      <c r="M49" s="95"/>
      <c r="N49" s="91"/>
    </row>
    <row r="50" ht="68" spans="1:14">
      <c r="A50" s="92"/>
      <c r="B50" s="96"/>
      <c r="C50" s="79" t="s">
        <v>164</v>
      </c>
      <c r="D50" s="45" t="s">
        <v>225</v>
      </c>
      <c r="E50" s="97">
        <v>45982</v>
      </c>
      <c r="F50" s="45" t="s">
        <v>79</v>
      </c>
      <c r="G50" s="45" t="s">
        <v>226</v>
      </c>
      <c r="H50" s="28" t="s">
        <v>81</v>
      </c>
      <c r="I50" s="27"/>
      <c r="J50" s="28" t="s">
        <v>81</v>
      </c>
      <c r="K50" s="98">
        <v>2</v>
      </c>
      <c r="L50" s="94"/>
      <c r="M50" s="95"/>
      <c r="N50" s="91"/>
    </row>
    <row r="51" ht="132" customHeight="1" spans="1:14">
      <c r="A51" s="92"/>
      <c r="B51" s="96"/>
      <c r="C51" s="79" t="s">
        <v>105</v>
      </c>
      <c r="D51" s="72" t="s">
        <v>227</v>
      </c>
      <c r="E51" s="97">
        <v>45978</v>
      </c>
      <c r="F51" s="45" t="s">
        <v>228</v>
      </c>
      <c r="G51" s="45" t="s">
        <v>229</v>
      </c>
      <c r="H51" s="28" t="s">
        <v>81</v>
      </c>
      <c r="I51" s="28" t="s">
        <v>81</v>
      </c>
      <c r="J51" s="28"/>
      <c r="K51" s="98">
        <v>3</v>
      </c>
      <c r="L51" s="94"/>
      <c r="M51" s="95"/>
      <c r="N51" s="91"/>
    </row>
    <row r="52" ht="51" spans="1:14">
      <c r="A52" s="92"/>
      <c r="B52" s="96"/>
      <c r="C52" s="79" t="s">
        <v>105</v>
      </c>
      <c r="D52" s="45" t="s">
        <v>230</v>
      </c>
      <c r="E52" s="98" t="s">
        <v>231</v>
      </c>
      <c r="F52" s="45" t="s">
        <v>232</v>
      </c>
      <c r="G52" s="45" t="s">
        <v>233</v>
      </c>
      <c r="H52" s="27"/>
      <c r="I52" s="28" t="s">
        <v>81</v>
      </c>
      <c r="J52" s="28" t="s">
        <v>81</v>
      </c>
      <c r="K52" s="98">
        <v>10</v>
      </c>
      <c r="L52" s="94"/>
      <c r="M52" s="95"/>
      <c r="N52" s="91"/>
    </row>
    <row r="53" ht="68" spans="1:14">
      <c r="A53" s="92"/>
      <c r="B53" s="96"/>
      <c r="C53" s="79" t="s">
        <v>164</v>
      </c>
      <c r="D53" s="45" t="s">
        <v>234</v>
      </c>
      <c r="E53" s="98" t="s">
        <v>235</v>
      </c>
      <c r="F53" s="45" t="s">
        <v>232</v>
      </c>
      <c r="G53" s="45" t="s">
        <v>236</v>
      </c>
      <c r="H53" s="28" t="s">
        <v>81</v>
      </c>
      <c r="I53" s="27"/>
      <c r="J53" s="28" t="s">
        <v>81</v>
      </c>
      <c r="K53" s="98">
        <v>10</v>
      </c>
      <c r="L53" s="94"/>
      <c r="M53" s="95"/>
      <c r="N53" s="91"/>
    </row>
    <row r="54" ht="68" spans="1:14">
      <c r="A54" s="92"/>
      <c r="B54" s="96"/>
      <c r="C54" s="79" t="s">
        <v>164</v>
      </c>
      <c r="D54" s="45" t="s">
        <v>237</v>
      </c>
      <c r="E54" s="98" t="s">
        <v>238</v>
      </c>
      <c r="F54" s="45" t="s">
        <v>232</v>
      </c>
      <c r="G54" s="45" t="s">
        <v>239</v>
      </c>
      <c r="H54" s="28" t="s">
        <v>81</v>
      </c>
      <c r="I54" s="28" t="s">
        <v>81</v>
      </c>
      <c r="J54" s="28"/>
      <c r="K54" s="98">
        <v>10</v>
      </c>
      <c r="L54" s="94"/>
      <c r="M54" s="95"/>
      <c r="N54" s="91"/>
    </row>
    <row r="55" ht="68" spans="1:14">
      <c r="A55" s="99"/>
      <c r="B55" s="100"/>
      <c r="C55" s="79" t="s">
        <v>164</v>
      </c>
      <c r="D55" s="45" t="s">
        <v>240</v>
      </c>
      <c r="E55" s="98" t="s">
        <v>241</v>
      </c>
      <c r="F55" s="45" t="s">
        <v>232</v>
      </c>
      <c r="G55" s="45" t="s">
        <v>242</v>
      </c>
      <c r="H55" s="27"/>
      <c r="I55" s="28" t="s">
        <v>81</v>
      </c>
      <c r="J55" s="28" t="s">
        <v>81</v>
      </c>
      <c r="K55" s="98">
        <v>10</v>
      </c>
      <c r="L55" s="94"/>
      <c r="M55" s="95"/>
      <c r="N55" s="91"/>
    </row>
    <row r="56" ht="43.5" customHeight="1" spans="1:14">
      <c r="A56" s="92"/>
      <c r="B56" s="100"/>
      <c r="C56" s="80" t="s">
        <v>243</v>
      </c>
      <c r="D56" s="98" t="s">
        <v>244</v>
      </c>
      <c r="E56" s="413" t="s">
        <v>245</v>
      </c>
      <c r="F56" s="98" t="s">
        <v>246</v>
      </c>
      <c r="G56" s="98" t="s">
        <v>247</v>
      </c>
      <c r="H56" s="28" t="s">
        <v>81</v>
      </c>
      <c r="I56" s="27"/>
      <c r="J56" s="28" t="s">
        <v>81</v>
      </c>
      <c r="K56" s="98" t="s">
        <v>176</v>
      </c>
      <c r="L56" s="94"/>
      <c r="M56" s="95"/>
      <c r="N56" s="91"/>
    </row>
    <row r="57" ht="63" customHeight="1" spans="1:14">
      <c r="A57" s="11">
        <v>4</v>
      </c>
      <c r="B57" s="102" t="s">
        <v>248</v>
      </c>
      <c r="C57" s="103" t="s">
        <v>164</v>
      </c>
      <c r="D57" s="14" t="s">
        <v>249</v>
      </c>
      <c r="E57" s="18" t="s">
        <v>250</v>
      </c>
      <c r="F57" s="16" t="s">
        <v>116</v>
      </c>
      <c r="G57" s="16" t="s">
        <v>251</v>
      </c>
      <c r="H57" s="28" t="s">
        <v>81</v>
      </c>
      <c r="I57" s="28" t="s">
        <v>81</v>
      </c>
      <c r="J57" s="28"/>
      <c r="K57" s="18">
        <v>20</v>
      </c>
      <c r="L57" s="104">
        <v>20</v>
      </c>
      <c r="M57" s="20" t="str">
        <f>IF(L57&gt;=20,"Memenuhi","Tidak Memenuhi")</f>
        <v>Memenuhi</v>
      </c>
      <c r="N57" s="105"/>
    </row>
    <row r="58" ht="57.75" customHeight="1" spans="1:14">
      <c r="A58" s="22"/>
      <c r="B58" s="106"/>
      <c r="C58" s="107"/>
      <c r="D58" s="46" t="s">
        <v>121</v>
      </c>
      <c r="E58" s="64" t="s">
        <v>122</v>
      </c>
      <c r="F58" s="47" t="s">
        <v>123</v>
      </c>
      <c r="G58" s="47" t="s">
        <v>252</v>
      </c>
      <c r="H58" s="27"/>
      <c r="I58" s="28" t="s">
        <v>81</v>
      </c>
      <c r="J58" s="28" t="s">
        <v>81</v>
      </c>
      <c r="K58" s="64">
        <v>4</v>
      </c>
      <c r="L58" s="29"/>
      <c r="M58" s="30"/>
      <c r="N58" s="27"/>
    </row>
    <row r="59" ht="73.5" customHeight="1" spans="1:14">
      <c r="A59" s="60"/>
      <c r="B59" s="92"/>
      <c r="C59" s="108" t="s">
        <v>243</v>
      </c>
      <c r="D59" s="109" t="s">
        <v>253</v>
      </c>
      <c r="E59" s="414" t="s">
        <v>254</v>
      </c>
      <c r="F59" s="98" t="s">
        <v>255</v>
      </c>
      <c r="G59" s="98" t="s">
        <v>247</v>
      </c>
      <c r="H59" s="28" t="s">
        <v>81</v>
      </c>
      <c r="I59" s="27"/>
      <c r="J59" s="28" t="s">
        <v>81</v>
      </c>
      <c r="K59" s="98" t="s">
        <v>176</v>
      </c>
      <c r="L59" s="94"/>
      <c r="M59" s="76"/>
      <c r="N59" s="105"/>
    </row>
    <row r="60" ht="42" customHeight="1" spans="1:14">
      <c r="A60" s="60"/>
      <c r="B60" s="99"/>
      <c r="C60" s="110"/>
      <c r="D60" s="109" t="s">
        <v>244</v>
      </c>
      <c r="E60" s="413" t="s">
        <v>245</v>
      </c>
      <c r="F60" s="98" t="s">
        <v>246</v>
      </c>
      <c r="G60" s="98" t="s">
        <v>247</v>
      </c>
      <c r="H60" s="28" t="s">
        <v>81</v>
      </c>
      <c r="I60" s="28" t="s">
        <v>81</v>
      </c>
      <c r="J60" s="28"/>
      <c r="K60" s="98" t="s">
        <v>176</v>
      </c>
      <c r="L60" s="94"/>
      <c r="M60" s="111"/>
      <c r="N60" s="105"/>
    </row>
    <row r="61" ht="51" spans="1:14">
      <c r="A61" s="11">
        <v>5</v>
      </c>
      <c r="B61" s="112" t="s">
        <v>256</v>
      </c>
      <c r="C61" s="56" t="s">
        <v>105</v>
      </c>
      <c r="D61" s="16" t="s">
        <v>177</v>
      </c>
      <c r="E61" s="15" t="s">
        <v>257</v>
      </c>
      <c r="F61" s="16" t="s">
        <v>133</v>
      </c>
      <c r="G61" s="16" t="s">
        <v>258</v>
      </c>
      <c r="H61" s="27"/>
      <c r="I61" s="28" t="s">
        <v>81</v>
      </c>
      <c r="J61" s="28" t="s">
        <v>81</v>
      </c>
      <c r="K61" s="18">
        <v>25</v>
      </c>
      <c r="L61" s="113">
        <f>K61</f>
        <v>25</v>
      </c>
      <c r="M61" s="20" t="str">
        <f>IF(L61&gt;=20,"Memenuhi","Tidak Memenuhi")</f>
        <v>Memenuhi</v>
      </c>
      <c r="N61" s="105"/>
    </row>
    <row r="62" ht="51" spans="1:14">
      <c r="A62" s="60"/>
      <c r="B62" s="60"/>
      <c r="C62" s="72" t="s">
        <v>164</v>
      </c>
      <c r="D62" s="98" t="s">
        <v>176</v>
      </c>
      <c r="E62" s="98" t="s">
        <v>176</v>
      </c>
      <c r="F62" s="98" t="s">
        <v>176</v>
      </c>
      <c r="G62" s="98" t="s">
        <v>176</v>
      </c>
      <c r="H62" s="28" t="s">
        <v>81</v>
      </c>
      <c r="I62" s="27"/>
      <c r="J62" s="28" t="s">
        <v>81</v>
      </c>
      <c r="K62" s="74"/>
      <c r="L62" s="114"/>
      <c r="M62" s="66"/>
      <c r="N62" s="105"/>
    </row>
    <row r="63" ht="68" spans="1:14">
      <c r="A63" s="115"/>
      <c r="B63" s="115"/>
      <c r="C63" s="72" t="s">
        <v>259</v>
      </c>
      <c r="D63" s="116" t="s">
        <v>253</v>
      </c>
      <c r="E63" s="414" t="s">
        <v>254</v>
      </c>
      <c r="F63" s="98" t="s">
        <v>255</v>
      </c>
      <c r="G63" s="98" t="s">
        <v>247</v>
      </c>
      <c r="H63" s="28" t="s">
        <v>81</v>
      </c>
      <c r="I63" s="28" t="s">
        <v>81</v>
      </c>
      <c r="J63" s="28"/>
      <c r="K63" s="98" t="s">
        <v>176</v>
      </c>
      <c r="L63" s="114"/>
      <c r="M63" s="117"/>
      <c r="N63" s="105"/>
    </row>
    <row r="64" ht="57.75" customHeight="1" spans="1:14">
      <c r="A64" s="118">
        <v>6</v>
      </c>
      <c r="B64" s="119" t="s">
        <v>260</v>
      </c>
      <c r="C64" s="119"/>
      <c r="D64" s="16" t="s">
        <v>261</v>
      </c>
      <c r="E64" s="120">
        <v>45775</v>
      </c>
      <c r="F64" s="121" t="s">
        <v>145</v>
      </c>
      <c r="G64" s="121" t="s">
        <v>262</v>
      </c>
      <c r="H64" s="27"/>
      <c r="I64" s="28" t="s">
        <v>81</v>
      </c>
      <c r="J64" s="28" t="s">
        <v>81</v>
      </c>
      <c r="K64" s="17">
        <v>2</v>
      </c>
      <c r="L64" s="122">
        <f>SUM(K64:K71)</f>
        <v>20.5</v>
      </c>
      <c r="M64" s="123" t="str">
        <f>IF(L64&gt;=20,"Memenuhi","Tidak Memenuhi")</f>
        <v>Memenuhi</v>
      </c>
      <c r="N64" s="105"/>
    </row>
    <row r="65" ht="72" customHeight="1" spans="1:14">
      <c r="A65" s="124"/>
      <c r="B65" s="125"/>
      <c r="C65" s="125"/>
      <c r="D65" s="72" t="s">
        <v>263</v>
      </c>
      <c r="E65" s="97">
        <v>45740</v>
      </c>
      <c r="F65" s="45" t="s">
        <v>264</v>
      </c>
      <c r="G65" s="45" t="s">
        <v>265</v>
      </c>
      <c r="H65" s="28" t="s">
        <v>81</v>
      </c>
      <c r="I65" s="27"/>
      <c r="J65" s="28" t="s">
        <v>81</v>
      </c>
      <c r="K65" s="98">
        <v>3</v>
      </c>
      <c r="L65" s="126"/>
      <c r="M65" s="94"/>
      <c r="N65" s="105"/>
    </row>
    <row r="66" ht="86.25" customHeight="1" spans="1:14">
      <c r="A66" s="124"/>
      <c r="B66" s="125"/>
      <c r="C66" s="125"/>
      <c r="D66" s="72" t="s">
        <v>266</v>
      </c>
      <c r="E66" s="97">
        <v>45799</v>
      </c>
      <c r="F66" s="45" t="s">
        <v>267</v>
      </c>
      <c r="G66" s="45" t="s">
        <v>268</v>
      </c>
      <c r="H66" s="28" t="s">
        <v>81</v>
      </c>
      <c r="I66" s="28" t="s">
        <v>81</v>
      </c>
      <c r="J66" s="28"/>
      <c r="K66" s="98">
        <v>3</v>
      </c>
      <c r="L66" s="126"/>
      <c r="M66" s="94"/>
      <c r="N66" s="105"/>
    </row>
    <row r="67" ht="72" customHeight="1" spans="1:14">
      <c r="A67" s="124"/>
      <c r="B67" s="125"/>
      <c r="C67" s="125"/>
      <c r="D67" s="72" t="s">
        <v>269</v>
      </c>
      <c r="E67" s="97">
        <v>45741</v>
      </c>
      <c r="F67" s="45" t="s">
        <v>158</v>
      </c>
      <c r="G67" s="45" t="s">
        <v>270</v>
      </c>
      <c r="H67" s="27"/>
      <c r="I67" s="28" t="s">
        <v>81</v>
      </c>
      <c r="J67" s="28" t="s">
        <v>81</v>
      </c>
      <c r="K67" s="98">
        <v>4</v>
      </c>
      <c r="L67" s="126"/>
      <c r="M67" s="94"/>
      <c r="N67" s="105"/>
    </row>
    <row r="68" ht="86.25" customHeight="1" spans="1:14">
      <c r="A68" s="124"/>
      <c r="B68" s="125"/>
      <c r="C68" s="125"/>
      <c r="D68" s="72" t="s">
        <v>271</v>
      </c>
      <c r="E68" s="97">
        <v>45825</v>
      </c>
      <c r="F68" s="45" t="s">
        <v>272</v>
      </c>
      <c r="G68" s="45" t="s">
        <v>176</v>
      </c>
      <c r="H68" s="28" t="s">
        <v>81</v>
      </c>
      <c r="I68" s="27"/>
      <c r="J68" s="28" t="s">
        <v>81</v>
      </c>
      <c r="K68" s="98">
        <v>1.5</v>
      </c>
      <c r="L68" s="126"/>
      <c r="M68" s="94"/>
      <c r="N68" s="105"/>
    </row>
    <row r="69" ht="72" customHeight="1" spans="1:14">
      <c r="A69" s="124"/>
      <c r="B69" s="125"/>
      <c r="C69" s="125"/>
      <c r="D69" s="72" t="s">
        <v>273</v>
      </c>
      <c r="E69" s="97">
        <v>45687</v>
      </c>
      <c r="F69" s="45" t="s">
        <v>267</v>
      </c>
      <c r="G69" s="45" t="s">
        <v>274</v>
      </c>
      <c r="H69" s="28" t="s">
        <v>81</v>
      </c>
      <c r="I69" s="28" t="s">
        <v>81</v>
      </c>
      <c r="J69" s="28"/>
      <c r="K69" s="98">
        <v>3</v>
      </c>
      <c r="L69" s="126"/>
      <c r="M69" s="94"/>
      <c r="N69" s="105"/>
    </row>
    <row r="70" ht="57.75" customHeight="1" spans="1:14">
      <c r="A70" s="124"/>
      <c r="B70" s="125"/>
      <c r="C70" s="125"/>
      <c r="D70" s="72" t="s">
        <v>275</v>
      </c>
      <c r="E70" s="97">
        <v>45729</v>
      </c>
      <c r="F70" s="45" t="s">
        <v>276</v>
      </c>
      <c r="G70" s="45" t="s">
        <v>176</v>
      </c>
      <c r="H70" s="27"/>
      <c r="I70" s="28" t="s">
        <v>81</v>
      </c>
      <c r="J70" s="28" t="s">
        <v>81</v>
      </c>
      <c r="K70" s="98">
        <v>2</v>
      </c>
      <c r="L70" s="126"/>
      <c r="M70" s="94"/>
      <c r="N70" s="105"/>
    </row>
    <row r="71" ht="57.75" customHeight="1" spans="1:14">
      <c r="A71" s="124"/>
      <c r="B71" s="125"/>
      <c r="C71" s="125"/>
      <c r="D71" s="72" t="s">
        <v>277</v>
      </c>
      <c r="E71" s="97">
        <v>45800</v>
      </c>
      <c r="F71" s="45" t="s">
        <v>278</v>
      </c>
      <c r="G71" s="45" t="s">
        <v>176</v>
      </c>
      <c r="H71" s="28" t="s">
        <v>81</v>
      </c>
      <c r="I71" s="27"/>
      <c r="J71" s="28" t="s">
        <v>81</v>
      </c>
      <c r="K71" s="98">
        <v>2</v>
      </c>
      <c r="L71" s="126"/>
      <c r="M71" s="94"/>
      <c r="N71" s="105"/>
    </row>
    <row r="72" ht="61.5" customHeight="1" spans="1:14">
      <c r="A72" s="127">
        <v>6</v>
      </c>
      <c r="B72" s="119" t="s">
        <v>279</v>
      </c>
      <c r="C72" s="415" t="s">
        <v>280</v>
      </c>
      <c r="D72" s="128" t="s">
        <v>177</v>
      </c>
      <c r="E72" s="129" t="s">
        <v>281</v>
      </c>
      <c r="F72" s="128" t="s">
        <v>133</v>
      </c>
      <c r="G72" s="128" t="s">
        <v>282</v>
      </c>
      <c r="H72" s="28" t="s">
        <v>81</v>
      </c>
      <c r="I72" s="28" t="s">
        <v>81</v>
      </c>
      <c r="J72" s="28"/>
      <c r="K72" s="18">
        <v>25</v>
      </c>
      <c r="L72" s="113">
        <f>K72</f>
        <v>25</v>
      </c>
      <c r="M72" s="86" t="str">
        <f>IF(L72&gt;=20,"Memenuhi","Tidak Memenuhi")</f>
        <v>Memenuhi</v>
      </c>
      <c r="N72" s="105"/>
    </row>
    <row r="73" ht="107.25" customHeight="1" spans="1:14">
      <c r="A73" s="130"/>
      <c r="B73" s="125"/>
      <c r="C73" s="416" t="s">
        <v>283</v>
      </c>
      <c r="D73" s="116" t="s">
        <v>284</v>
      </c>
      <c r="E73" s="417" t="s">
        <v>285</v>
      </c>
      <c r="F73" s="116" t="s">
        <v>286</v>
      </c>
      <c r="G73" s="116" t="s">
        <v>247</v>
      </c>
      <c r="H73" s="27"/>
      <c r="I73" s="28" t="s">
        <v>81</v>
      </c>
      <c r="J73" s="28" t="s">
        <v>81</v>
      </c>
      <c r="K73" s="74"/>
      <c r="L73" s="114"/>
      <c r="M73" s="133"/>
      <c r="N73" s="105"/>
    </row>
    <row r="74" ht="58.5" customHeight="1" spans="1:14">
      <c r="A74" s="11">
        <v>7</v>
      </c>
      <c r="B74" s="134" t="s">
        <v>287</v>
      </c>
      <c r="C74" s="103" t="s">
        <v>164</v>
      </c>
      <c r="D74" s="16" t="s">
        <v>249</v>
      </c>
      <c r="E74" s="18" t="s">
        <v>288</v>
      </c>
      <c r="F74" s="16" t="s">
        <v>116</v>
      </c>
      <c r="G74" s="16" t="s">
        <v>251</v>
      </c>
      <c r="H74" s="28" t="s">
        <v>81</v>
      </c>
      <c r="I74" s="27"/>
      <c r="J74" s="28" t="s">
        <v>81</v>
      </c>
      <c r="K74" s="18">
        <v>20</v>
      </c>
      <c r="L74" s="18">
        <v>20</v>
      </c>
      <c r="M74" s="20" t="str">
        <f>IF(L74&gt;=20,"Memenuhi","Tidak Memenuhi")</f>
        <v>Memenuhi</v>
      </c>
      <c r="N74" s="135" t="s">
        <v>289</v>
      </c>
    </row>
    <row r="75" ht="68" spans="1:14">
      <c r="A75" s="60"/>
      <c r="B75" s="92"/>
      <c r="C75" s="108" t="s">
        <v>290</v>
      </c>
      <c r="D75" s="109" t="s">
        <v>253</v>
      </c>
      <c r="E75" s="414" t="s">
        <v>254</v>
      </c>
      <c r="F75" s="98" t="s">
        <v>255</v>
      </c>
      <c r="G75" s="98" t="s">
        <v>247</v>
      </c>
      <c r="H75" s="28" t="s">
        <v>81</v>
      </c>
      <c r="I75" s="28" t="s">
        <v>81</v>
      </c>
      <c r="J75" s="28"/>
      <c r="K75" s="98" t="s">
        <v>176</v>
      </c>
      <c r="L75" s="114"/>
      <c r="M75" s="66"/>
      <c r="N75" s="105"/>
    </row>
    <row r="76" ht="68" spans="1:14">
      <c r="A76" s="60"/>
      <c r="B76" s="92"/>
      <c r="C76" s="110"/>
      <c r="D76" s="109" t="s">
        <v>291</v>
      </c>
      <c r="E76" s="414" t="s">
        <v>292</v>
      </c>
      <c r="F76" s="98" t="s">
        <v>255</v>
      </c>
      <c r="G76" s="98" t="s">
        <v>247</v>
      </c>
      <c r="H76" s="27"/>
      <c r="I76" s="28" t="s">
        <v>81</v>
      </c>
      <c r="J76" s="28" t="s">
        <v>81</v>
      </c>
      <c r="K76" s="98" t="s">
        <v>176</v>
      </c>
      <c r="L76" s="114"/>
      <c r="M76" s="117"/>
      <c r="N76" s="105"/>
    </row>
    <row r="77" ht="66.75" customHeight="1" spans="1:14">
      <c r="A77" s="11">
        <v>8</v>
      </c>
      <c r="B77" s="136" t="s">
        <v>293</v>
      </c>
      <c r="C77" s="54" t="s">
        <v>164</v>
      </c>
      <c r="D77" s="16" t="s">
        <v>249</v>
      </c>
      <c r="E77" s="15" t="s">
        <v>294</v>
      </c>
      <c r="F77" s="16" t="s">
        <v>116</v>
      </c>
      <c r="G77" s="16" t="s">
        <v>295</v>
      </c>
      <c r="H77" s="28" t="s">
        <v>81</v>
      </c>
      <c r="I77" s="27"/>
      <c r="J77" s="28" t="s">
        <v>81</v>
      </c>
      <c r="K77" s="18">
        <v>20</v>
      </c>
      <c r="L77" s="113">
        <f>K77</f>
        <v>20</v>
      </c>
      <c r="M77" s="86" t="str">
        <f>IF(L77&gt;=20,"Memenuhi","Tidak Memenuhi")</f>
        <v>Memenuhi</v>
      </c>
      <c r="N77" s="105"/>
    </row>
    <row r="78" ht="100.5" customHeight="1" spans="1:14">
      <c r="A78" s="115"/>
      <c r="B78" s="137"/>
      <c r="C78" s="71"/>
      <c r="D78" s="109" t="s">
        <v>244</v>
      </c>
      <c r="E78" s="418" t="s">
        <v>245</v>
      </c>
      <c r="F78" s="74" t="s">
        <v>246</v>
      </c>
      <c r="G78" s="74" t="s">
        <v>247</v>
      </c>
      <c r="H78" s="28" t="s">
        <v>81</v>
      </c>
      <c r="I78" s="28" t="s">
        <v>81</v>
      </c>
      <c r="J78" s="28"/>
      <c r="K78" s="74" t="s">
        <v>176</v>
      </c>
      <c r="L78" s="94"/>
      <c r="M78" s="133"/>
      <c r="N78" s="105"/>
    </row>
    <row r="79" ht="72" customHeight="1" spans="1:14">
      <c r="A79" s="139">
        <v>9</v>
      </c>
      <c r="B79" s="140" t="s">
        <v>296</v>
      </c>
      <c r="C79" s="141" t="s">
        <v>297</v>
      </c>
      <c r="D79" s="16" t="s">
        <v>131</v>
      </c>
      <c r="E79" s="15" t="s">
        <v>132</v>
      </c>
      <c r="F79" s="16" t="s">
        <v>298</v>
      </c>
      <c r="G79" s="16" t="s">
        <v>299</v>
      </c>
      <c r="H79" s="27"/>
      <c r="I79" s="28" t="s">
        <v>81</v>
      </c>
      <c r="J79" s="28" t="s">
        <v>81</v>
      </c>
      <c r="K79" s="18">
        <v>16</v>
      </c>
      <c r="L79" s="113">
        <f>K79+K80</f>
        <v>36</v>
      </c>
      <c r="M79" s="86" t="str">
        <f>IF(L79&gt;=20,"Memenuhi","Tidak Memenuhi")</f>
        <v>Memenuhi</v>
      </c>
      <c r="N79" s="105"/>
    </row>
    <row r="80" ht="132.75" customHeight="1" spans="1:14">
      <c r="A80" s="115"/>
      <c r="B80" s="115"/>
      <c r="C80" s="142"/>
      <c r="D80" s="72" t="s">
        <v>115</v>
      </c>
      <c r="E80" s="73">
        <v>45763</v>
      </c>
      <c r="F80" s="72" t="s">
        <v>116</v>
      </c>
      <c r="G80" s="72" t="s">
        <v>300</v>
      </c>
      <c r="H80" s="28" t="s">
        <v>81</v>
      </c>
      <c r="I80" s="27"/>
      <c r="J80" s="28" t="s">
        <v>81</v>
      </c>
      <c r="K80" s="74">
        <v>20</v>
      </c>
      <c r="L80" s="114"/>
      <c r="M80" s="133"/>
      <c r="N80" s="105"/>
    </row>
    <row r="81" ht="58.5" customHeight="1" spans="1:14">
      <c r="A81" s="143">
        <v>10</v>
      </c>
      <c r="B81" s="102" t="s">
        <v>15</v>
      </c>
      <c r="C81" s="419" t="s">
        <v>280</v>
      </c>
      <c r="D81" s="14" t="s">
        <v>301</v>
      </c>
      <c r="E81" s="15">
        <v>45716</v>
      </c>
      <c r="F81" s="16" t="s">
        <v>302</v>
      </c>
      <c r="G81" s="16" t="s">
        <v>303</v>
      </c>
      <c r="H81" s="28" t="s">
        <v>81</v>
      </c>
      <c r="I81" s="28" t="s">
        <v>81</v>
      </c>
      <c r="J81" s="28"/>
      <c r="K81" s="18">
        <v>4</v>
      </c>
      <c r="L81" s="113">
        <f>K81+K82+K83</f>
        <v>26</v>
      </c>
      <c r="M81" s="19" t="str">
        <f>IF(L81&gt;=20,"Memenuhi","Tidak Memenuhi")</f>
        <v>Memenuhi</v>
      </c>
      <c r="N81" s="91"/>
    </row>
    <row r="82" ht="60.75" customHeight="1" spans="1:14">
      <c r="A82" s="60"/>
      <c r="B82" s="92"/>
      <c r="C82" s="110"/>
      <c r="D82" s="79" t="s">
        <v>115</v>
      </c>
      <c r="E82" s="73">
        <v>45729</v>
      </c>
      <c r="F82" s="72" t="s">
        <v>116</v>
      </c>
      <c r="G82" s="72" t="s">
        <v>304</v>
      </c>
      <c r="H82" s="27"/>
      <c r="I82" s="28" t="s">
        <v>81</v>
      </c>
      <c r="J82" s="28" t="s">
        <v>81</v>
      </c>
      <c r="K82" s="74">
        <v>20</v>
      </c>
      <c r="L82" s="114"/>
      <c r="M82" s="144"/>
      <c r="N82" s="91"/>
    </row>
    <row r="83" ht="45" customHeight="1" spans="1:14">
      <c r="A83" s="60"/>
      <c r="B83" s="92"/>
      <c r="C83" s="93" t="s">
        <v>105</v>
      </c>
      <c r="D83" s="79" t="s">
        <v>305</v>
      </c>
      <c r="E83" s="73" t="s">
        <v>144</v>
      </c>
      <c r="F83" s="72" t="s">
        <v>145</v>
      </c>
      <c r="G83" s="72" t="s">
        <v>306</v>
      </c>
      <c r="H83" s="28" t="s">
        <v>81</v>
      </c>
      <c r="I83" s="27"/>
      <c r="J83" s="28" t="s">
        <v>81</v>
      </c>
      <c r="K83" s="74">
        <v>2</v>
      </c>
      <c r="L83" s="114"/>
      <c r="M83" s="144"/>
      <c r="N83" s="91"/>
    </row>
    <row r="84" ht="105" customHeight="1" spans="1:14">
      <c r="A84" s="60"/>
      <c r="B84" s="92"/>
      <c r="C84" s="93"/>
      <c r="D84" s="79" t="s">
        <v>307</v>
      </c>
      <c r="E84" s="73"/>
      <c r="F84" s="72" t="s">
        <v>182</v>
      </c>
      <c r="G84" s="74" t="s">
        <v>176</v>
      </c>
      <c r="H84" s="28" t="s">
        <v>81</v>
      </c>
      <c r="I84" s="28" t="s">
        <v>81</v>
      </c>
      <c r="J84" s="28"/>
      <c r="K84" s="74" t="s">
        <v>176</v>
      </c>
      <c r="L84" s="114"/>
      <c r="M84" s="144" t="s">
        <v>308</v>
      </c>
      <c r="N84" s="91"/>
    </row>
    <row r="85" ht="23.25" customHeight="1" spans="1:14">
      <c r="A85" s="115"/>
      <c r="B85" s="99"/>
      <c r="C85" s="110"/>
      <c r="D85" s="79" t="s">
        <v>309</v>
      </c>
      <c r="E85" s="73">
        <v>45772</v>
      </c>
      <c r="F85" s="72"/>
      <c r="G85" s="74" t="s">
        <v>176</v>
      </c>
      <c r="H85" s="27"/>
      <c r="I85" s="28" t="s">
        <v>81</v>
      </c>
      <c r="J85" s="28" t="s">
        <v>81</v>
      </c>
      <c r="K85" s="74" t="s">
        <v>176</v>
      </c>
      <c r="L85" s="114"/>
      <c r="M85" s="144" t="s">
        <v>310</v>
      </c>
      <c r="N85" s="91"/>
    </row>
    <row r="86" ht="63" customHeight="1" spans="1:14">
      <c r="A86" s="145">
        <v>11</v>
      </c>
      <c r="B86" s="146" t="s">
        <v>311</v>
      </c>
      <c r="C86" s="420" t="s">
        <v>105</v>
      </c>
      <c r="D86" s="121" t="s">
        <v>312</v>
      </c>
      <c r="E86" s="120" t="s">
        <v>313</v>
      </c>
      <c r="F86" s="121" t="s">
        <v>314</v>
      </c>
      <c r="G86" s="121" t="s">
        <v>315</v>
      </c>
      <c r="H86" s="28" t="s">
        <v>81</v>
      </c>
      <c r="I86" s="27"/>
      <c r="J86" s="28" t="s">
        <v>81</v>
      </c>
      <c r="K86" s="18">
        <v>25</v>
      </c>
      <c r="L86" s="113">
        <f>K86+K87+K88</f>
        <v>31</v>
      </c>
      <c r="M86" s="123" t="str">
        <f>IF(L86&gt;=20,"Memenuhi","Tidak Memenuhi")</f>
        <v>Memenuhi</v>
      </c>
      <c r="N86" s="91"/>
    </row>
    <row r="87" ht="102.75" customHeight="1" spans="1:14">
      <c r="A87" s="92"/>
      <c r="B87" s="96"/>
      <c r="C87" s="421" t="s">
        <v>280</v>
      </c>
      <c r="D87" s="72" t="s">
        <v>110</v>
      </c>
      <c r="E87" s="97">
        <v>45715</v>
      </c>
      <c r="F87" s="45" t="s">
        <v>111</v>
      </c>
      <c r="G87" s="45" t="s">
        <v>316</v>
      </c>
      <c r="H87" s="28" t="s">
        <v>81</v>
      </c>
      <c r="I87" s="28" t="s">
        <v>81</v>
      </c>
      <c r="J87" s="28"/>
      <c r="K87" s="74">
        <v>4</v>
      </c>
      <c r="L87" s="114"/>
      <c r="M87" s="94"/>
      <c r="N87" s="91"/>
    </row>
    <row r="88" ht="108" customHeight="1" spans="1:14">
      <c r="A88" s="99"/>
      <c r="B88" s="100"/>
      <c r="C88" s="80"/>
      <c r="D88" s="72" t="s">
        <v>261</v>
      </c>
      <c r="E88" s="97" t="s">
        <v>144</v>
      </c>
      <c r="F88" s="45" t="s">
        <v>145</v>
      </c>
      <c r="G88" s="45" t="s">
        <v>317</v>
      </c>
      <c r="H88" s="27"/>
      <c r="I88" s="28" t="s">
        <v>81</v>
      </c>
      <c r="J88" s="28" t="s">
        <v>81</v>
      </c>
      <c r="K88" s="74">
        <v>2</v>
      </c>
      <c r="L88" s="114"/>
      <c r="M88" s="94"/>
      <c r="N88" s="91"/>
    </row>
    <row r="89" ht="56.25" customHeight="1" spans="1:14">
      <c r="A89" s="148">
        <v>12</v>
      </c>
      <c r="B89" s="422" t="s">
        <v>19</v>
      </c>
      <c r="C89" s="419" t="s">
        <v>280</v>
      </c>
      <c r="D89" s="14" t="s">
        <v>318</v>
      </c>
      <c r="E89" s="15" t="s">
        <v>144</v>
      </c>
      <c r="F89" s="16" t="s">
        <v>145</v>
      </c>
      <c r="G89" s="16" t="s">
        <v>319</v>
      </c>
      <c r="H89" s="28" t="s">
        <v>81</v>
      </c>
      <c r="I89" s="27"/>
      <c r="J89" s="28" t="s">
        <v>81</v>
      </c>
      <c r="K89" s="18">
        <v>2</v>
      </c>
      <c r="L89" s="113">
        <f>SUM(K89:K99)</f>
        <v>37</v>
      </c>
      <c r="M89" s="19" t="str">
        <f>IF(L89&gt;=20,"Memenuhi","Tidak Memenuhi")</f>
        <v>Memenuhi</v>
      </c>
      <c r="N89" s="91"/>
    </row>
    <row r="90" ht="51" spans="1:14">
      <c r="A90" s="93"/>
      <c r="B90" s="93"/>
      <c r="C90" s="93"/>
      <c r="D90" s="79" t="s">
        <v>147</v>
      </c>
      <c r="E90" s="73">
        <v>45796</v>
      </c>
      <c r="F90" s="72" t="s">
        <v>145</v>
      </c>
      <c r="G90" s="72" t="s">
        <v>320</v>
      </c>
      <c r="H90" s="28" t="s">
        <v>81</v>
      </c>
      <c r="I90" s="28" t="s">
        <v>81</v>
      </c>
      <c r="J90" s="28"/>
      <c r="K90" s="74">
        <v>2</v>
      </c>
      <c r="L90" s="74"/>
      <c r="M90" s="144"/>
      <c r="N90" s="91"/>
    </row>
    <row r="91" ht="51" spans="1:14">
      <c r="A91" s="93"/>
      <c r="B91" s="93"/>
      <c r="C91" s="93"/>
      <c r="D91" s="79" t="s">
        <v>321</v>
      </c>
      <c r="E91" s="73">
        <v>45798</v>
      </c>
      <c r="F91" s="72" t="s">
        <v>322</v>
      </c>
      <c r="G91" s="72" t="s">
        <v>323</v>
      </c>
      <c r="H91" s="27"/>
      <c r="I91" s="28" t="s">
        <v>81</v>
      </c>
      <c r="J91" s="28" t="s">
        <v>81</v>
      </c>
      <c r="K91" s="74">
        <v>4</v>
      </c>
      <c r="L91" s="74"/>
      <c r="M91" s="144"/>
      <c r="N91" s="91"/>
    </row>
    <row r="92" ht="51" spans="1:14">
      <c r="A92" s="93"/>
      <c r="B92" s="93"/>
      <c r="C92" s="93"/>
      <c r="D92" s="79" t="s">
        <v>324</v>
      </c>
      <c r="E92" s="73">
        <v>45825</v>
      </c>
      <c r="F92" s="72" t="s">
        <v>325</v>
      </c>
      <c r="G92" s="72" t="s">
        <v>326</v>
      </c>
      <c r="H92" s="28" t="s">
        <v>81</v>
      </c>
      <c r="I92" s="27"/>
      <c r="J92" s="28" t="s">
        <v>81</v>
      </c>
      <c r="K92" s="74">
        <v>4</v>
      </c>
      <c r="L92" s="74"/>
      <c r="M92" s="144"/>
      <c r="N92" s="91"/>
    </row>
    <row r="93" ht="68" spans="1:14">
      <c r="A93" s="93"/>
      <c r="B93" s="93"/>
      <c r="C93" s="93"/>
      <c r="D93" s="79" t="s">
        <v>327</v>
      </c>
      <c r="E93" s="73">
        <v>45831</v>
      </c>
      <c r="F93" s="72" t="s">
        <v>145</v>
      </c>
      <c r="G93" s="72" t="s">
        <v>328</v>
      </c>
      <c r="H93" s="28" t="s">
        <v>81</v>
      </c>
      <c r="I93" s="28" t="s">
        <v>81</v>
      </c>
      <c r="J93" s="28"/>
      <c r="K93" s="74">
        <v>3</v>
      </c>
      <c r="L93" s="74"/>
      <c r="M93" s="144"/>
      <c r="N93" s="91"/>
    </row>
    <row r="94" ht="51" spans="1:14">
      <c r="A94" s="93"/>
      <c r="B94" s="93"/>
      <c r="C94" s="93"/>
      <c r="D94" s="79" t="s">
        <v>329</v>
      </c>
      <c r="E94" s="73">
        <v>45848</v>
      </c>
      <c r="F94" s="72" t="s">
        <v>325</v>
      </c>
      <c r="G94" s="72" t="s">
        <v>330</v>
      </c>
      <c r="H94" s="27"/>
      <c r="I94" s="28" t="s">
        <v>81</v>
      </c>
      <c r="J94" s="28" t="s">
        <v>81</v>
      </c>
      <c r="K94" s="74">
        <v>4</v>
      </c>
      <c r="L94" s="74"/>
      <c r="M94" s="144"/>
      <c r="N94" s="91"/>
    </row>
    <row r="95" ht="68" spans="1:14">
      <c r="A95" s="93"/>
      <c r="B95" s="93"/>
      <c r="C95" s="93"/>
      <c r="D95" s="79" t="s">
        <v>331</v>
      </c>
      <c r="E95" s="73">
        <v>45848</v>
      </c>
      <c r="F95" s="72" t="s">
        <v>145</v>
      </c>
      <c r="G95" s="72" t="s">
        <v>332</v>
      </c>
      <c r="H95" s="28" t="s">
        <v>81</v>
      </c>
      <c r="I95" s="27"/>
      <c r="J95" s="28" t="s">
        <v>81</v>
      </c>
      <c r="K95" s="74">
        <v>2</v>
      </c>
      <c r="L95" s="74"/>
      <c r="M95" s="144"/>
      <c r="N95" s="91"/>
    </row>
    <row r="96" ht="60.75" customHeight="1" spans="1:14">
      <c r="A96" s="93"/>
      <c r="B96" s="93"/>
      <c r="C96" s="93"/>
      <c r="D96" s="79" t="s">
        <v>333</v>
      </c>
      <c r="E96" s="73">
        <v>45876</v>
      </c>
      <c r="F96" s="72" t="s">
        <v>192</v>
      </c>
      <c r="G96" s="72" t="s">
        <v>334</v>
      </c>
      <c r="H96" s="28" t="s">
        <v>81</v>
      </c>
      <c r="I96" s="28" t="s">
        <v>81</v>
      </c>
      <c r="J96" s="28"/>
      <c r="K96" s="74">
        <v>2</v>
      </c>
      <c r="L96" s="74"/>
      <c r="M96" s="144"/>
      <c r="N96" s="91"/>
    </row>
    <row r="97" ht="84" spans="1:14">
      <c r="A97" s="93"/>
      <c r="B97" s="93"/>
      <c r="C97" s="93"/>
      <c r="D97" s="79" t="s">
        <v>93</v>
      </c>
      <c r="E97" s="73">
        <v>45890</v>
      </c>
      <c r="F97" s="72" t="s">
        <v>145</v>
      </c>
      <c r="G97" s="72" t="s">
        <v>335</v>
      </c>
      <c r="H97" s="27"/>
      <c r="I97" s="28" t="s">
        <v>81</v>
      </c>
      <c r="J97" s="28" t="s">
        <v>81</v>
      </c>
      <c r="K97" s="74">
        <v>6</v>
      </c>
      <c r="L97" s="74"/>
      <c r="M97" s="144"/>
      <c r="N97" s="91"/>
    </row>
    <row r="98" ht="68" spans="1:14">
      <c r="A98" s="93"/>
      <c r="B98" s="93"/>
      <c r="C98" s="93"/>
      <c r="D98" s="79" t="s">
        <v>336</v>
      </c>
      <c r="E98" s="73">
        <v>45917</v>
      </c>
      <c r="F98" s="72" t="s">
        <v>145</v>
      </c>
      <c r="G98" s="72" t="s">
        <v>337</v>
      </c>
      <c r="H98" s="28" t="s">
        <v>81</v>
      </c>
      <c r="I98" s="27"/>
      <c r="J98" s="28" t="s">
        <v>81</v>
      </c>
      <c r="K98" s="74">
        <v>6</v>
      </c>
      <c r="L98" s="74"/>
      <c r="M98" s="144"/>
      <c r="N98" s="91"/>
    </row>
    <row r="99" ht="68" spans="1:14">
      <c r="A99" s="110"/>
      <c r="B99" s="110"/>
      <c r="C99" s="110"/>
      <c r="D99" s="79" t="s">
        <v>338</v>
      </c>
      <c r="E99" s="73">
        <v>45926</v>
      </c>
      <c r="F99" s="72" t="s">
        <v>145</v>
      </c>
      <c r="G99" s="72" t="s">
        <v>339</v>
      </c>
      <c r="H99" s="28" t="s">
        <v>81</v>
      </c>
      <c r="I99" s="28" t="s">
        <v>81</v>
      </c>
      <c r="J99" s="28"/>
      <c r="K99" s="74">
        <v>2</v>
      </c>
      <c r="L99" s="74"/>
      <c r="M99" s="144"/>
      <c r="N99" s="91"/>
    </row>
    <row r="100" ht="57" customHeight="1" spans="1:14">
      <c r="A100" s="11">
        <v>13</v>
      </c>
      <c r="B100" s="112" t="s">
        <v>340</v>
      </c>
      <c r="C100" s="423" t="s">
        <v>280</v>
      </c>
      <c r="D100" s="16" t="s">
        <v>115</v>
      </c>
      <c r="E100" s="15">
        <v>45726</v>
      </c>
      <c r="F100" s="16" t="s">
        <v>116</v>
      </c>
      <c r="G100" s="16" t="s">
        <v>304</v>
      </c>
      <c r="H100" s="27"/>
      <c r="I100" s="28" t="s">
        <v>81</v>
      </c>
      <c r="J100" s="28" t="s">
        <v>81</v>
      </c>
      <c r="K100" s="18">
        <v>20</v>
      </c>
      <c r="L100" s="113">
        <f>K100+K102</f>
        <v>45</v>
      </c>
      <c r="M100" s="19" t="str">
        <f>IF(L100&gt;=20,"Memenuhi","Tidak Memenuhi")</f>
        <v>Memenuhi</v>
      </c>
      <c r="N100" s="91"/>
    </row>
    <row r="101" ht="63" customHeight="1" spans="1:14">
      <c r="A101" s="60"/>
      <c r="B101" s="92"/>
      <c r="C101" s="108" t="s">
        <v>105</v>
      </c>
      <c r="D101" s="79" t="s">
        <v>341</v>
      </c>
      <c r="E101" s="73">
        <v>45729</v>
      </c>
      <c r="F101" s="72" t="s">
        <v>342</v>
      </c>
      <c r="G101" s="72"/>
      <c r="H101" s="28" t="s">
        <v>81</v>
      </c>
      <c r="I101" s="27"/>
      <c r="J101" s="28" t="s">
        <v>81</v>
      </c>
      <c r="K101" s="74"/>
      <c r="L101" s="114"/>
      <c r="M101" s="144" t="s">
        <v>343</v>
      </c>
      <c r="N101" s="91"/>
    </row>
    <row r="102" ht="69" customHeight="1" spans="1:14">
      <c r="A102" s="115"/>
      <c r="B102" s="99"/>
      <c r="C102" s="110"/>
      <c r="D102" s="79" t="s">
        <v>177</v>
      </c>
      <c r="E102" s="74" t="s">
        <v>257</v>
      </c>
      <c r="F102" s="72" t="s">
        <v>344</v>
      </c>
      <c r="G102" s="72" t="s">
        <v>345</v>
      </c>
      <c r="H102" s="28" t="s">
        <v>81</v>
      </c>
      <c r="I102" s="28" t="s">
        <v>81</v>
      </c>
      <c r="J102" s="28"/>
      <c r="K102" s="74">
        <v>25</v>
      </c>
      <c r="L102" s="114"/>
      <c r="M102" s="65"/>
      <c r="N102" s="91"/>
    </row>
    <row r="103" ht="57.75" customHeight="1" spans="1:14">
      <c r="A103" s="148">
        <v>14</v>
      </c>
      <c r="B103" s="424" t="s">
        <v>27</v>
      </c>
      <c r="C103" s="423" t="s">
        <v>280</v>
      </c>
      <c r="D103" s="14" t="s">
        <v>166</v>
      </c>
      <c r="E103" s="120">
        <v>45715</v>
      </c>
      <c r="F103" s="121" t="s">
        <v>111</v>
      </c>
      <c r="G103" s="121" t="s">
        <v>346</v>
      </c>
      <c r="H103" s="27"/>
      <c r="I103" s="28" t="s">
        <v>81</v>
      </c>
      <c r="J103" s="28" t="s">
        <v>81</v>
      </c>
      <c r="K103" s="17">
        <v>4</v>
      </c>
      <c r="L103" s="122">
        <f>SUM(K103:K109)</f>
        <v>23</v>
      </c>
      <c r="M103" s="123" t="str">
        <f>IF(L103&gt;=20,"Memenuhi","Tidak Memenuhi")</f>
        <v>Memenuhi</v>
      </c>
      <c r="N103" s="91"/>
    </row>
    <row r="104" ht="48" customHeight="1" spans="1:14">
      <c r="A104" s="93"/>
      <c r="B104" s="93"/>
      <c r="C104" s="93"/>
      <c r="D104" s="79" t="s">
        <v>305</v>
      </c>
      <c r="E104" s="97" t="s">
        <v>144</v>
      </c>
      <c r="F104" s="45" t="s">
        <v>145</v>
      </c>
      <c r="G104" s="45" t="s">
        <v>347</v>
      </c>
      <c r="H104" s="28" t="s">
        <v>81</v>
      </c>
      <c r="I104" s="27"/>
      <c r="J104" s="28" t="s">
        <v>81</v>
      </c>
      <c r="K104" s="98">
        <v>2</v>
      </c>
      <c r="L104" s="98"/>
      <c r="M104" s="75"/>
      <c r="N104" s="91"/>
    </row>
    <row r="105" ht="72.75" customHeight="1" spans="1:14">
      <c r="A105" s="93"/>
      <c r="B105" s="93"/>
      <c r="C105" s="93"/>
      <c r="D105" s="79" t="s">
        <v>348</v>
      </c>
      <c r="E105" s="97">
        <v>45793</v>
      </c>
      <c r="F105" s="45" t="s">
        <v>349</v>
      </c>
      <c r="G105" s="45" t="s">
        <v>172</v>
      </c>
      <c r="H105" s="28" t="s">
        <v>81</v>
      </c>
      <c r="I105" s="28" t="s">
        <v>81</v>
      </c>
      <c r="J105" s="28"/>
      <c r="K105" s="98">
        <v>6</v>
      </c>
      <c r="L105" s="98"/>
      <c r="M105" s="75"/>
      <c r="N105" s="91"/>
    </row>
    <row r="106" ht="51" spans="1:14">
      <c r="A106" s="93"/>
      <c r="B106" s="93"/>
      <c r="C106" s="93"/>
      <c r="D106" s="79" t="s">
        <v>147</v>
      </c>
      <c r="E106" s="97">
        <v>45796</v>
      </c>
      <c r="F106" s="45" t="s">
        <v>145</v>
      </c>
      <c r="G106" s="45" t="s">
        <v>350</v>
      </c>
      <c r="H106" s="27"/>
      <c r="I106" s="28" t="s">
        <v>81</v>
      </c>
      <c r="J106" s="28" t="s">
        <v>81</v>
      </c>
      <c r="K106" s="98">
        <v>2</v>
      </c>
      <c r="L106" s="98"/>
      <c r="M106" s="75"/>
      <c r="N106" s="91"/>
    </row>
    <row r="107" ht="68" spans="1:14">
      <c r="A107" s="93"/>
      <c r="B107" s="93"/>
      <c r="C107" s="93"/>
      <c r="D107" s="150" t="s">
        <v>327</v>
      </c>
      <c r="E107" s="414" t="s">
        <v>351</v>
      </c>
      <c r="F107" s="45" t="s">
        <v>145</v>
      </c>
      <c r="G107" s="425" t="s">
        <v>352</v>
      </c>
      <c r="H107" s="28" t="s">
        <v>81</v>
      </c>
      <c r="I107" s="27"/>
      <c r="J107" s="28" t="s">
        <v>81</v>
      </c>
      <c r="K107" s="98">
        <v>3</v>
      </c>
      <c r="L107" s="98"/>
      <c r="M107" s="75"/>
      <c r="N107" s="91"/>
    </row>
    <row r="108" ht="68" spans="1:14">
      <c r="A108" s="93"/>
      <c r="B108" s="93"/>
      <c r="C108" s="93"/>
      <c r="D108" s="79" t="s">
        <v>331</v>
      </c>
      <c r="E108" s="414" t="s">
        <v>150</v>
      </c>
      <c r="F108" s="45" t="s">
        <v>145</v>
      </c>
      <c r="G108" s="425" t="s">
        <v>353</v>
      </c>
      <c r="H108" s="28" t="s">
        <v>81</v>
      </c>
      <c r="I108" s="28" t="s">
        <v>81</v>
      </c>
      <c r="J108" s="28"/>
      <c r="K108" s="98">
        <v>2</v>
      </c>
      <c r="L108" s="98"/>
      <c r="M108" s="75"/>
      <c r="N108" s="91"/>
    </row>
    <row r="109" ht="51" spans="1:14">
      <c r="A109" s="110"/>
      <c r="B109" s="110"/>
      <c r="C109" s="110"/>
      <c r="D109" s="150" t="s">
        <v>329</v>
      </c>
      <c r="E109" s="97">
        <v>45848</v>
      </c>
      <c r="F109" s="45" t="s">
        <v>325</v>
      </c>
      <c r="G109" s="45" t="s">
        <v>354</v>
      </c>
      <c r="H109" s="27"/>
      <c r="I109" s="28" t="s">
        <v>81</v>
      </c>
      <c r="J109" s="28" t="s">
        <v>81</v>
      </c>
      <c r="K109" s="98">
        <v>4</v>
      </c>
      <c r="L109" s="98"/>
      <c r="M109" s="75"/>
      <c r="N109" s="151"/>
    </row>
    <row r="110" ht="61.5" customHeight="1" spans="1:14">
      <c r="A110" s="103">
        <v>15</v>
      </c>
      <c r="B110" s="424" t="s">
        <v>355</v>
      </c>
      <c r="C110" s="423" t="s">
        <v>280</v>
      </c>
      <c r="D110" s="152" t="s">
        <v>356</v>
      </c>
      <c r="E110" s="426" t="s">
        <v>285</v>
      </c>
      <c r="F110" s="152" t="s">
        <v>286</v>
      </c>
      <c r="G110" s="427" t="s">
        <v>176</v>
      </c>
      <c r="H110" s="28" t="s">
        <v>81</v>
      </c>
      <c r="I110" s="27"/>
      <c r="J110" s="28" t="s">
        <v>81</v>
      </c>
      <c r="K110" s="154">
        <v>2</v>
      </c>
      <c r="L110" s="155">
        <f>SUM(K110:K114)</f>
        <v>22</v>
      </c>
      <c r="M110" s="156" t="str">
        <f>IF(L110&gt;=20,"Memenuhi","Tidak Memenuhi")</f>
        <v>Memenuhi</v>
      </c>
      <c r="N110" s="105"/>
    </row>
    <row r="111" ht="51" spans="1:14">
      <c r="A111" s="157"/>
      <c r="B111" s="157"/>
      <c r="C111" s="157"/>
      <c r="D111" s="158" t="s">
        <v>324</v>
      </c>
      <c r="E111" s="428" t="s">
        <v>357</v>
      </c>
      <c r="F111" s="158" t="s">
        <v>358</v>
      </c>
      <c r="G111" s="429" t="s">
        <v>359</v>
      </c>
      <c r="H111" s="28" t="s">
        <v>81</v>
      </c>
      <c r="I111" s="28" t="s">
        <v>81</v>
      </c>
      <c r="J111" s="28"/>
      <c r="K111" s="160">
        <v>4</v>
      </c>
      <c r="L111" s="161"/>
      <c r="M111" s="144"/>
      <c r="N111" s="105"/>
    </row>
    <row r="112" ht="51" spans="1:14">
      <c r="A112" s="157"/>
      <c r="B112" s="157"/>
      <c r="C112" s="157"/>
      <c r="D112" s="158" t="s">
        <v>329</v>
      </c>
      <c r="E112" s="428" t="s">
        <v>150</v>
      </c>
      <c r="F112" s="158" t="s">
        <v>360</v>
      </c>
      <c r="G112" s="429" t="s">
        <v>361</v>
      </c>
      <c r="H112" s="27"/>
      <c r="I112" s="28" t="s">
        <v>81</v>
      </c>
      <c r="J112" s="28" t="s">
        <v>81</v>
      </c>
      <c r="K112" s="160">
        <v>4</v>
      </c>
      <c r="L112" s="161"/>
      <c r="M112" s="144"/>
      <c r="N112" s="105"/>
    </row>
    <row r="113" ht="101" spans="1:30">
      <c r="A113" s="157"/>
      <c r="B113" s="157"/>
      <c r="C113" s="157"/>
      <c r="D113" s="158" t="s">
        <v>362</v>
      </c>
      <c r="E113" s="428" t="s">
        <v>161</v>
      </c>
      <c r="F113" s="158" t="s">
        <v>79</v>
      </c>
      <c r="G113" s="429" t="s">
        <v>363</v>
      </c>
      <c r="H113" s="28" t="s">
        <v>81</v>
      </c>
      <c r="I113" s="27"/>
      <c r="J113" s="28" t="s">
        <v>81</v>
      </c>
      <c r="K113" s="160">
        <v>6</v>
      </c>
      <c r="L113" s="161"/>
      <c r="M113" s="144"/>
      <c r="N113" s="105"/>
    </row>
    <row r="114" ht="101" spans="1:30">
      <c r="A114" s="162"/>
      <c r="B114" s="162"/>
      <c r="C114" s="162"/>
      <c r="D114" s="158" t="s">
        <v>364</v>
      </c>
      <c r="E114" s="428" t="s">
        <v>365</v>
      </c>
      <c r="F114" s="158" t="s">
        <v>79</v>
      </c>
      <c r="G114" s="429" t="s">
        <v>366</v>
      </c>
      <c r="H114" s="28" t="s">
        <v>81</v>
      </c>
      <c r="I114" s="28" t="s">
        <v>81</v>
      </c>
      <c r="J114" s="28"/>
      <c r="K114" s="160">
        <v>6</v>
      </c>
      <c r="L114" s="161"/>
      <c r="M114" s="144"/>
      <c r="N114" s="105"/>
    </row>
    <row r="115" ht="57" customHeight="1" spans="1:30">
      <c r="A115" s="103">
        <v>16</v>
      </c>
      <c r="B115" s="424" t="s">
        <v>29</v>
      </c>
      <c r="C115" s="423" t="s">
        <v>280</v>
      </c>
      <c r="D115" s="14" t="s">
        <v>318</v>
      </c>
      <c r="E115" s="120">
        <v>45775</v>
      </c>
      <c r="F115" s="121" t="s">
        <v>145</v>
      </c>
      <c r="G115" s="17" t="s">
        <v>367</v>
      </c>
      <c r="H115" s="27"/>
      <c r="I115" s="28" t="s">
        <v>81</v>
      </c>
      <c r="J115" s="28" t="s">
        <v>81</v>
      </c>
      <c r="K115" s="17">
        <v>2</v>
      </c>
      <c r="L115" s="122">
        <f>SUM(K115:K123)</f>
        <v>59</v>
      </c>
      <c r="M115" s="123" t="str">
        <f>IF(L115&gt;=20,"Memenuhi","Tidak Memenuhi")</f>
        <v>Memenuhi</v>
      </c>
      <c r="N115" s="163"/>
    </row>
    <row r="116" ht="51" spans="1:30">
      <c r="A116" s="93"/>
      <c r="B116" s="93"/>
      <c r="C116" s="93"/>
      <c r="D116" s="79" t="s">
        <v>147</v>
      </c>
      <c r="E116" s="414" t="s">
        <v>368</v>
      </c>
      <c r="F116" s="45" t="s">
        <v>145</v>
      </c>
      <c r="G116" s="98" t="s">
        <v>369</v>
      </c>
      <c r="H116" s="28" t="s">
        <v>81</v>
      </c>
      <c r="I116" s="27"/>
      <c r="J116" s="28" t="s">
        <v>81</v>
      </c>
      <c r="K116" s="98">
        <v>2</v>
      </c>
      <c r="L116" s="98"/>
      <c r="M116" s="75"/>
      <c r="N116" s="91"/>
    </row>
    <row r="117" ht="51" spans="1:30">
      <c r="A117" s="93"/>
      <c r="B117" s="93"/>
      <c r="C117" s="93"/>
      <c r="D117" s="164" t="s">
        <v>321</v>
      </c>
      <c r="E117" s="414" t="s">
        <v>370</v>
      </c>
      <c r="F117" s="45" t="s">
        <v>322</v>
      </c>
      <c r="G117" s="98" t="s">
        <v>371</v>
      </c>
      <c r="H117" s="28" t="s">
        <v>81</v>
      </c>
      <c r="I117" s="28" t="s">
        <v>81</v>
      </c>
      <c r="J117" s="28"/>
      <c r="K117" s="98">
        <v>4</v>
      </c>
      <c r="L117" s="98"/>
      <c r="M117" s="75"/>
      <c r="N117" s="91"/>
    </row>
    <row r="118" ht="51" spans="1:30">
      <c r="A118" s="93"/>
      <c r="B118" s="93"/>
      <c r="C118" s="93"/>
      <c r="D118" s="164" t="s">
        <v>372</v>
      </c>
      <c r="E118" s="414" t="s">
        <v>351</v>
      </c>
      <c r="F118" s="45" t="s">
        <v>145</v>
      </c>
      <c r="G118" s="98" t="s">
        <v>373</v>
      </c>
      <c r="H118" s="27"/>
      <c r="I118" s="28" t="s">
        <v>81</v>
      </c>
      <c r="J118" s="28" t="s">
        <v>81</v>
      </c>
      <c r="K118" s="98">
        <v>3</v>
      </c>
      <c r="L118" s="98"/>
      <c r="M118" s="75"/>
      <c r="N118" s="91"/>
    </row>
    <row r="119" ht="68" spans="1:30">
      <c r="A119" s="93"/>
      <c r="B119" s="93"/>
      <c r="C119" s="93"/>
      <c r="D119" s="164" t="s">
        <v>374</v>
      </c>
      <c r="E119" s="98" t="s">
        <v>375</v>
      </c>
      <c r="F119" s="45" t="s">
        <v>376</v>
      </c>
      <c r="G119" s="98" t="s">
        <v>176</v>
      </c>
      <c r="H119" s="28" t="s">
        <v>81</v>
      </c>
      <c r="I119" s="27"/>
      <c r="J119" s="28" t="s">
        <v>81</v>
      </c>
      <c r="K119" s="98">
        <v>32</v>
      </c>
      <c r="L119" s="98"/>
      <c r="M119" s="75"/>
      <c r="N119" s="91"/>
    </row>
    <row r="120" ht="68" spans="1:30">
      <c r="A120" s="93"/>
      <c r="B120" s="93"/>
      <c r="C120" s="93"/>
      <c r="D120" s="164" t="s">
        <v>377</v>
      </c>
      <c r="E120" s="414" t="s">
        <v>150</v>
      </c>
      <c r="F120" s="45" t="s">
        <v>145</v>
      </c>
      <c r="G120" s="98" t="s">
        <v>354</v>
      </c>
      <c r="H120" s="28" t="s">
        <v>81</v>
      </c>
      <c r="I120" s="28" t="s">
        <v>81</v>
      </c>
      <c r="J120" s="28"/>
      <c r="K120" s="98">
        <v>2</v>
      </c>
      <c r="L120" s="98"/>
      <c r="M120" s="75"/>
      <c r="N120" s="91"/>
    </row>
    <row r="121" ht="84" spans="1:30">
      <c r="A121" s="93"/>
      <c r="B121" s="93"/>
      <c r="C121" s="93"/>
      <c r="D121" s="38" t="s">
        <v>378</v>
      </c>
      <c r="E121" s="430" t="s">
        <v>379</v>
      </c>
      <c r="F121" s="45" t="s">
        <v>145</v>
      </c>
      <c r="G121" s="39" t="s">
        <v>380</v>
      </c>
      <c r="H121" s="27"/>
      <c r="I121" s="28" t="s">
        <v>81</v>
      </c>
      <c r="J121" s="28" t="s">
        <v>81</v>
      </c>
      <c r="K121" s="98">
        <v>6</v>
      </c>
      <c r="L121" s="98"/>
      <c r="M121" s="75"/>
      <c r="N121" s="91"/>
    </row>
    <row r="122" ht="68" spans="1:30">
      <c r="A122" s="93"/>
      <c r="B122" s="93"/>
      <c r="C122" s="93"/>
      <c r="D122" s="38" t="s">
        <v>381</v>
      </c>
      <c r="E122" s="430" t="s">
        <v>382</v>
      </c>
      <c r="F122" s="45" t="s">
        <v>145</v>
      </c>
      <c r="G122" s="39" t="s">
        <v>383</v>
      </c>
      <c r="H122" s="28" t="s">
        <v>81</v>
      </c>
      <c r="I122" s="27"/>
      <c r="J122" s="28" t="s">
        <v>81</v>
      </c>
      <c r="K122" s="98">
        <v>6</v>
      </c>
      <c r="L122" s="98"/>
      <c r="M122" s="75"/>
      <c r="N122" s="91"/>
    </row>
    <row r="123" ht="68" spans="1:30">
      <c r="A123" s="110"/>
      <c r="B123" s="110"/>
      <c r="C123" s="110"/>
      <c r="D123" s="38" t="s">
        <v>338</v>
      </c>
      <c r="E123" s="430" t="s">
        <v>384</v>
      </c>
      <c r="F123" s="45" t="s">
        <v>145</v>
      </c>
      <c r="G123" s="39" t="s">
        <v>385</v>
      </c>
      <c r="H123" s="28" t="s">
        <v>81</v>
      </c>
      <c r="I123" s="28" t="s">
        <v>81</v>
      </c>
      <c r="J123" s="28"/>
      <c r="K123" s="98">
        <v>2</v>
      </c>
      <c r="L123" s="98"/>
      <c r="M123" s="75"/>
      <c r="N123" s="91"/>
    </row>
    <row r="124" ht="57.75" customHeight="1" spans="1:30">
      <c r="A124" s="103">
        <v>17</v>
      </c>
      <c r="B124" s="424" t="s">
        <v>31</v>
      </c>
      <c r="C124" s="423" t="s">
        <v>280</v>
      </c>
      <c r="D124" s="14" t="s">
        <v>78</v>
      </c>
      <c r="E124" s="120">
        <v>45775</v>
      </c>
      <c r="F124" s="121" t="s">
        <v>145</v>
      </c>
      <c r="G124" s="121" t="s">
        <v>386</v>
      </c>
      <c r="H124" s="27"/>
      <c r="I124" s="28" t="s">
        <v>81</v>
      </c>
      <c r="J124" s="28" t="s">
        <v>81</v>
      </c>
      <c r="K124" s="17">
        <v>2</v>
      </c>
      <c r="L124" s="17">
        <f>SUM(K124:K130)</f>
        <v>22</v>
      </c>
      <c r="M124" s="123" t="str">
        <f>IF(L124&gt;=20,"Memenuhi","Tidak Memenuhi")</f>
        <v>Memenuhi</v>
      </c>
      <c r="N124" s="165"/>
    </row>
    <row r="125" ht="51" spans="1:30">
      <c r="A125" s="166"/>
      <c r="B125" s="166"/>
      <c r="C125" s="166"/>
      <c r="D125" s="79" t="s">
        <v>147</v>
      </c>
      <c r="E125" s="98" t="s">
        <v>368</v>
      </c>
      <c r="F125" s="45" t="s">
        <v>145</v>
      </c>
      <c r="G125" s="45" t="s">
        <v>387</v>
      </c>
      <c r="H125" s="28" t="s">
        <v>81</v>
      </c>
      <c r="I125" s="27"/>
      <c r="J125" s="28" t="s">
        <v>81</v>
      </c>
      <c r="K125" s="39">
        <v>2</v>
      </c>
      <c r="L125" s="167"/>
      <c r="M125" s="41"/>
      <c r="N125" s="168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</row>
    <row r="126" ht="68" spans="1:30">
      <c r="A126" s="166"/>
      <c r="B126" s="166"/>
      <c r="C126" s="166"/>
      <c r="D126" s="38" t="s">
        <v>331</v>
      </c>
      <c r="E126" s="39" t="s">
        <v>150</v>
      </c>
      <c r="F126" s="45" t="s">
        <v>145</v>
      </c>
      <c r="G126" s="40" t="s">
        <v>388</v>
      </c>
      <c r="H126" s="28" t="s">
        <v>81</v>
      </c>
      <c r="I126" s="28" t="s">
        <v>81</v>
      </c>
      <c r="J126" s="28"/>
      <c r="K126" s="39">
        <v>2</v>
      </c>
      <c r="L126" s="167"/>
      <c r="M126" s="41"/>
      <c r="N126" s="168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</row>
    <row r="127" ht="84" spans="1:30">
      <c r="A127" s="166"/>
      <c r="B127" s="166"/>
      <c r="C127" s="166"/>
      <c r="D127" s="38" t="s">
        <v>378</v>
      </c>
      <c r="E127" s="39" t="s">
        <v>161</v>
      </c>
      <c r="F127" s="45" t="s">
        <v>145</v>
      </c>
      <c r="G127" s="40" t="s">
        <v>389</v>
      </c>
      <c r="H127" s="27"/>
      <c r="I127" s="28" t="s">
        <v>81</v>
      </c>
      <c r="J127" s="28" t="s">
        <v>81</v>
      </c>
      <c r="K127" s="39">
        <v>6</v>
      </c>
      <c r="L127" s="167"/>
      <c r="M127" s="41"/>
      <c r="N127" s="168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</row>
    <row r="128" ht="68" spans="1:30">
      <c r="A128" s="166"/>
      <c r="B128" s="166"/>
      <c r="C128" s="166"/>
      <c r="D128" s="38" t="s">
        <v>381</v>
      </c>
      <c r="E128" s="169">
        <v>45917</v>
      </c>
      <c r="F128" s="45" t="s">
        <v>145</v>
      </c>
      <c r="G128" s="40" t="s">
        <v>390</v>
      </c>
      <c r="H128" s="28" t="s">
        <v>81</v>
      </c>
      <c r="I128" s="27"/>
      <c r="J128" s="28" t="s">
        <v>81</v>
      </c>
      <c r="K128" s="39">
        <v>6</v>
      </c>
      <c r="L128" s="167"/>
      <c r="M128" s="41"/>
      <c r="N128" s="168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</row>
    <row r="129" ht="68" spans="1:30">
      <c r="A129" s="166"/>
      <c r="B129" s="166"/>
      <c r="C129" s="166"/>
      <c r="D129" s="38" t="s">
        <v>225</v>
      </c>
      <c r="E129" s="39" t="s">
        <v>391</v>
      </c>
      <c r="F129" s="40" t="s">
        <v>145</v>
      </c>
      <c r="G129" s="40" t="s">
        <v>392</v>
      </c>
      <c r="H129" s="28" t="s">
        <v>81</v>
      </c>
      <c r="I129" s="28" t="s">
        <v>81</v>
      </c>
      <c r="J129" s="28"/>
      <c r="K129" s="39">
        <v>2</v>
      </c>
      <c r="L129" s="167"/>
      <c r="M129" s="41"/>
      <c r="N129" s="168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</row>
    <row r="130" ht="84" spans="1:30">
      <c r="A130" s="170"/>
      <c r="B130" s="170"/>
      <c r="C130" s="170"/>
      <c r="D130" s="38" t="s">
        <v>393</v>
      </c>
      <c r="E130" s="39" t="s">
        <v>394</v>
      </c>
      <c r="F130" s="40" t="s">
        <v>395</v>
      </c>
      <c r="G130" s="40" t="s">
        <v>396</v>
      </c>
      <c r="H130" s="27"/>
      <c r="I130" s="28" t="s">
        <v>81</v>
      </c>
      <c r="J130" s="28" t="s">
        <v>81</v>
      </c>
      <c r="K130" s="39">
        <v>2</v>
      </c>
      <c r="L130" s="167"/>
      <c r="M130" s="41"/>
      <c r="N130" s="168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</row>
    <row r="131" ht="57.75" customHeight="1" spans="1:30">
      <c r="A131" s="11">
        <v>18</v>
      </c>
      <c r="B131" s="171" t="s">
        <v>33</v>
      </c>
      <c r="C131" s="423" t="s">
        <v>280</v>
      </c>
      <c r="D131" s="172" t="s">
        <v>324</v>
      </c>
      <c r="E131" s="173">
        <v>45825</v>
      </c>
      <c r="F131" s="16" t="s">
        <v>325</v>
      </c>
      <c r="G131" s="16" t="s">
        <v>397</v>
      </c>
      <c r="H131" s="28" t="s">
        <v>81</v>
      </c>
      <c r="I131" s="27"/>
      <c r="J131" s="28" t="s">
        <v>81</v>
      </c>
      <c r="K131" s="18">
        <v>4</v>
      </c>
      <c r="L131" s="113">
        <f>SUM(K131:K138)</f>
        <v>21</v>
      </c>
      <c r="M131" s="19" t="str">
        <f>IF(L131&gt;=20,"Memenuhi","Tidak Memenuhi")</f>
        <v>Memenuhi</v>
      </c>
      <c r="N131" s="91"/>
    </row>
    <row r="132" ht="82.5" customHeight="1" spans="1:30">
      <c r="A132" s="60"/>
      <c r="B132" s="92"/>
      <c r="C132" s="93" t="s">
        <v>105</v>
      </c>
      <c r="D132" s="174" t="s">
        <v>398</v>
      </c>
      <c r="E132" s="175">
        <v>45734</v>
      </c>
      <c r="F132" s="176" t="s">
        <v>399</v>
      </c>
      <c r="G132" s="176" t="s">
        <v>400</v>
      </c>
      <c r="H132" s="28" t="s">
        <v>81</v>
      </c>
      <c r="I132" s="28" t="s">
        <v>81</v>
      </c>
      <c r="J132" s="28"/>
      <c r="K132" s="177">
        <v>3</v>
      </c>
      <c r="L132" s="177" t="s">
        <v>401</v>
      </c>
      <c r="M132" s="144"/>
      <c r="N132" s="91"/>
    </row>
    <row r="133" ht="68" spans="1:30">
      <c r="A133" s="60"/>
      <c r="B133" s="92"/>
      <c r="C133" s="431" t="s">
        <v>280</v>
      </c>
      <c r="D133" s="176" t="s">
        <v>402</v>
      </c>
      <c r="E133" s="178">
        <v>45775</v>
      </c>
      <c r="F133" s="176" t="s">
        <v>395</v>
      </c>
      <c r="G133" s="176" t="s">
        <v>403</v>
      </c>
      <c r="H133" s="27"/>
      <c r="I133" s="28" t="s">
        <v>81</v>
      </c>
      <c r="J133" s="28" t="s">
        <v>81</v>
      </c>
      <c r="K133" s="177">
        <v>2</v>
      </c>
      <c r="L133" s="177" t="s">
        <v>401</v>
      </c>
      <c r="M133" s="144"/>
      <c r="N133" s="91"/>
    </row>
    <row r="134" ht="51" spans="1:30">
      <c r="A134" s="60"/>
      <c r="B134" s="92"/>
      <c r="C134" s="93"/>
      <c r="D134" s="79" t="s">
        <v>147</v>
      </c>
      <c r="E134" s="179" t="s">
        <v>404</v>
      </c>
      <c r="F134" s="176" t="s">
        <v>395</v>
      </c>
      <c r="G134" s="176" t="s">
        <v>405</v>
      </c>
      <c r="H134" s="28" t="s">
        <v>81</v>
      </c>
      <c r="I134" s="27"/>
      <c r="J134" s="28" t="s">
        <v>81</v>
      </c>
      <c r="K134" s="177">
        <v>2</v>
      </c>
      <c r="L134" s="177" t="s">
        <v>401</v>
      </c>
      <c r="M134" s="144"/>
      <c r="N134" s="91"/>
    </row>
    <row r="135" ht="51" spans="1:30">
      <c r="A135" s="60"/>
      <c r="B135" s="92"/>
      <c r="C135" s="93"/>
      <c r="D135" s="176" t="s">
        <v>329</v>
      </c>
      <c r="E135" s="179" t="s">
        <v>406</v>
      </c>
      <c r="F135" s="176" t="s">
        <v>360</v>
      </c>
      <c r="G135" s="176" t="s">
        <v>407</v>
      </c>
      <c r="H135" s="28" t="s">
        <v>81</v>
      </c>
      <c r="I135" s="28" t="s">
        <v>81</v>
      </c>
      <c r="J135" s="28"/>
      <c r="K135" s="177">
        <v>4</v>
      </c>
      <c r="L135" s="177"/>
      <c r="M135" s="144"/>
      <c r="N135" s="91"/>
    </row>
    <row r="136" ht="68" spans="1:30">
      <c r="A136" s="60"/>
      <c r="B136" s="92"/>
      <c r="C136" s="93"/>
      <c r="D136" s="176" t="s">
        <v>152</v>
      </c>
      <c r="E136" s="179" t="s">
        <v>408</v>
      </c>
      <c r="F136" s="176" t="s">
        <v>409</v>
      </c>
      <c r="G136" s="176" t="s">
        <v>410</v>
      </c>
      <c r="H136" s="27"/>
      <c r="I136" s="28" t="s">
        <v>81</v>
      </c>
      <c r="J136" s="28" t="s">
        <v>81</v>
      </c>
      <c r="K136" s="177">
        <v>2</v>
      </c>
      <c r="L136" s="177"/>
      <c r="M136" s="144"/>
      <c r="N136" s="91"/>
    </row>
    <row r="137" ht="51" spans="1:30">
      <c r="A137" s="115"/>
      <c r="B137" s="99"/>
      <c r="C137" s="110"/>
      <c r="D137" s="176" t="s">
        <v>411</v>
      </c>
      <c r="E137" s="179" t="s">
        <v>412</v>
      </c>
      <c r="F137" s="176" t="s">
        <v>395</v>
      </c>
      <c r="G137" s="176" t="s">
        <v>413</v>
      </c>
      <c r="H137" s="28" t="s">
        <v>81</v>
      </c>
      <c r="I137" s="27"/>
      <c r="J137" s="28" t="s">
        <v>81</v>
      </c>
      <c r="K137" s="177">
        <v>2</v>
      </c>
      <c r="L137" s="177"/>
      <c r="M137" s="144"/>
      <c r="N137" s="91"/>
    </row>
    <row r="138" ht="70.5" customHeight="1" spans="1:30">
      <c r="A138" s="180">
        <v>19</v>
      </c>
      <c r="B138" s="181" t="s">
        <v>35</v>
      </c>
      <c r="C138" s="432" t="s">
        <v>280</v>
      </c>
      <c r="D138" s="183" t="s">
        <v>152</v>
      </c>
      <c r="E138" s="184" t="s">
        <v>408</v>
      </c>
      <c r="F138" s="185" t="s">
        <v>414</v>
      </c>
      <c r="G138" s="185" t="s">
        <v>415</v>
      </c>
      <c r="H138" s="28" t="s">
        <v>81</v>
      </c>
      <c r="I138" s="28" t="s">
        <v>81</v>
      </c>
      <c r="J138" s="28"/>
      <c r="K138" s="186">
        <v>2</v>
      </c>
      <c r="L138" s="186">
        <v>4</v>
      </c>
      <c r="M138" s="187" t="str">
        <f>IF(L138&gt;=20,"Memenuhi","Tidak Memenuhi")</f>
        <v>Tidak Memenuhi</v>
      </c>
      <c r="N138" s="91"/>
    </row>
    <row r="139" ht="55.5" customHeight="1" spans="1:30">
      <c r="A139" s="22"/>
      <c r="B139" s="68"/>
      <c r="C139" s="433" t="s">
        <v>416</v>
      </c>
      <c r="D139" s="25" t="s">
        <v>121</v>
      </c>
      <c r="E139" s="64" t="s">
        <v>122</v>
      </c>
      <c r="F139" s="47" t="s">
        <v>123</v>
      </c>
      <c r="G139" s="47" t="s">
        <v>417</v>
      </c>
      <c r="H139" s="27"/>
      <c r="I139" s="28" t="s">
        <v>81</v>
      </c>
      <c r="J139" s="28" t="s">
        <v>81</v>
      </c>
      <c r="K139" s="64">
        <v>4</v>
      </c>
      <c r="L139" s="29"/>
      <c r="M139" s="30"/>
      <c r="N139" s="27"/>
    </row>
    <row r="140" ht="70.5" customHeight="1" spans="1:30">
      <c r="A140" s="60"/>
      <c r="B140" s="189"/>
      <c r="C140" s="78"/>
      <c r="D140" s="79" t="s">
        <v>356</v>
      </c>
      <c r="E140" s="74" t="s">
        <v>285</v>
      </c>
      <c r="F140" s="71" t="s">
        <v>286</v>
      </c>
      <c r="G140" s="72" t="s">
        <v>418</v>
      </c>
      <c r="H140" s="28" t="s">
        <v>81</v>
      </c>
      <c r="I140" s="27"/>
      <c r="J140" s="28" t="s">
        <v>81</v>
      </c>
      <c r="K140" s="74">
        <v>2</v>
      </c>
      <c r="L140" s="74"/>
      <c r="M140" s="75"/>
      <c r="N140" s="91"/>
    </row>
    <row r="141" ht="57.75" customHeight="1" spans="1:30">
      <c r="A141" s="11">
        <v>20</v>
      </c>
      <c r="B141" s="171" t="s">
        <v>38</v>
      </c>
      <c r="C141" s="419" t="s">
        <v>280</v>
      </c>
      <c r="D141" s="14" t="s">
        <v>402</v>
      </c>
      <c r="E141" s="434" t="s">
        <v>419</v>
      </c>
      <c r="F141" s="190" t="s">
        <v>79</v>
      </c>
      <c r="G141" s="435" t="s">
        <v>420</v>
      </c>
      <c r="H141" s="28" t="s">
        <v>81</v>
      </c>
      <c r="I141" s="28" t="s">
        <v>81</v>
      </c>
      <c r="J141" s="28"/>
      <c r="K141" s="17">
        <v>2</v>
      </c>
      <c r="L141" s="17">
        <f>SUM(K141:K149)</f>
        <v>28</v>
      </c>
      <c r="M141" s="123" t="str">
        <f>IF(L141&gt;=20,"Memenuhi","Tidak Memenuhi")</f>
        <v>Memenuhi</v>
      </c>
      <c r="N141" s="91"/>
    </row>
    <row r="142" ht="51" spans="1:30">
      <c r="A142" s="35"/>
      <c r="B142" s="88"/>
      <c r="C142" s="166"/>
      <c r="D142" s="79" t="s">
        <v>147</v>
      </c>
      <c r="E142" s="430" t="s">
        <v>368</v>
      </c>
      <c r="F142" s="40" t="s">
        <v>79</v>
      </c>
      <c r="G142" s="40" t="s">
        <v>421</v>
      </c>
      <c r="H142" s="27"/>
      <c r="I142" s="28" t="s">
        <v>81</v>
      </c>
      <c r="J142" s="28" t="s">
        <v>81</v>
      </c>
      <c r="K142" s="39">
        <v>2</v>
      </c>
      <c r="L142" s="39"/>
      <c r="M142" s="41"/>
      <c r="N142" s="91"/>
    </row>
    <row r="143" ht="68" spans="1:30">
      <c r="A143" s="35"/>
      <c r="B143" s="88"/>
      <c r="C143" s="166"/>
      <c r="D143" s="38" t="s">
        <v>377</v>
      </c>
      <c r="E143" s="39" t="s">
        <v>406</v>
      </c>
      <c r="F143" s="40" t="s">
        <v>79</v>
      </c>
      <c r="G143" s="40" t="s">
        <v>422</v>
      </c>
      <c r="H143" s="28" t="s">
        <v>81</v>
      </c>
      <c r="I143" s="27"/>
      <c r="J143" s="28" t="s">
        <v>81</v>
      </c>
      <c r="K143" s="39">
        <v>2</v>
      </c>
      <c r="L143" s="39"/>
      <c r="M143" s="41"/>
      <c r="N143" s="91"/>
    </row>
    <row r="144" ht="51" spans="1:30">
      <c r="A144" s="35"/>
      <c r="B144" s="88"/>
      <c r="C144" s="191"/>
      <c r="D144" s="38" t="s">
        <v>329</v>
      </c>
      <c r="E144" s="39" t="s">
        <v>406</v>
      </c>
      <c r="F144" s="40" t="s">
        <v>358</v>
      </c>
      <c r="G144" s="40" t="s">
        <v>423</v>
      </c>
      <c r="H144" s="28" t="s">
        <v>81</v>
      </c>
      <c r="I144" s="28" t="s">
        <v>81</v>
      </c>
      <c r="J144" s="28"/>
      <c r="K144" s="39">
        <v>4</v>
      </c>
      <c r="L144" s="167"/>
      <c r="M144" s="41"/>
      <c r="N144" s="91"/>
    </row>
    <row r="145" ht="68" spans="1:14">
      <c r="A145" s="35"/>
      <c r="B145" s="88"/>
      <c r="C145" s="191"/>
      <c r="D145" s="38" t="s">
        <v>152</v>
      </c>
      <c r="E145" s="39" t="s">
        <v>408</v>
      </c>
      <c r="F145" s="40" t="s">
        <v>399</v>
      </c>
      <c r="G145" s="40" t="s">
        <v>424</v>
      </c>
      <c r="H145" s="27"/>
      <c r="I145" s="28" t="s">
        <v>81</v>
      </c>
      <c r="J145" s="28" t="s">
        <v>81</v>
      </c>
      <c r="K145" s="39">
        <v>2</v>
      </c>
      <c r="L145" s="167"/>
      <c r="M145" s="41"/>
      <c r="N145" s="91"/>
    </row>
    <row r="146" ht="101" spans="1:14">
      <c r="A146" s="35"/>
      <c r="B146" s="88"/>
      <c r="C146" s="191"/>
      <c r="D146" s="38" t="s">
        <v>160</v>
      </c>
      <c r="E146" s="39" t="s">
        <v>94</v>
      </c>
      <c r="F146" s="40" t="s">
        <v>79</v>
      </c>
      <c r="G146" s="40" t="s">
        <v>425</v>
      </c>
      <c r="H146" s="28" t="s">
        <v>81</v>
      </c>
      <c r="I146" s="27"/>
      <c r="J146" s="28" t="s">
        <v>81</v>
      </c>
      <c r="K146" s="39">
        <v>6</v>
      </c>
      <c r="L146" s="167"/>
      <c r="M146" s="41"/>
      <c r="N146" s="91"/>
    </row>
    <row r="147" ht="84" spans="1:14">
      <c r="A147" s="35"/>
      <c r="B147" s="88"/>
      <c r="C147" s="191"/>
      <c r="D147" s="38" t="s">
        <v>426</v>
      </c>
      <c r="E147" s="39" t="s">
        <v>427</v>
      </c>
      <c r="F147" s="40" t="s">
        <v>145</v>
      </c>
      <c r="G147" s="40" t="s">
        <v>428</v>
      </c>
      <c r="H147" s="28" t="s">
        <v>81</v>
      </c>
      <c r="I147" s="28" t="s">
        <v>81</v>
      </c>
      <c r="J147" s="28"/>
      <c r="K147" s="39">
        <v>2</v>
      </c>
      <c r="L147" s="167"/>
      <c r="M147" s="41"/>
      <c r="N147" s="91"/>
    </row>
    <row r="148" ht="101" spans="1:14">
      <c r="A148" s="35"/>
      <c r="B148" s="88"/>
      <c r="C148" s="191"/>
      <c r="D148" s="38" t="s">
        <v>364</v>
      </c>
      <c r="E148" s="39" t="s">
        <v>429</v>
      </c>
      <c r="F148" s="40" t="s">
        <v>395</v>
      </c>
      <c r="G148" s="40" t="s">
        <v>430</v>
      </c>
      <c r="H148" s="27"/>
      <c r="I148" s="28" t="s">
        <v>81</v>
      </c>
      <c r="J148" s="28" t="s">
        <v>81</v>
      </c>
      <c r="K148" s="39">
        <v>6</v>
      </c>
      <c r="L148" s="167"/>
      <c r="M148" s="41"/>
      <c r="N148" s="91"/>
    </row>
    <row r="149" ht="84" spans="1:14">
      <c r="A149" s="192"/>
      <c r="B149" s="193"/>
      <c r="C149" s="194"/>
      <c r="D149" s="38" t="s">
        <v>207</v>
      </c>
      <c r="E149" s="39" t="s">
        <v>431</v>
      </c>
      <c r="F149" s="40" t="s">
        <v>79</v>
      </c>
      <c r="G149" s="40" t="s">
        <v>432</v>
      </c>
      <c r="H149" s="28" t="s">
        <v>81</v>
      </c>
      <c r="I149" s="27"/>
      <c r="J149" s="28" t="s">
        <v>81</v>
      </c>
      <c r="K149" s="39">
        <v>2</v>
      </c>
      <c r="L149" s="167"/>
      <c r="M149" s="41"/>
      <c r="N149" s="91"/>
    </row>
    <row r="150" ht="81" customHeight="1" spans="1:14">
      <c r="A150" s="143">
        <v>21</v>
      </c>
      <c r="B150" s="195" t="s">
        <v>433</v>
      </c>
      <c r="C150" s="423" t="s">
        <v>434</v>
      </c>
      <c r="D150" s="14" t="s">
        <v>177</v>
      </c>
      <c r="E150" s="15" t="s">
        <v>257</v>
      </c>
      <c r="F150" s="16" t="s">
        <v>344</v>
      </c>
      <c r="G150" s="16" t="s">
        <v>435</v>
      </c>
      <c r="H150" s="28" t="s">
        <v>81</v>
      </c>
      <c r="I150" s="28" t="s">
        <v>81</v>
      </c>
      <c r="J150" s="28"/>
      <c r="K150" s="18">
        <v>25</v>
      </c>
      <c r="L150" s="113">
        <f>K150</f>
        <v>25</v>
      </c>
      <c r="M150" s="20" t="str">
        <f>IF(L150&gt;=20,"Memenuhi","Tidak Memenuhi")</f>
        <v>Memenuhi</v>
      </c>
      <c r="N150" s="105"/>
    </row>
    <row r="151" ht="115.5" customHeight="1" spans="1:14">
      <c r="A151" s="60">
        <v>22</v>
      </c>
      <c r="B151" s="196" t="s">
        <v>436</v>
      </c>
      <c r="C151" s="197"/>
      <c r="D151" s="198" t="s">
        <v>437</v>
      </c>
      <c r="E151" s="436" t="s">
        <v>368</v>
      </c>
      <c r="F151" s="121" t="s">
        <v>145</v>
      </c>
      <c r="G151" s="121" t="s">
        <v>438</v>
      </c>
      <c r="H151" s="27"/>
      <c r="I151" s="28" t="s">
        <v>81</v>
      </c>
      <c r="J151" s="28" t="s">
        <v>81</v>
      </c>
      <c r="K151" s="17">
        <v>2</v>
      </c>
      <c r="L151" s="122">
        <f>SUM(K151:K159)</f>
        <v>26</v>
      </c>
      <c r="M151" s="199" t="str">
        <f>IF(L151&gt;=20,"Memenuhi","Tidak Memenuhi")</f>
        <v>Memenuhi</v>
      </c>
      <c r="N151" s="105"/>
    </row>
    <row r="152" ht="57.75" customHeight="1" spans="1:14">
      <c r="A152" s="60"/>
      <c r="B152" s="200"/>
      <c r="C152" s="93"/>
      <c r="D152" s="150" t="s">
        <v>78</v>
      </c>
      <c r="E152" s="437" t="s">
        <v>419</v>
      </c>
      <c r="F152" s="45" t="s">
        <v>439</v>
      </c>
      <c r="G152" s="45" t="s">
        <v>440</v>
      </c>
      <c r="H152" s="28" t="s">
        <v>81</v>
      </c>
      <c r="I152" s="27"/>
      <c r="J152" s="28" t="s">
        <v>81</v>
      </c>
      <c r="K152" s="98">
        <v>2</v>
      </c>
      <c r="L152" s="98"/>
      <c r="M152" s="98"/>
      <c r="N152" s="105"/>
    </row>
    <row r="153" ht="86.25" customHeight="1" spans="1:14">
      <c r="A153" s="60"/>
      <c r="B153" s="200"/>
      <c r="C153" s="93"/>
      <c r="D153" s="150" t="s">
        <v>441</v>
      </c>
      <c r="E153" s="437" t="s">
        <v>442</v>
      </c>
      <c r="F153" s="45" t="s">
        <v>154</v>
      </c>
      <c r="G153" s="45" t="s">
        <v>443</v>
      </c>
      <c r="H153" s="28" t="s">
        <v>81</v>
      </c>
      <c r="I153" s="28" t="s">
        <v>81</v>
      </c>
      <c r="J153" s="28"/>
      <c r="K153" s="98">
        <v>2</v>
      </c>
      <c r="L153" s="98"/>
      <c r="M153" s="98"/>
      <c r="N153" s="105"/>
    </row>
    <row r="154" ht="86.25" customHeight="1" spans="1:14">
      <c r="A154" s="60"/>
      <c r="B154" s="200"/>
      <c r="C154" s="93"/>
      <c r="D154" s="150" t="s">
        <v>444</v>
      </c>
      <c r="E154" s="437" t="s">
        <v>445</v>
      </c>
      <c r="F154" s="45" t="s">
        <v>154</v>
      </c>
      <c r="G154" s="45" t="s">
        <v>446</v>
      </c>
      <c r="H154" s="27"/>
      <c r="I154" s="28" t="s">
        <v>81</v>
      </c>
      <c r="J154" s="28" t="s">
        <v>81</v>
      </c>
      <c r="K154" s="98">
        <v>3</v>
      </c>
      <c r="L154" s="98"/>
      <c r="M154" s="98"/>
      <c r="N154" s="105"/>
    </row>
    <row r="155" ht="101.25" customHeight="1" spans="1:14">
      <c r="A155" s="60"/>
      <c r="B155" s="200"/>
      <c r="C155" s="93"/>
      <c r="D155" s="150" t="s">
        <v>447</v>
      </c>
      <c r="E155" s="437" t="s">
        <v>448</v>
      </c>
      <c r="F155" s="45" t="s">
        <v>154</v>
      </c>
      <c r="G155" s="45" t="s">
        <v>449</v>
      </c>
      <c r="H155" s="28" t="s">
        <v>81</v>
      </c>
      <c r="I155" s="27"/>
      <c r="J155" s="28" t="s">
        <v>81</v>
      </c>
      <c r="K155" s="98">
        <v>3</v>
      </c>
      <c r="L155" s="98"/>
      <c r="M155" s="98"/>
      <c r="N155" s="105"/>
    </row>
    <row r="156" ht="57.75" customHeight="1" spans="1:14">
      <c r="A156" s="60"/>
      <c r="B156" s="200"/>
      <c r="C156" s="93"/>
      <c r="D156" s="150" t="s">
        <v>450</v>
      </c>
      <c r="E156" s="437" t="s">
        <v>451</v>
      </c>
      <c r="F156" s="45" t="s">
        <v>452</v>
      </c>
      <c r="G156" s="45" t="s">
        <v>453</v>
      </c>
      <c r="H156" s="28" t="s">
        <v>81</v>
      </c>
      <c r="I156" s="28" t="s">
        <v>81</v>
      </c>
      <c r="J156" s="28"/>
      <c r="K156" s="98">
        <v>4</v>
      </c>
      <c r="L156" s="98"/>
      <c r="M156" s="98"/>
      <c r="N156" s="105"/>
    </row>
    <row r="157" ht="57.75" customHeight="1" spans="1:14">
      <c r="A157" s="60"/>
      <c r="B157" s="200"/>
      <c r="C157" s="93"/>
      <c r="D157" s="150" t="s">
        <v>454</v>
      </c>
      <c r="E157" s="437" t="s">
        <v>455</v>
      </c>
      <c r="F157" s="45" t="s">
        <v>452</v>
      </c>
      <c r="G157" s="45"/>
      <c r="H157" s="27"/>
      <c r="I157" s="28" t="s">
        <v>81</v>
      </c>
      <c r="J157" s="28" t="s">
        <v>81</v>
      </c>
      <c r="K157" s="98">
        <v>4</v>
      </c>
      <c r="L157" s="98"/>
      <c r="M157" s="98"/>
      <c r="N157" s="105"/>
    </row>
    <row r="158" ht="72" customHeight="1" spans="1:14">
      <c r="A158" s="60"/>
      <c r="B158" s="200"/>
      <c r="C158" s="93"/>
      <c r="D158" s="150" t="s">
        <v>456</v>
      </c>
      <c r="E158" s="97">
        <v>45831</v>
      </c>
      <c r="F158" s="45" t="s">
        <v>79</v>
      </c>
      <c r="G158" s="45" t="s">
        <v>457</v>
      </c>
      <c r="H158" s="28" t="s">
        <v>81</v>
      </c>
      <c r="I158" s="27"/>
      <c r="J158" s="28" t="s">
        <v>81</v>
      </c>
      <c r="K158" s="98">
        <v>3</v>
      </c>
      <c r="L158" s="98"/>
      <c r="M158" s="98"/>
      <c r="N158" s="105"/>
    </row>
    <row r="159" ht="101.25" customHeight="1" spans="1:14">
      <c r="A159" s="60"/>
      <c r="B159" s="201"/>
      <c r="C159" s="93"/>
      <c r="D159" s="150" t="s">
        <v>458</v>
      </c>
      <c r="E159" s="97">
        <v>45848</v>
      </c>
      <c r="F159" s="45" t="s">
        <v>79</v>
      </c>
      <c r="G159" s="45" t="s">
        <v>459</v>
      </c>
      <c r="H159" s="28" t="s">
        <v>81</v>
      </c>
      <c r="I159" s="28" t="s">
        <v>81</v>
      </c>
      <c r="J159" s="28"/>
      <c r="K159" s="98">
        <v>3</v>
      </c>
      <c r="L159" s="98"/>
      <c r="M159" s="98"/>
      <c r="N159" s="105"/>
    </row>
    <row r="160" ht="78.75" customHeight="1" spans="1:14">
      <c r="A160" s="115"/>
      <c r="B160" s="196"/>
      <c r="C160" s="438" t="s">
        <v>280</v>
      </c>
      <c r="D160" s="79" t="s">
        <v>356</v>
      </c>
      <c r="E160" s="74" t="s">
        <v>285</v>
      </c>
      <c r="F160" s="71" t="s">
        <v>286</v>
      </c>
      <c r="G160" s="72" t="s">
        <v>418</v>
      </c>
      <c r="H160" s="27"/>
      <c r="I160" s="28" t="s">
        <v>81</v>
      </c>
      <c r="J160" s="28" t="s">
        <v>81</v>
      </c>
      <c r="K160" s="74">
        <v>2</v>
      </c>
      <c r="L160" s="74"/>
      <c r="M160" s="111"/>
      <c r="N160" s="91"/>
    </row>
    <row r="161" ht="82.5" customHeight="1" spans="1:30">
      <c r="A161" s="145">
        <v>22</v>
      </c>
      <c r="B161" s="85" t="s">
        <v>40</v>
      </c>
      <c r="C161" s="420" t="s">
        <v>280</v>
      </c>
      <c r="D161" s="16" t="s">
        <v>115</v>
      </c>
      <c r="E161" s="15">
        <v>45791</v>
      </c>
      <c r="F161" s="16" t="s">
        <v>116</v>
      </c>
      <c r="G161" s="16" t="s">
        <v>460</v>
      </c>
      <c r="H161" s="28" t="s">
        <v>81</v>
      </c>
      <c r="I161" s="27"/>
      <c r="J161" s="28" t="s">
        <v>81</v>
      </c>
      <c r="K161" s="18">
        <v>20</v>
      </c>
      <c r="L161" s="113">
        <f>K161+K162</f>
        <v>22</v>
      </c>
      <c r="M161" s="202" t="str">
        <f>IF(L161&gt;=20,"Memenuhi","Tidak Memenuhi")</f>
        <v>Memenuhi</v>
      </c>
      <c r="N161" s="105"/>
    </row>
    <row r="162" ht="129" customHeight="1" spans="1:30">
      <c r="A162" s="99"/>
      <c r="B162" s="100"/>
      <c r="C162" s="203"/>
      <c r="D162" s="110" t="s">
        <v>402</v>
      </c>
      <c r="E162" s="204">
        <v>45775</v>
      </c>
      <c r="F162" s="205" t="s">
        <v>79</v>
      </c>
      <c r="G162" s="206" t="s">
        <v>461</v>
      </c>
      <c r="H162" s="28" t="s">
        <v>81</v>
      </c>
      <c r="I162" s="28" t="s">
        <v>81</v>
      </c>
      <c r="J162" s="28"/>
      <c r="K162" s="207">
        <v>2</v>
      </c>
      <c r="L162" s="208"/>
      <c r="M162" s="209"/>
      <c r="N162" s="105"/>
    </row>
    <row r="163" ht="115.5" customHeight="1" spans="1:30">
      <c r="A163" s="143">
        <v>23</v>
      </c>
      <c r="B163" s="210" t="s">
        <v>42</v>
      </c>
      <c r="C163" s="419" t="s">
        <v>280</v>
      </c>
      <c r="D163" s="14" t="s">
        <v>462</v>
      </c>
      <c r="E163" s="15" t="s">
        <v>463</v>
      </c>
      <c r="F163" s="16" t="s">
        <v>145</v>
      </c>
      <c r="G163" s="16" t="s">
        <v>464</v>
      </c>
      <c r="H163" s="27"/>
      <c r="I163" s="28" t="s">
        <v>81</v>
      </c>
      <c r="J163" s="28" t="s">
        <v>81</v>
      </c>
      <c r="K163" s="18">
        <v>4</v>
      </c>
      <c r="L163" s="113">
        <f>SUM(K163:K171)</f>
        <v>31</v>
      </c>
      <c r="M163" s="19" t="str">
        <f>IF(L163&gt;=20,"Memenuhi","Tidak Memenuhi")</f>
        <v>Memenuhi</v>
      </c>
      <c r="N163" s="91"/>
    </row>
    <row r="164" ht="51" spans="1:30">
      <c r="A164" s="60"/>
      <c r="B164" s="92"/>
      <c r="C164" s="93"/>
      <c r="D164" s="79" t="s">
        <v>318</v>
      </c>
      <c r="E164" s="73" t="s">
        <v>465</v>
      </c>
      <c r="F164" s="72" t="s">
        <v>145</v>
      </c>
      <c r="G164" s="72" t="s">
        <v>466</v>
      </c>
      <c r="H164" s="28" t="s">
        <v>81</v>
      </c>
      <c r="I164" s="27"/>
      <c r="J164" s="28" t="s">
        <v>81</v>
      </c>
      <c r="K164" s="74">
        <v>2</v>
      </c>
      <c r="L164" s="74"/>
      <c r="M164" s="144"/>
      <c r="N164" s="91"/>
    </row>
    <row r="165" ht="68" spans="1:30">
      <c r="A165" s="60"/>
      <c r="B165" s="92"/>
      <c r="C165" s="93"/>
      <c r="D165" s="80" t="s">
        <v>348</v>
      </c>
      <c r="E165" s="439" t="s">
        <v>170</v>
      </c>
      <c r="F165" s="108" t="s">
        <v>467</v>
      </c>
      <c r="G165" s="108" t="s">
        <v>468</v>
      </c>
      <c r="H165" s="28" t="s">
        <v>81</v>
      </c>
      <c r="I165" s="28" t="s">
        <v>81</v>
      </c>
      <c r="J165" s="28"/>
      <c r="K165" s="212">
        <v>6</v>
      </c>
      <c r="L165" s="74"/>
      <c r="M165" s="144"/>
      <c r="N165" s="91"/>
    </row>
    <row r="166" ht="51" spans="1:30">
      <c r="A166" s="60"/>
      <c r="B166" s="92"/>
      <c r="C166" s="93"/>
      <c r="D166" s="79" t="s">
        <v>147</v>
      </c>
      <c r="E166" s="211" t="s">
        <v>469</v>
      </c>
      <c r="F166" s="108" t="s">
        <v>145</v>
      </c>
      <c r="G166" s="108" t="s">
        <v>470</v>
      </c>
      <c r="H166" s="27"/>
      <c r="I166" s="28" t="s">
        <v>81</v>
      </c>
      <c r="J166" s="28" t="s">
        <v>81</v>
      </c>
      <c r="K166" s="212">
        <v>2</v>
      </c>
      <c r="L166" s="74"/>
      <c r="M166" s="144"/>
      <c r="N166" s="91"/>
    </row>
    <row r="167" ht="51" spans="1:30">
      <c r="A167" s="60"/>
      <c r="B167" s="92"/>
      <c r="C167" s="93"/>
      <c r="D167" s="80" t="s">
        <v>450</v>
      </c>
      <c r="E167" s="211" t="s">
        <v>471</v>
      </c>
      <c r="F167" s="108" t="s">
        <v>322</v>
      </c>
      <c r="G167" s="108" t="s">
        <v>472</v>
      </c>
      <c r="H167" s="28" t="s">
        <v>81</v>
      </c>
      <c r="I167" s="27"/>
      <c r="J167" s="28" t="s">
        <v>81</v>
      </c>
      <c r="K167" s="212">
        <v>4</v>
      </c>
      <c r="L167" s="74"/>
      <c r="M167" s="144"/>
      <c r="N167" s="91"/>
    </row>
    <row r="168" ht="68" spans="1:30">
      <c r="A168" s="60"/>
      <c r="B168" s="92"/>
      <c r="C168" s="93"/>
      <c r="D168" s="80" t="s">
        <v>456</v>
      </c>
      <c r="E168" s="211" t="s">
        <v>473</v>
      </c>
      <c r="F168" s="108" t="s">
        <v>79</v>
      </c>
      <c r="G168" s="108" t="s">
        <v>474</v>
      </c>
      <c r="H168" s="28" t="s">
        <v>81</v>
      </c>
      <c r="I168" s="28" t="s">
        <v>81</v>
      </c>
      <c r="J168" s="28"/>
      <c r="K168" s="212">
        <v>3</v>
      </c>
      <c r="L168" s="74"/>
      <c r="M168" s="144"/>
      <c r="N168" s="91"/>
    </row>
    <row r="169" ht="68" spans="1:30">
      <c r="A169" s="60"/>
      <c r="B169" s="92"/>
      <c r="C169" s="93"/>
      <c r="D169" s="80" t="s">
        <v>331</v>
      </c>
      <c r="E169" s="211" t="s">
        <v>475</v>
      </c>
      <c r="F169" s="108" t="s">
        <v>79</v>
      </c>
      <c r="G169" s="108" t="s">
        <v>476</v>
      </c>
      <c r="H169" s="27"/>
      <c r="I169" s="28" t="s">
        <v>81</v>
      </c>
      <c r="J169" s="28" t="s">
        <v>81</v>
      </c>
      <c r="K169" s="212">
        <v>2</v>
      </c>
      <c r="L169" s="74"/>
      <c r="M169" s="144"/>
      <c r="N169" s="91"/>
    </row>
    <row r="170" ht="51" spans="1:30">
      <c r="A170" s="60"/>
      <c r="B170" s="92"/>
      <c r="C170" s="93"/>
      <c r="D170" s="80" t="s">
        <v>324</v>
      </c>
      <c r="E170" s="211" t="s">
        <v>477</v>
      </c>
      <c r="F170" s="108" t="s">
        <v>325</v>
      </c>
      <c r="G170" s="108" t="s">
        <v>478</v>
      </c>
      <c r="H170" s="28" t="s">
        <v>81</v>
      </c>
      <c r="I170" s="27"/>
      <c r="J170" s="28" t="s">
        <v>81</v>
      </c>
      <c r="K170" s="212">
        <v>4</v>
      </c>
      <c r="L170" s="74"/>
      <c r="M170" s="144"/>
      <c r="N170" s="91"/>
    </row>
    <row r="171" ht="51" spans="1:30">
      <c r="A171" s="60"/>
      <c r="B171" s="92"/>
      <c r="C171" s="93"/>
      <c r="D171" s="80" t="s">
        <v>329</v>
      </c>
      <c r="E171" s="211" t="s">
        <v>475</v>
      </c>
      <c r="F171" s="108" t="s">
        <v>325</v>
      </c>
      <c r="G171" s="108" t="s">
        <v>479</v>
      </c>
      <c r="H171" s="28" t="s">
        <v>81</v>
      </c>
      <c r="I171" s="28" t="s">
        <v>81</v>
      </c>
      <c r="J171" s="28"/>
      <c r="K171" s="212">
        <v>4</v>
      </c>
      <c r="L171" s="74"/>
      <c r="M171" s="144"/>
      <c r="N171" s="91"/>
    </row>
    <row r="172" ht="84" spans="1:30">
      <c r="A172" s="60"/>
      <c r="B172" s="92"/>
      <c r="C172" s="108" t="s">
        <v>434</v>
      </c>
      <c r="D172" s="79" t="s">
        <v>480</v>
      </c>
      <c r="E172" s="73" t="s">
        <v>481</v>
      </c>
      <c r="F172" s="72" t="s">
        <v>482</v>
      </c>
      <c r="G172" s="72" t="s">
        <v>483</v>
      </c>
      <c r="H172" s="27"/>
      <c r="I172" s="28" t="s">
        <v>81</v>
      </c>
      <c r="J172" s="28" t="s">
        <v>81</v>
      </c>
      <c r="K172" s="74">
        <v>2</v>
      </c>
      <c r="L172" s="74"/>
      <c r="M172" s="144"/>
      <c r="N172" s="91"/>
    </row>
    <row r="173" ht="68.25" customHeight="1" spans="1:30">
      <c r="A173" s="60"/>
      <c r="B173" s="92"/>
      <c r="C173" s="93"/>
      <c r="D173" s="79" t="s">
        <v>484</v>
      </c>
      <c r="E173" s="73" t="s">
        <v>485</v>
      </c>
      <c r="F173" s="72" t="s">
        <v>482</v>
      </c>
      <c r="G173" s="72" t="s">
        <v>486</v>
      </c>
      <c r="H173" s="28" t="s">
        <v>81</v>
      </c>
      <c r="I173" s="27"/>
      <c r="J173" s="28" t="s">
        <v>81</v>
      </c>
      <c r="K173" s="74">
        <v>3</v>
      </c>
      <c r="L173" s="74"/>
      <c r="M173" s="144"/>
      <c r="N173" s="91"/>
    </row>
    <row r="174" ht="84" spans="1:30">
      <c r="A174" s="115"/>
      <c r="B174" s="99"/>
      <c r="C174" s="110"/>
      <c r="D174" s="79" t="s">
        <v>487</v>
      </c>
      <c r="E174" s="73" t="s">
        <v>488</v>
      </c>
      <c r="F174" s="72" t="s">
        <v>482</v>
      </c>
      <c r="G174" s="72" t="s">
        <v>489</v>
      </c>
      <c r="H174" s="28" t="s">
        <v>81</v>
      </c>
      <c r="I174" s="28" t="s">
        <v>81</v>
      </c>
      <c r="J174" s="28"/>
      <c r="K174" s="74">
        <v>3</v>
      </c>
      <c r="L174" s="74"/>
      <c r="M174" s="144"/>
      <c r="N174" s="91"/>
    </row>
    <row r="175" ht="57.75" customHeight="1" spans="1:30">
      <c r="A175" s="213">
        <v>24</v>
      </c>
      <c r="B175" s="214" t="s">
        <v>44</v>
      </c>
      <c r="C175" s="423" t="s">
        <v>280</v>
      </c>
      <c r="D175" s="215" t="s">
        <v>402</v>
      </c>
      <c r="E175" s="216">
        <v>45775</v>
      </c>
      <c r="F175" s="217" t="s">
        <v>79</v>
      </c>
      <c r="G175" s="217" t="s">
        <v>490</v>
      </c>
      <c r="H175" s="27"/>
      <c r="I175" s="28" t="s">
        <v>81</v>
      </c>
      <c r="J175" s="28" t="s">
        <v>81</v>
      </c>
      <c r="K175" s="218">
        <v>2</v>
      </c>
      <c r="L175" s="219">
        <f>SUM(K175:K180)</f>
        <v>64</v>
      </c>
      <c r="M175" s="219" t="str">
        <f>IF(L175&gt;=20,"Memenuhi","Tidak Memenuhi")</f>
        <v>Memenuhi</v>
      </c>
      <c r="N175" s="105"/>
    </row>
    <row r="176" ht="68" spans="1:30">
      <c r="A176" s="35"/>
      <c r="B176" s="88"/>
      <c r="C176" s="166"/>
      <c r="D176" s="220" t="s">
        <v>377</v>
      </c>
      <c r="E176" s="221" t="s">
        <v>406</v>
      </c>
      <c r="F176" s="170" t="s">
        <v>491</v>
      </c>
      <c r="G176" s="170" t="s">
        <v>492</v>
      </c>
      <c r="H176" s="28" t="s">
        <v>81</v>
      </c>
      <c r="I176" s="27"/>
      <c r="J176" s="28" t="s">
        <v>81</v>
      </c>
      <c r="K176" s="221">
        <v>2</v>
      </c>
      <c r="L176" s="222"/>
      <c r="M176" s="223"/>
      <c r="N176" s="224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</row>
    <row r="177" ht="68" spans="1:30">
      <c r="A177" s="35"/>
      <c r="B177" s="88"/>
      <c r="C177" s="166"/>
      <c r="D177" s="220" t="s">
        <v>152</v>
      </c>
      <c r="E177" s="221" t="s">
        <v>408</v>
      </c>
      <c r="F177" s="170" t="s">
        <v>414</v>
      </c>
      <c r="G177" s="170" t="s">
        <v>493</v>
      </c>
      <c r="H177" s="28" t="s">
        <v>81</v>
      </c>
      <c r="I177" s="28" t="s">
        <v>81</v>
      </c>
      <c r="J177" s="28"/>
      <c r="K177" s="221">
        <v>2</v>
      </c>
      <c r="L177" s="222"/>
      <c r="M177" s="223"/>
      <c r="N177" s="224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</row>
    <row r="178" ht="68" spans="1:30">
      <c r="A178" s="35"/>
      <c r="B178" s="88"/>
      <c r="C178" s="166"/>
      <c r="D178" s="220" t="s">
        <v>494</v>
      </c>
      <c r="E178" s="221" t="s">
        <v>429</v>
      </c>
      <c r="F178" s="170" t="s">
        <v>395</v>
      </c>
      <c r="G178" s="170" t="s">
        <v>495</v>
      </c>
      <c r="H178" s="27"/>
      <c r="I178" s="28" t="s">
        <v>81</v>
      </c>
      <c r="J178" s="28" t="s">
        <v>81</v>
      </c>
      <c r="K178" s="221">
        <v>6</v>
      </c>
      <c r="L178" s="222"/>
      <c r="M178" s="223"/>
      <c r="N178" s="224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</row>
    <row r="179" ht="68" spans="1:30">
      <c r="A179" s="35"/>
      <c r="B179" s="88"/>
      <c r="C179" s="170"/>
      <c r="D179" s="220" t="s">
        <v>338</v>
      </c>
      <c r="E179" s="221" t="s">
        <v>431</v>
      </c>
      <c r="F179" s="170" t="s">
        <v>79</v>
      </c>
      <c r="G179" s="170" t="s">
        <v>496</v>
      </c>
      <c r="H179" s="28" t="s">
        <v>81</v>
      </c>
      <c r="I179" s="27"/>
      <c r="J179" s="28" t="s">
        <v>81</v>
      </c>
      <c r="K179" s="221">
        <v>2</v>
      </c>
      <c r="L179" s="222"/>
      <c r="M179" s="223"/>
      <c r="N179" s="224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</row>
    <row r="180" ht="34" spans="1:30">
      <c r="A180" s="192"/>
      <c r="B180" s="192"/>
      <c r="C180" s="225" t="s">
        <v>434</v>
      </c>
      <c r="D180" s="170" t="s">
        <v>497</v>
      </c>
      <c r="E180" s="221" t="s">
        <v>498</v>
      </c>
      <c r="F180" s="170" t="s">
        <v>499</v>
      </c>
      <c r="G180" s="170" t="s">
        <v>500</v>
      </c>
      <c r="H180" s="28" t="s">
        <v>81</v>
      </c>
      <c r="I180" s="28" t="s">
        <v>81</v>
      </c>
      <c r="J180" s="28"/>
      <c r="K180" s="221">
        <v>50</v>
      </c>
      <c r="L180" s="222"/>
      <c r="M180" s="223"/>
      <c r="N180" s="224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</row>
    <row r="181" ht="72" customHeight="1" spans="1:30">
      <c r="A181" s="88">
        <v>25</v>
      </c>
      <c r="B181" s="226" t="s">
        <v>501</v>
      </c>
      <c r="C181" s="419" t="s">
        <v>280</v>
      </c>
      <c r="D181" s="172" t="s">
        <v>502</v>
      </c>
      <c r="E181" s="227" t="s">
        <v>368</v>
      </c>
      <c r="F181" s="228" t="s">
        <v>79</v>
      </c>
      <c r="G181" s="228" t="s">
        <v>503</v>
      </c>
      <c r="H181" s="27"/>
      <c r="I181" s="28" t="s">
        <v>81</v>
      </c>
      <c r="J181" s="28" t="s">
        <v>81</v>
      </c>
      <c r="K181" s="227">
        <v>2</v>
      </c>
      <c r="L181" s="227">
        <f>SUM(K181:K190)</f>
        <v>30</v>
      </c>
      <c r="M181" s="229" t="str">
        <f>IF(L181&gt;=20,"Memenuhi","Tidak Memenuhi")</f>
        <v>Memenuhi</v>
      </c>
      <c r="N181" s="168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</row>
    <row r="182" ht="51" spans="1:30">
      <c r="A182" s="88"/>
      <c r="B182" s="230"/>
      <c r="C182" s="93"/>
      <c r="D182" s="231" t="s">
        <v>318</v>
      </c>
      <c r="E182" s="232">
        <v>45775</v>
      </c>
      <c r="F182" s="233" t="s">
        <v>79</v>
      </c>
      <c r="G182" s="233" t="s">
        <v>504</v>
      </c>
      <c r="H182" s="28" t="s">
        <v>81</v>
      </c>
      <c r="I182" s="27"/>
      <c r="J182" s="28" t="s">
        <v>81</v>
      </c>
      <c r="K182" s="234">
        <v>2</v>
      </c>
      <c r="L182" s="235"/>
      <c r="M182" s="236"/>
      <c r="N182" s="168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</row>
    <row r="183" ht="51" spans="1:30">
      <c r="A183" s="88"/>
      <c r="B183" s="230"/>
      <c r="C183" s="93"/>
      <c r="D183" s="231" t="s">
        <v>91</v>
      </c>
      <c r="E183" s="234" t="s">
        <v>505</v>
      </c>
      <c r="F183" s="45" t="s">
        <v>83</v>
      </c>
      <c r="G183" s="233" t="s">
        <v>506</v>
      </c>
      <c r="H183" s="28" t="s">
        <v>81</v>
      </c>
      <c r="I183" s="28" t="s">
        <v>81</v>
      </c>
      <c r="J183" s="28"/>
      <c r="K183" s="234">
        <v>2</v>
      </c>
      <c r="L183" s="235"/>
      <c r="M183" s="236"/>
      <c r="N183" s="168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</row>
    <row r="184" ht="51" spans="1:30">
      <c r="A184" s="88"/>
      <c r="B184" s="230"/>
      <c r="C184" s="93"/>
      <c r="D184" s="231" t="s">
        <v>507</v>
      </c>
      <c r="E184" s="232">
        <v>45776</v>
      </c>
      <c r="F184" s="233" t="s">
        <v>83</v>
      </c>
      <c r="G184" s="233" t="s">
        <v>508</v>
      </c>
      <c r="H184" s="27"/>
      <c r="I184" s="28" t="s">
        <v>81</v>
      </c>
      <c r="J184" s="28" t="s">
        <v>81</v>
      </c>
      <c r="K184" s="234">
        <v>4</v>
      </c>
      <c r="L184" s="235"/>
      <c r="M184" s="236"/>
      <c r="N184" s="168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</row>
    <row r="185" ht="101" spans="1:30">
      <c r="A185" s="88"/>
      <c r="B185" s="230"/>
      <c r="C185" s="93"/>
      <c r="D185" s="80" t="s">
        <v>509</v>
      </c>
      <c r="E185" s="234" t="s">
        <v>510</v>
      </c>
      <c r="F185" s="233" t="s">
        <v>511</v>
      </c>
      <c r="G185" s="233" t="s">
        <v>512</v>
      </c>
      <c r="H185" s="28" t="s">
        <v>81</v>
      </c>
      <c r="I185" s="27"/>
      <c r="J185" s="28" t="s">
        <v>81</v>
      </c>
      <c r="K185" s="234">
        <v>4</v>
      </c>
      <c r="L185" s="235"/>
      <c r="M185" s="236"/>
      <c r="N185" s="168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</row>
    <row r="186" ht="51" spans="1:30">
      <c r="A186" s="88"/>
      <c r="B186" s="230"/>
      <c r="C186" s="93"/>
      <c r="D186" s="231" t="s">
        <v>324</v>
      </c>
      <c r="E186" s="234" t="s">
        <v>513</v>
      </c>
      <c r="F186" s="233" t="s">
        <v>360</v>
      </c>
      <c r="G186" s="233" t="s">
        <v>514</v>
      </c>
      <c r="H186" s="28" t="s">
        <v>81</v>
      </c>
      <c r="I186" s="28" t="s">
        <v>81</v>
      </c>
      <c r="J186" s="28"/>
      <c r="K186" s="234">
        <v>4</v>
      </c>
      <c r="L186" s="235"/>
      <c r="M186" s="236"/>
      <c r="N186" s="168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</row>
    <row r="187" ht="51" spans="1:30">
      <c r="A187" s="88"/>
      <c r="B187" s="230"/>
      <c r="C187" s="93"/>
      <c r="D187" s="231" t="s">
        <v>329</v>
      </c>
      <c r="E187" s="234" t="s">
        <v>406</v>
      </c>
      <c r="F187" s="233" t="s">
        <v>358</v>
      </c>
      <c r="G187" s="233" t="s">
        <v>515</v>
      </c>
      <c r="H187" s="27"/>
      <c r="I187" s="28" t="s">
        <v>81</v>
      </c>
      <c r="J187" s="28" t="s">
        <v>81</v>
      </c>
      <c r="K187" s="234">
        <v>4</v>
      </c>
      <c r="L187" s="235"/>
      <c r="M187" s="236"/>
      <c r="N187" s="168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</row>
    <row r="188" ht="68" spans="1:30">
      <c r="A188" s="88"/>
      <c r="B188" s="230"/>
      <c r="C188" s="93"/>
      <c r="D188" s="231" t="s">
        <v>152</v>
      </c>
      <c r="E188" s="234" t="s">
        <v>408</v>
      </c>
      <c r="F188" s="233" t="s">
        <v>414</v>
      </c>
      <c r="G188" s="233" t="s">
        <v>516</v>
      </c>
      <c r="H188" s="28" t="s">
        <v>81</v>
      </c>
      <c r="I188" s="27"/>
      <c r="J188" s="28" t="s">
        <v>81</v>
      </c>
      <c r="K188" s="234">
        <v>2</v>
      </c>
      <c r="L188" s="235"/>
      <c r="M188" s="236"/>
      <c r="N188" s="168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</row>
    <row r="189" ht="51" spans="1:30">
      <c r="A189" s="88"/>
      <c r="B189" s="230"/>
      <c r="C189" s="93"/>
      <c r="D189" s="231" t="s">
        <v>517</v>
      </c>
      <c r="E189" s="234" t="s">
        <v>518</v>
      </c>
      <c r="F189" s="233" t="s">
        <v>360</v>
      </c>
      <c r="G189" s="233" t="s">
        <v>519</v>
      </c>
      <c r="H189" s="28" t="s">
        <v>81</v>
      </c>
      <c r="I189" s="28" t="s">
        <v>81</v>
      </c>
      <c r="J189" s="28"/>
      <c r="K189" s="234">
        <v>4</v>
      </c>
      <c r="L189" s="235"/>
      <c r="M189" s="236"/>
      <c r="N189" s="168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</row>
    <row r="190" ht="68" spans="1:30">
      <c r="A190" s="193"/>
      <c r="B190" s="237"/>
      <c r="C190" s="110"/>
      <c r="D190" s="231" t="s">
        <v>338</v>
      </c>
      <c r="E190" s="234" t="s">
        <v>431</v>
      </c>
      <c r="F190" s="233" t="s">
        <v>491</v>
      </c>
      <c r="G190" s="233" t="s">
        <v>520</v>
      </c>
      <c r="H190" s="27"/>
      <c r="I190" s="28" t="s">
        <v>81</v>
      </c>
      <c r="J190" s="28" t="s">
        <v>81</v>
      </c>
      <c r="K190" s="234">
        <v>2</v>
      </c>
      <c r="L190" s="235"/>
      <c r="M190" s="236"/>
      <c r="N190" s="168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</row>
    <row r="191" ht="95.25" customHeight="1" spans="1:30">
      <c r="A191" s="145">
        <v>26</v>
      </c>
      <c r="B191" s="149" t="s">
        <v>48</v>
      </c>
      <c r="C191" s="420" t="s">
        <v>280</v>
      </c>
      <c r="D191" s="16" t="s">
        <v>115</v>
      </c>
      <c r="E191" s="15">
        <v>45828</v>
      </c>
      <c r="F191" s="16" t="s">
        <v>116</v>
      </c>
      <c r="G191" s="16" t="s">
        <v>521</v>
      </c>
      <c r="H191" s="28" t="s">
        <v>81</v>
      </c>
      <c r="I191" s="27"/>
      <c r="J191" s="28" t="s">
        <v>81</v>
      </c>
      <c r="K191" s="18">
        <v>20</v>
      </c>
      <c r="L191" s="113">
        <f>K191+K192</f>
        <v>22</v>
      </c>
      <c r="M191" s="19" t="str">
        <f>IF(L191&gt;=20,"Memenuhi","Tidak Memenuhi")</f>
        <v>Memenuhi</v>
      </c>
      <c r="N191" s="91"/>
    </row>
    <row r="192" ht="63.75" customHeight="1" spans="1:30">
      <c r="A192" s="99"/>
      <c r="B192" s="100"/>
      <c r="C192" s="203"/>
      <c r="D192" s="110" t="s">
        <v>402</v>
      </c>
      <c r="E192" s="204">
        <v>45775</v>
      </c>
      <c r="F192" s="205" t="s">
        <v>79</v>
      </c>
      <c r="G192" s="206" t="s">
        <v>490</v>
      </c>
      <c r="H192" s="28" t="s">
        <v>81</v>
      </c>
      <c r="I192" s="28" t="s">
        <v>81</v>
      </c>
      <c r="J192" s="28"/>
      <c r="K192" s="207">
        <v>2</v>
      </c>
      <c r="L192" s="208"/>
      <c r="M192" s="144"/>
      <c r="N192" s="91"/>
    </row>
    <row r="193" ht="57.75" customHeight="1" spans="1:14">
      <c r="A193" s="143">
        <v>27</v>
      </c>
      <c r="B193" s="238" t="s">
        <v>50</v>
      </c>
      <c r="C193" s="419" t="s">
        <v>280</v>
      </c>
      <c r="D193" s="54" t="s">
        <v>78</v>
      </c>
      <c r="E193" s="55">
        <v>45775</v>
      </c>
      <c r="F193" s="56" t="s">
        <v>145</v>
      </c>
      <c r="G193" s="56" t="s">
        <v>522</v>
      </c>
      <c r="H193" s="27"/>
      <c r="I193" s="28" t="s">
        <v>81</v>
      </c>
      <c r="J193" s="28" t="s">
        <v>81</v>
      </c>
      <c r="K193" s="57">
        <v>2</v>
      </c>
      <c r="L193" s="113">
        <f>SUM(K193:K200)</f>
        <v>25</v>
      </c>
      <c r="M193" s="19" t="str">
        <f>IF(L193&gt;=20,"Memenuhi","Tidak Memenuhi")</f>
        <v>Memenuhi</v>
      </c>
      <c r="N193" s="91"/>
    </row>
    <row r="194" ht="101" spans="1:14">
      <c r="A194" s="60"/>
      <c r="B194" s="92"/>
      <c r="C194" s="93"/>
      <c r="D194" s="80" t="s">
        <v>509</v>
      </c>
      <c r="E194" s="73">
        <v>45714</v>
      </c>
      <c r="F194" s="72" t="s">
        <v>523</v>
      </c>
      <c r="G194" s="72" t="s">
        <v>524</v>
      </c>
      <c r="H194" s="28" t="s">
        <v>81</v>
      </c>
      <c r="I194" s="27"/>
      <c r="J194" s="28" t="s">
        <v>81</v>
      </c>
      <c r="K194" s="74">
        <v>4</v>
      </c>
      <c r="L194" s="74"/>
      <c r="M194" s="144"/>
      <c r="N194" s="91"/>
    </row>
    <row r="195" ht="51" spans="1:14">
      <c r="A195" s="60"/>
      <c r="B195" s="92"/>
      <c r="C195" s="93"/>
      <c r="D195" s="79" t="s">
        <v>147</v>
      </c>
      <c r="E195" s="73">
        <v>45796</v>
      </c>
      <c r="F195" s="72" t="s">
        <v>145</v>
      </c>
      <c r="G195" s="72" t="s">
        <v>525</v>
      </c>
      <c r="H195" s="28" t="s">
        <v>81</v>
      </c>
      <c r="I195" s="28" t="s">
        <v>81</v>
      </c>
      <c r="J195" s="28"/>
      <c r="K195" s="74">
        <v>2</v>
      </c>
      <c r="L195" s="74"/>
      <c r="M195" s="144"/>
      <c r="N195" s="91"/>
    </row>
    <row r="196" ht="51" spans="1:14">
      <c r="A196" s="60"/>
      <c r="B196" s="92"/>
      <c r="C196" s="93"/>
      <c r="D196" s="79" t="s">
        <v>321</v>
      </c>
      <c r="E196" s="73" t="s">
        <v>526</v>
      </c>
      <c r="F196" s="72" t="s">
        <v>527</v>
      </c>
      <c r="G196" s="72" t="s">
        <v>528</v>
      </c>
      <c r="H196" s="27"/>
      <c r="I196" s="28" t="s">
        <v>81</v>
      </c>
      <c r="J196" s="28" t="s">
        <v>81</v>
      </c>
      <c r="K196" s="74">
        <v>4</v>
      </c>
      <c r="L196" s="74"/>
      <c r="M196" s="144"/>
      <c r="N196" s="91"/>
    </row>
    <row r="197" ht="51" spans="1:14">
      <c r="A197" s="60"/>
      <c r="B197" s="92"/>
      <c r="C197" s="93"/>
      <c r="D197" s="79" t="s">
        <v>324</v>
      </c>
      <c r="E197" s="73">
        <v>45825</v>
      </c>
      <c r="F197" s="72" t="s">
        <v>325</v>
      </c>
      <c r="G197" s="72" t="s">
        <v>529</v>
      </c>
      <c r="H197" s="28" t="s">
        <v>81</v>
      </c>
      <c r="I197" s="27"/>
      <c r="J197" s="28" t="s">
        <v>81</v>
      </c>
      <c r="K197" s="74">
        <v>4</v>
      </c>
      <c r="L197" s="74"/>
      <c r="M197" s="144"/>
      <c r="N197" s="91"/>
    </row>
    <row r="198" ht="68" spans="1:14">
      <c r="A198" s="60"/>
      <c r="B198" s="92"/>
      <c r="C198" s="93"/>
      <c r="D198" s="79" t="s">
        <v>456</v>
      </c>
      <c r="E198" s="73">
        <v>45831</v>
      </c>
      <c r="F198" s="72" t="s">
        <v>79</v>
      </c>
      <c r="G198" s="72" t="s">
        <v>530</v>
      </c>
      <c r="H198" s="28" t="s">
        <v>81</v>
      </c>
      <c r="I198" s="28" t="s">
        <v>81</v>
      </c>
      <c r="J198" s="28"/>
      <c r="K198" s="74">
        <v>3</v>
      </c>
      <c r="L198" s="74"/>
      <c r="M198" s="144"/>
      <c r="N198" s="91"/>
    </row>
    <row r="199" ht="68" spans="1:14">
      <c r="A199" s="60"/>
      <c r="B199" s="92"/>
      <c r="C199" s="93"/>
      <c r="D199" s="79" t="s">
        <v>331</v>
      </c>
      <c r="E199" s="73">
        <v>45848</v>
      </c>
      <c r="F199" s="72" t="s">
        <v>79</v>
      </c>
      <c r="G199" s="72" t="s">
        <v>531</v>
      </c>
      <c r="H199" s="27"/>
      <c r="I199" s="28" t="s">
        <v>81</v>
      </c>
      <c r="J199" s="28" t="s">
        <v>81</v>
      </c>
      <c r="K199" s="74">
        <v>2</v>
      </c>
      <c r="L199" s="74"/>
      <c r="M199" s="144"/>
      <c r="N199" s="91"/>
    </row>
    <row r="200" ht="51" spans="1:14">
      <c r="A200" s="60"/>
      <c r="B200" s="92"/>
      <c r="C200" s="110"/>
      <c r="D200" s="79" t="s">
        <v>329</v>
      </c>
      <c r="E200" s="73">
        <v>45848</v>
      </c>
      <c r="F200" s="72" t="s">
        <v>325</v>
      </c>
      <c r="G200" s="72" t="s">
        <v>532</v>
      </c>
      <c r="H200" s="28" t="s">
        <v>81</v>
      </c>
      <c r="I200" s="27"/>
      <c r="J200" s="28" t="s">
        <v>81</v>
      </c>
      <c r="K200" s="74">
        <v>4</v>
      </c>
      <c r="L200" s="74"/>
      <c r="M200" s="144"/>
      <c r="N200" s="91"/>
    </row>
    <row r="201" ht="15" customHeight="1" spans="1:14">
      <c r="A201" s="60">
        <v>30</v>
      </c>
      <c r="B201" s="60" t="s">
        <v>533</v>
      </c>
      <c r="C201" s="93"/>
      <c r="D201" s="239"/>
      <c r="E201" s="232"/>
      <c r="F201" s="233"/>
      <c r="G201" s="233"/>
      <c r="H201" s="28" t="s">
        <v>81</v>
      </c>
      <c r="I201" s="28" t="s">
        <v>81</v>
      </c>
      <c r="J201" s="28"/>
      <c r="K201" s="234"/>
      <c r="L201" s="234"/>
      <c r="M201" s="240" t="str">
        <f>IF(L201&gt;=20,"Memenuhi","Tidak Memenuhi")</f>
        <v>Tidak Memenuhi</v>
      </c>
      <c r="N201" s="105"/>
    </row>
    <row r="202" ht="101" spans="1:14">
      <c r="A202" s="60"/>
      <c r="B202" s="92"/>
      <c r="C202" s="108" t="s">
        <v>434</v>
      </c>
      <c r="D202" s="79" t="s">
        <v>534</v>
      </c>
      <c r="E202" s="73">
        <v>45719</v>
      </c>
      <c r="F202" s="72" t="s">
        <v>482</v>
      </c>
      <c r="G202" s="72" t="s">
        <v>535</v>
      </c>
      <c r="H202" s="27"/>
      <c r="I202" s="28" t="s">
        <v>81</v>
      </c>
      <c r="J202" s="28" t="s">
        <v>81</v>
      </c>
      <c r="K202" s="74">
        <v>3</v>
      </c>
      <c r="L202" s="74"/>
      <c r="M202" s="144"/>
      <c r="N202" s="91"/>
    </row>
    <row r="203" ht="101" spans="1:14">
      <c r="A203" s="115"/>
      <c r="B203" s="99"/>
      <c r="C203" s="110"/>
      <c r="D203" s="79" t="s">
        <v>536</v>
      </c>
      <c r="E203" s="73">
        <v>45734</v>
      </c>
      <c r="F203" s="72" t="s">
        <v>482</v>
      </c>
      <c r="G203" s="72" t="s">
        <v>537</v>
      </c>
      <c r="H203" s="28" t="s">
        <v>81</v>
      </c>
      <c r="I203" s="27"/>
      <c r="J203" s="28" t="s">
        <v>81</v>
      </c>
      <c r="K203" s="74">
        <v>3</v>
      </c>
      <c r="L203" s="74"/>
      <c r="M203" s="144"/>
      <c r="N203" s="91"/>
    </row>
    <row r="204" ht="43.5" customHeight="1" spans="1:14">
      <c r="A204" s="143">
        <v>28</v>
      </c>
      <c r="B204" s="134" t="s">
        <v>52</v>
      </c>
      <c r="C204" s="423" t="s">
        <v>434</v>
      </c>
      <c r="D204" s="241" t="s">
        <v>177</v>
      </c>
      <c r="E204" s="18" t="s">
        <v>538</v>
      </c>
      <c r="F204" s="16" t="s">
        <v>539</v>
      </c>
      <c r="G204" s="16" t="s">
        <v>540</v>
      </c>
      <c r="H204" s="28" t="s">
        <v>81</v>
      </c>
      <c r="I204" s="28" t="s">
        <v>81</v>
      </c>
      <c r="J204" s="28"/>
      <c r="K204" s="18">
        <v>25</v>
      </c>
      <c r="L204" s="18">
        <f>K204+K205+K206</f>
        <v>31</v>
      </c>
      <c r="M204" s="113" t="str">
        <f>IF(L204&gt;=20,"Memenuhi","Tidak Memenuhi")</f>
        <v>Memenuhi</v>
      </c>
      <c r="N204" s="242" t="s">
        <v>541</v>
      </c>
    </row>
    <row r="205" ht="93.75" customHeight="1" spans="1:14">
      <c r="A205" s="60"/>
      <c r="B205" s="92"/>
      <c r="C205" s="431" t="s">
        <v>280</v>
      </c>
      <c r="D205" s="79" t="s">
        <v>509</v>
      </c>
      <c r="E205" s="208" t="s">
        <v>510</v>
      </c>
      <c r="F205" s="72" t="s">
        <v>523</v>
      </c>
      <c r="G205" s="72" t="s">
        <v>542</v>
      </c>
      <c r="H205" s="27"/>
      <c r="I205" s="28" t="s">
        <v>81</v>
      </c>
      <c r="J205" s="28" t="s">
        <v>81</v>
      </c>
      <c r="K205" s="74">
        <v>4</v>
      </c>
      <c r="L205" s="74"/>
      <c r="M205" s="74"/>
      <c r="N205" s="91"/>
    </row>
    <row r="206" ht="51" spans="1:14">
      <c r="A206" s="115"/>
      <c r="B206" s="99"/>
      <c r="C206" s="170"/>
      <c r="D206" s="243" t="s">
        <v>411</v>
      </c>
      <c r="E206" s="244">
        <v>45982</v>
      </c>
      <c r="F206" s="83" t="s">
        <v>79</v>
      </c>
      <c r="G206" s="83" t="s">
        <v>543</v>
      </c>
      <c r="H206" s="28" t="s">
        <v>81</v>
      </c>
      <c r="I206" s="27"/>
      <c r="J206" s="28" t="s">
        <v>81</v>
      </c>
      <c r="K206" s="82">
        <v>2</v>
      </c>
      <c r="L206" s="82"/>
      <c r="M206" s="82"/>
      <c r="N206" s="168"/>
    </row>
    <row r="207" ht="57.75" customHeight="1" spans="1:14">
      <c r="A207" s="139">
        <v>29</v>
      </c>
      <c r="B207" s="245" t="s">
        <v>54</v>
      </c>
      <c r="C207" s="423" t="s">
        <v>280</v>
      </c>
      <c r="D207" s="246" t="s">
        <v>115</v>
      </c>
      <c r="E207" s="247" t="s">
        <v>544</v>
      </c>
      <c r="F207" s="248" t="s">
        <v>545</v>
      </c>
      <c r="G207" s="248" t="s">
        <v>546</v>
      </c>
      <c r="H207" s="28" t="s">
        <v>81</v>
      </c>
      <c r="I207" s="28" t="s">
        <v>81</v>
      </c>
      <c r="J207" s="28"/>
      <c r="K207" s="247">
        <v>20</v>
      </c>
      <c r="L207" s="247">
        <f>K207+K208+K209+K215+K210+K211+K212+K213+K214</f>
        <v>58</v>
      </c>
      <c r="M207" s="19" t="str">
        <f>IF(L207&gt;=20,"Memenuhi","Tidak Memenuhi")</f>
        <v>Memenuhi</v>
      </c>
      <c r="N207" s="249" t="s">
        <v>547</v>
      </c>
    </row>
    <row r="208" ht="51" spans="1:14">
      <c r="A208" s="60"/>
      <c r="B208" s="60"/>
      <c r="C208" s="93"/>
      <c r="D208" s="79" t="s">
        <v>147</v>
      </c>
      <c r="E208" s="98" t="s">
        <v>368</v>
      </c>
      <c r="F208" s="45" t="s">
        <v>545</v>
      </c>
      <c r="G208" s="45" t="s">
        <v>548</v>
      </c>
      <c r="H208" s="27"/>
      <c r="I208" s="28" t="s">
        <v>81</v>
      </c>
      <c r="J208" s="28" t="s">
        <v>81</v>
      </c>
      <c r="K208" s="98">
        <v>2</v>
      </c>
      <c r="L208" s="98"/>
      <c r="M208" s="75"/>
      <c r="N208" s="91"/>
    </row>
    <row r="209" ht="28.5" customHeight="1" spans="1:14">
      <c r="A209" s="60"/>
      <c r="B209" s="60"/>
      <c r="C209" s="93"/>
      <c r="D209" s="79" t="s">
        <v>87</v>
      </c>
      <c r="E209" s="98" t="s">
        <v>549</v>
      </c>
      <c r="F209" s="45" t="s">
        <v>550</v>
      </c>
      <c r="G209" s="45" t="s">
        <v>551</v>
      </c>
      <c r="H209" s="28" t="s">
        <v>81</v>
      </c>
      <c r="I209" s="27"/>
      <c r="J209" s="28" t="s">
        <v>81</v>
      </c>
      <c r="K209" s="98">
        <v>13</v>
      </c>
      <c r="L209" s="98"/>
      <c r="M209" s="75"/>
      <c r="N209" s="91"/>
    </row>
    <row r="210" ht="45" customHeight="1" spans="1:14">
      <c r="A210" s="60"/>
      <c r="B210" s="60"/>
      <c r="C210" s="93"/>
      <c r="D210" s="79" t="s">
        <v>552</v>
      </c>
      <c r="E210" s="98" t="s">
        <v>351</v>
      </c>
      <c r="F210" s="45" t="s">
        <v>545</v>
      </c>
      <c r="G210" s="45" t="s">
        <v>553</v>
      </c>
      <c r="H210" s="28" t="s">
        <v>81</v>
      </c>
      <c r="I210" s="28" t="s">
        <v>81</v>
      </c>
      <c r="J210" s="28"/>
      <c r="K210" s="98">
        <v>3</v>
      </c>
      <c r="L210" s="98"/>
      <c r="M210" s="75"/>
      <c r="N210" s="91"/>
    </row>
    <row r="211" ht="68" spans="1:14">
      <c r="A211" s="60"/>
      <c r="B211" s="60"/>
      <c r="C211" s="93"/>
      <c r="D211" s="79" t="s">
        <v>377</v>
      </c>
      <c r="E211" s="98" t="s">
        <v>150</v>
      </c>
      <c r="F211" s="45" t="s">
        <v>545</v>
      </c>
      <c r="G211" s="45" t="s">
        <v>554</v>
      </c>
      <c r="H211" s="27"/>
      <c r="I211" s="28" t="s">
        <v>81</v>
      </c>
      <c r="J211" s="28" t="s">
        <v>81</v>
      </c>
      <c r="K211" s="98">
        <v>2</v>
      </c>
      <c r="L211" s="98"/>
      <c r="M211" s="75"/>
      <c r="N211" s="91"/>
    </row>
    <row r="212" ht="84" spans="1:14">
      <c r="A212" s="60"/>
      <c r="B212" s="60"/>
      <c r="C212" s="93"/>
      <c r="D212" s="79" t="s">
        <v>378</v>
      </c>
      <c r="E212" s="98" t="s">
        <v>161</v>
      </c>
      <c r="F212" s="45" t="s">
        <v>555</v>
      </c>
      <c r="G212" s="45" t="s">
        <v>556</v>
      </c>
      <c r="H212" s="28" t="s">
        <v>81</v>
      </c>
      <c r="I212" s="27"/>
      <c r="J212" s="28" t="s">
        <v>81</v>
      </c>
      <c r="K212" s="98">
        <v>6</v>
      </c>
      <c r="L212" s="98"/>
      <c r="M212" s="75"/>
      <c r="N212" s="91"/>
    </row>
    <row r="213" ht="68" spans="1:14">
      <c r="A213" s="60"/>
      <c r="B213" s="60"/>
      <c r="C213" s="93"/>
      <c r="D213" s="79" t="s">
        <v>336</v>
      </c>
      <c r="E213" s="232">
        <v>45917</v>
      </c>
      <c r="F213" s="45" t="s">
        <v>555</v>
      </c>
      <c r="G213" s="45" t="s">
        <v>557</v>
      </c>
      <c r="H213" s="28" t="s">
        <v>81</v>
      </c>
      <c r="I213" s="28" t="s">
        <v>81</v>
      </c>
      <c r="J213" s="28"/>
      <c r="K213" s="98">
        <v>6</v>
      </c>
      <c r="L213" s="98"/>
      <c r="M213" s="75"/>
      <c r="N213" s="91"/>
    </row>
    <row r="214" ht="68" spans="1:14">
      <c r="A214" s="60"/>
      <c r="B214" s="60"/>
      <c r="C214" s="110"/>
      <c r="D214" s="79" t="s">
        <v>338</v>
      </c>
      <c r="E214" s="72">
        <v>45926</v>
      </c>
      <c r="F214" s="72" t="s">
        <v>555</v>
      </c>
      <c r="G214" s="72" t="s">
        <v>558</v>
      </c>
      <c r="H214" s="27"/>
      <c r="I214" s="28" t="s">
        <v>81</v>
      </c>
      <c r="J214" s="28" t="s">
        <v>81</v>
      </c>
      <c r="K214" s="98">
        <v>2</v>
      </c>
      <c r="L214" s="98"/>
      <c r="M214" s="75"/>
      <c r="N214" s="91"/>
    </row>
    <row r="215" ht="68" spans="1:14">
      <c r="A215" s="115"/>
      <c r="B215" s="115"/>
      <c r="C215" s="110" t="s">
        <v>434</v>
      </c>
      <c r="D215" s="72" t="s">
        <v>559</v>
      </c>
      <c r="E215" s="98" t="s">
        <v>560</v>
      </c>
      <c r="F215" s="45" t="s">
        <v>545</v>
      </c>
      <c r="G215" s="45" t="s">
        <v>561</v>
      </c>
      <c r="H215" s="28" t="s">
        <v>81</v>
      </c>
      <c r="I215" s="27"/>
      <c r="J215" s="28" t="s">
        <v>81</v>
      </c>
      <c r="K215" s="98">
        <v>4</v>
      </c>
      <c r="L215" s="98"/>
      <c r="M215" s="75"/>
      <c r="N215" s="91"/>
    </row>
    <row r="216" ht="57.75" customHeight="1" spans="1:14">
      <c r="A216" s="60">
        <v>30</v>
      </c>
      <c r="B216" s="250" t="s">
        <v>56</v>
      </c>
      <c r="C216" s="419" t="s">
        <v>280</v>
      </c>
      <c r="D216" s="251" t="s">
        <v>562</v>
      </c>
      <c r="E216" s="252" t="s">
        <v>563</v>
      </c>
      <c r="F216" s="16" t="s">
        <v>482</v>
      </c>
      <c r="G216" s="16" t="s">
        <v>564</v>
      </c>
      <c r="H216" s="28" t="s">
        <v>81</v>
      </c>
      <c r="I216" s="28" t="s">
        <v>81</v>
      </c>
      <c r="J216" s="28"/>
      <c r="K216" s="253">
        <v>16</v>
      </c>
      <c r="L216" s="18">
        <f>SUM($K$216:$K$222)</f>
        <v>34</v>
      </c>
      <c r="M216" s="113" t="str">
        <f>IF(L216&gt;=20,"Memenuhi","Tidak Memenuhi")</f>
        <v>Memenuhi</v>
      </c>
      <c r="N216" s="105"/>
    </row>
    <row r="217" ht="108" customHeight="1" spans="1:14">
      <c r="A217" s="60"/>
      <c r="B217" s="60"/>
      <c r="C217" s="72"/>
      <c r="D217" s="254" t="s">
        <v>565</v>
      </c>
      <c r="E217" s="255" t="s">
        <v>510</v>
      </c>
      <c r="F217" s="72" t="s">
        <v>523</v>
      </c>
      <c r="G217" s="72" t="s">
        <v>566</v>
      </c>
      <c r="H217" s="27"/>
      <c r="I217" s="28" t="s">
        <v>81</v>
      </c>
      <c r="J217" s="28" t="s">
        <v>81</v>
      </c>
      <c r="K217" s="255">
        <v>4</v>
      </c>
      <c r="L217" s="74"/>
      <c r="M217" s="74"/>
      <c r="N217" s="105"/>
    </row>
    <row r="218" ht="51" spans="1:14">
      <c r="A218" s="60"/>
      <c r="B218" s="60"/>
      <c r="C218" s="72"/>
      <c r="D218" s="254" t="s">
        <v>82</v>
      </c>
      <c r="E218" s="255" t="s">
        <v>567</v>
      </c>
      <c r="F218" s="72" t="s">
        <v>568</v>
      </c>
      <c r="G218" s="72" t="s">
        <v>569</v>
      </c>
      <c r="H218" s="28" t="s">
        <v>81</v>
      </c>
      <c r="I218" s="27"/>
      <c r="J218" s="28" t="s">
        <v>81</v>
      </c>
      <c r="K218" s="255">
        <v>4</v>
      </c>
      <c r="L218" s="74"/>
      <c r="M218" s="74"/>
      <c r="N218" s="105"/>
    </row>
    <row r="219" ht="51" spans="1:14">
      <c r="A219" s="60"/>
      <c r="B219" s="60"/>
      <c r="C219" s="72"/>
      <c r="D219" s="254" t="s">
        <v>78</v>
      </c>
      <c r="E219" s="256">
        <v>45775</v>
      </c>
      <c r="F219" s="72" t="s">
        <v>79</v>
      </c>
      <c r="G219" s="72" t="s">
        <v>570</v>
      </c>
      <c r="H219" s="28" t="s">
        <v>81</v>
      </c>
      <c r="I219" s="28" t="s">
        <v>81</v>
      </c>
      <c r="J219" s="28"/>
      <c r="K219" s="255">
        <v>2</v>
      </c>
      <c r="L219" s="74"/>
      <c r="M219" s="74"/>
      <c r="N219" s="105"/>
    </row>
    <row r="220" ht="51" spans="1:14">
      <c r="A220" s="60"/>
      <c r="B220" s="60"/>
      <c r="C220" s="72"/>
      <c r="D220" s="254" t="s">
        <v>507</v>
      </c>
      <c r="E220" s="256">
        <v>45776</v>
      </c>
      <c r="F220" s="72" t="s">
        <v>568</v>
      </c>
      <c r="G220" s="72" t="s">
        <v>571</v>
      </c>
      <c r="H220" s="27"/>
      <c r="I220" s="28" t="s">
        <v>81</v>
      </c>
      <c r="J220" s="28" t="s">
        <v>81</v>
      </c>
      <c r="K220" s="255">
        <v>4</v>
      </c>
      <c r="L220" s="74"/>
      <c r="M220" s="74"/>
      <c r="N220" s="105"/>
    </row>
    <row r="221" ht="51" spans="1:14">
      <c r="A221" s="60"/>
      <c r="B221" s="60"/>
      <c r="C221" s="72"/>
      <c r="D221" s="79" t="s">
        <v>147</v>
      </c>
      <c r="E221" s="255" t="s">
        <v>368</v>
      </c>
      <c r="F221" s="72" t="s">
        <v>79</v>
      </c>
      <c r="G221" s="72" t="s">
        <v>572</v>
      </c>
      <c r="H221" s="28" t="s">
        <v>81</v>
      </c>
      <c r="I221" s="27"/>
      <c r="J221" s="28" t="s">
        <v>81</v>
      </c>
      <c r="K221" s="255">
        <v>2</v>
      </c>
      <c r="L221" s="74"/>
      <c r="M221" s="74"/>
      <c r="N221" s="105"/>
    </row>
    <row r="222" ht="68" spans="1:14">
      <c r="A222" s="115"/>
      <c r="B222" s="115"/>
      <c r="C222" s="108"/>
      <c r="D222" s="254" t="s">
        <v>377</v>
      </c>
      <c r="E222" s="255" t="s">
        <v>150</v>
      </c>
      <c r="F222" s="72" t="s">
        <v>79</v>
      </c>
      <c r="G222" s="72" t="s">
        <v>573</v>
      </c>
      <c r="H222" s="28" t="s">
        <v>81</v>
      </c>
      <c r="I222" s="28" t="s">
        <v>81</v>
      </c>
      <c r="J222" s="28"/>
      <c r="K222" s="255">
        <v>2</v>
      </c>
      <c r="L222" s="74"/>
      <c r="M222" s="74"/>
      <c r="N222" s="105"/>
    </row>
    <row r="223" ht="72" customHeight="1" spans="1:14">
      <c r="A223" s="143">
        <v>31</v>
      </c>
      <c r="B223" s="102" t="s">
        <v>574</v>
      </c>
      <c r="C223" s="419" t="s">
        <v>280</v>
      </c>
      <c r="D223" s="14" t="s">
        <v>562</v>
      </c>
      <c r="E223" s="440" t="s">
        <v>575</v>
      </c>
      <c r="F223" s="16" t="s">
        <v>482</v>
      </c>
      <c r="G223" s="16" t="s">
        <v>576</v>
      </c>
      <c r="H223" s="27"/>
      <c r="I223" s="28" t="s">
        <v>81</v>
      </c>
      <c r="J223" s="28" t="s">
        <v>81</v>
      </c>
      <c r="K223" s="18">
        <v>16</v>
      </c>
      <c r="L223" s="113">
        <f>SUM(K223:K236)</f>
        <v>93</v>
      </c>
      <c r="M223" s="19" t="str">
        <f>IF(L223&gt;=20,"Memenuhi","Tidak Memenuhi")</f>
        <v>Memenuhi</v>
      </c>
      <c r="N223" s="257" t="s">
        <v>577</v>
      </c>
    </row>
    <row r="224" ht="51" spans="1:14">
      <c r="A224" s="60"/>
      <c r="B224" s="92"/>
      <c r="C224" s="93"/>
      <c r="D224" s="79" t="s">
        <v>578</v>
      </c>
      <c r="E224" s="441" t="s">
        <v>579</v>
      </c>
      <c r="F224" s="72" t="s">
        <v>580</v>
      </c>
      <c r="G224" s="72" t="s">
        <v>581</v>
      </c>
      <c r="H224" s="28" t="s">
        <v>81</v>
      </c>
      <c r="I224" s="27"/>
      <c r="J224" s="28" t="s">
        <v>81</v>
      </c>
      <c r="K224" s="74">
        <v>4</v>
      </c>
      <c r="L224" s="74"/>
      <c r="M224" s="144"/>
      <c r="N224" s="91"/>
    </row>
    <row r="225" ht="106.5" customHeight="1" spans="1:14">
      <c r="A225" s="60"/>
      <c r="B225" s="92"/>
      <c r="C225" s="93"/>
      <c r="D225" s="79" t="s">
        <v>565</v>
      </c>
      <c r="E225" s="74" t="s">
        <v>510</v>
      </c>
      <c r="F225" s="72" t="s">
        <v>523</v>
      </c>
      <c r="G225" s="72" t="s">
        <v>582</v>
      </c>
      <c r="H225" s="28" t="s">
        <v>81</v>
      </c>
      <c r="I225" s="28" t="s">
        <v>81</v>
      </c>
      <c r="J225" s="28"/>
      <c r="K225" s="74">
        <v>4</v>
      </c>
      <c r="L225" s="74"/>
      <c r="M225" s="144"/>
      <c r="N225" s="91"/>
    </row>
    <row r="226" ht="51" spans="1:14">
      <c r="A226" s="60"/>
      <c r="B226" s="92"/>
      <c r="C226" s="93"/>
      <c r="D226" s="79" t="s">
        <v>583</v>
      </c>
      <c r="E226" s="441" t="s">
        <v>584</v>
      </c>
      <c r="F226" s="72" t="s">
        <v>83</v>
      </c>
      <c r="G226" s="72" t="s">
        <v>585</v>
      </c>
      <c r="H226" s="27"/>
      <c r="I226" s="28" t="s">
        <v>81</v>
      </c>
      <c r="J226" s="28" t="s">
        <v>81</v>
      </c>
      <c r="K226" s="74">
        <v>4</v>
      </c>
      <c r="L226" s="74"/>
      <c r="M226" s="144"/>
      <c r="N226" s="91"/>
    </row>
    <row r="227" ht="68" spans="1:14">
      <c r="A227" s="60"/>
      <c r="B227" s="92"/>
      <c r="C227" s="93"/>
      <c r="D227" s="79" t="s">
        <v>261</v>
      </c>
      <c r="E227" s="73" t="s">
        <v>144</v>
      </c>
      <c r="F227" s="72" t="s">
        <v>145</v>
      </c>
      <c r="G227" s="72" t="s">
        <v>586</v>
      </c>
      <c r="H227" s="28" t="s">
        <v>81</v>
      </c>
      <c r="I227" s="27"/>
      <c r="J227" s="28" t="s">
        <v>81</v>
      </c>
      <c r="K227" s="74">
        <v>2</v>
      </c>
      <c r="L227" s="74"/>
      <c r="M227" s="144"/>
      <c r="N227" s="91"/>
    </row>
    <row r="228" ht="51" spans="1:14">
      <c r="A228" s="60"/>
      <c r="B228" s="92"/>
      <c r="C228" s="93"/>
      <c r="D228" s="79" t="s">
        <v>147</v>
      </c>
      <c r="E228" s="442" t="s">
        <v>368</v>
      </c>
      <c r="F228" s="72" t="s">
        <v>145</v>
      </c>
      <c r="G228" s="72" t="s">
        <v>587</v>
      </c>
      <c r="H228" s="28" t="s">
        <v>81</v>
      </c>
      <c r="I228" s="28" t="s">
        <v>81</v>
      </c>
      <c r="J228" s="28"/>
      <c r="K228" s="74">
        <v>2</v>
      </c>
      <c r="L228" s="74"/>
      <c r="M228" s="144"/>
      <c r="N228" s="91"/>
    </row>
    <row r="229" ht="68" spans="1:14">
      <c r="A229" s="60"/>
      <c r="B229" s="92"/>
      <c r="C229" s="93"/>
      <c r="D229" s="79" t="s">
        <v>377</v>
      </c>
      <c r="E229" s="74" t="s">
        <v>150</v>
      </c>
      <c r="F229" s="72" t="s">
        <v>145</v>
      </c>
      <c r="G229" s="72" t="s">
        <v>588</v>
      </c>
      <c r="H229" s="27"/>
      <c r="I229" s="28" t="s">
        <v>81</v>
      </c>
      <c r="J229" s="28" t="s">
        <v>81</v>
      </c>
      <c r="K229" s="74">
        <v>2</v>
      </c>
      <c r="L229" s="114"/>
      <c r="M229" s="65"/>
      <c r="N229" s="150"/>
    </row>
    <row r="230" ht="51" spans="1:14">
      <c r="A230" s="60"/>
      <c r="B230" s="92"/>
      <c r="C230" s="93"/>
      <c r="D230" s="79" t="s">
        <v>329</v>
      </c>
      <c r="E230" s="74" t="s">
        <v>150</v>
      </c>
      <c r="F230" s="72" t="s">
        <v>358</v>
      </c>
      <c r="G230" s="72" t="s">
        <v>589</v>
      </c>
      <c r="H230" s="28" t="s">
        <v>81</v>
      </c>
      <c r="I230" s="27"/>
      <c r="J230" s="28" t="s">
        <v>81</v>
      </c>
      <c r="K230" s="74">
        <v>4</v>
      </c>
      <c r="L230" s="114"/>
      <c r="M230" s="65"/>
      <c r="N230" s="150"/>
    </row>
    <row r="231" ht="51" spans="1:14">
      <c r="A231" s="60"/>
      <c r="B231" s="92"/>
      <c r="C231" s="93"/>
      <c r="D231" s="79" t="s">
        <v>187</v>
      </c>
      <c r="E231" s="74" t="s">
        <v>590</v>
      </c>
      <c r="F231" s="72" t="s">
        <v>591</v>
      </c>
      <c r="G231" s="72" t="s">
        <v>189</v>
      </c>
      <c r="H231" s="28" t="s">
        <v>81</v>
      </c>
      <c r="I231" s="28" t="s">
        <v>81</v>
      </c>
      <c r="J231" s="28"/>
      <c r="K231" s="74">
        <v>3</v>
      </c>
      <c r="L231" s="114"/>
      <c r="M231" s="65"/>
      <c r="N231" s="150"/>
    </row>
    <row r="232" ht="84" spans="1:14">
      <c r="A232" s="60"/>
      <c r="B232" s="92"/>
      <c r="C232" s="93"/>
      <c r="D232" s="79" t="s">
        <v>592</v>
      </c>
      <c r="E232" s="74" t="s">
        <v>161</v>
      </c>
      <c r="F232" s="72" t="s">
        <v>491</v>
      </c>
      <c r="G232" s="72" t="s">
        <v>593</v>
      </c>
      <c r="H232" s="27"/>
      <c r="I232" s="28" t="s">
        <v>81</v>
      </c>
      <c r="J232" s="28" t="s">
        <v>81</v>
      </c>
      <c r="K232" s="74">
        <v>6</v>
      </c>
      <c r="L232" s="114"/>
      <c r="M232" s="65"/>
      <c r="N232" s="150"/>
    </row>
    <row r="233" ht="51" spans="1:14">
      <c r="A233" s="60"/>
      <c r="B233" s="92"/>
      <c r="C233" s="93"/>
      <c r="D233" s="79" t="s">
        <v>594</v>
      </c>
      <c r="E233" s="74" t="s">
        <v>595</v>
      </c>
      <c r="F233" s="72" t="s">
        <v>596</v>
      </c>
      <c r="G233" s="72" t="s">
        <v>597</v>
      </c>
      <c r="H233" s="28" t="s">
        <v>81</v>
      </c>
      <c r="I233" s="27"/>
      <c r="J233" s="28" t="s">
        <v>81</v>
      </c>
      <c r="K233" s="74">
        <v>4</v>
      </c>
      <c r="L233" s="114"/>
      <c r="M233" s="65"/>
      <c r="N233" s="150"/>
    </row>
    <row r="234" ht="51" spans="1:14">
      <c r="A234" s="60"/>
      <c r="B234" s="92"/>
      <c r="C234" s="93"/>
      <c r="D234" s="79" t="s">
        <v>598</v>
      </c>
      <c r="E234" s="74" t="s">
        <v>599</v>
      </c>
      <c r="F234" s="72" t="s">
        <v>596</v>
      </c>
      <c r="G234" s="72" t="s">
        <v>600</v>
      </c>
      <c r="H234" s="28" t="s">
        <v>81</v>
      </c>
      <c r="I234" s="28" t="s">
        <v>81</v>
      </c>
      <c r="J234" s="28"/>
      <c r="K234" s="74">
        <v>23</v>
      </c>
      <c r="L234" s="114"/>
      <c r="M234" s="65"/>
      <c r="N234" s="150"/>
    </row>
    <row r="235" ht="68" spans="1:14">
      <c r="A235" s="60"/>
      <c r="B235" s="92"/>
      <c r="C235" s="93"/>
      <c r="D235" s="79" t="s">
        <v>336</v>
      </c>
      <c r="E235" s="74" t="s">
        <v>429</v>
      </c>
      <c r="F235" s="72" t="s">
        <v>145</v>
      </c>
      <c r="G235" s="72" t="s">
        <v>601</v>
      </c>
      <c r="H235" s="27"/>
      <c r="I235" s="28" t="s">
        <v>81</v>
      </c>
      <c r="J235" s="28" t="s">
        <v>81</v>
      </c>
      <c r="K235" s="74">
        <v>6</v>
      </c>
      <c r="L235" s="114"/>
      <c r="M235" s="65"/>
      <c r="N235" s="150"/>
    </row>
    <row r="236" ht="34" spans="1:14">
      <c r="A236" s="60"/>
      <c r="B236" s="92"/>
      <c r="C236" s="93"/>
      <c r="D236" s="79" t="s">
        <v>119</v>
      </c>
      <c r="E236" s="73">
        <v>45908</v>
      </c>
      <c r="F236" s="72" t="s">
        <v>602</v>
      </c>
      <c r="G236" s="72" t="s">
        <v>120</v>
      </c>
      <c r="H236" s="28" t="s">
        <v>81</v>
      </c>
      <c r="I236" s="27"/>
      <c r="J236" s="28" t="s">
        <v>81</v>
      </c>
      <c r="K236" s="74">
        <v>13</v>
      </c>
      <c r="L236" s="114"/>
      <c r="M236" s="65"/>
      <c r="N236" s="150"/>
    </row>
    <row r="237" ht="51" spans="1:14">
      <c r="A237" s="60"/>
      <c r="B237" s="92"/>
      <c r="C237" s="108" t="s">
        <v>434</v>
      </c>
      <c r="D237" s="79" t="s">
        <v>603</v>
      </c>
      <c r="E237" s="74" t="s">
        <v>202</v>
      </c>
      <c r="F237" s="72" t="s">
        <v>604</v>
      </c>
      <c r="G237" s="72" t="s">
        <v>605</v>
      </c>
      <c r="H237" s="28" t="s">
        <v>81</v>
      </c>
      <c r="I237" s="28" t="s">
        <v>81</v>
      </c>
      <c r="J237" s="28"/>
      <c r="K237" s="74">
        <v>2</v>
      </c>
      <c r="L237" s="114"/>
      <c r="M237" s="65"/>
      <c r="N237" s="150"/>
    </row>
    <row r="238" ht="34" spans="1:14">
      <c r="A238" s="60"/>
      <c r="B238" s="92"/>
      <c r="C238" s="93"/>
      <c r="D238" s="79" t="s">
        <v>606</v>
      </c>
      <c r="E238" s="441" t="s">
        <v>607</v>
      </c>
      <c r="F238" s="72" t="s">
        <v>608</v>
      </c>
      <c r="G238" s="72" t="s">
        <v>609</v>
      </c>
      <c r="H238" s="27"/>
      <c r="I238" s="28" t="s">
        <v>81</v>
      </c>
      <c r="J238" s="28" t="s">
        <v>81</v>
      </c>
      <c r="K238" s="74">
        <v>3</v>
      </c>
      <c r="L238" s="74"/>
      <c r="M238" s="144"/>
      <c r="N238" s="91"/>
    </row>
    <row r="239" ht="34" spans="1:14">
      <c r="A239" s="115"/>
      <c r="B239" s="99"/>
      <c r="C239" s="110"/>
      <c r="D239" s="79" t="s">
        <v>610</v>
      </c>
      <c r="E239" s="441" t="s">
        <v>611</v>
      </c>
      <c r="F239" s="72" t="s">
        <v>608</v>
      </c>
      <c r="G239" s="72" t="s">
        <v>612</v>
      </c>
      <c r="H239" s="28" t="s">
        <v>81</v>
      </c>
      <c r="I239" s="27"/>
      <c r="J239" s="28" t="s">
        <v>81</v>
      </c>
      <c r="K239" s="74">
        <v>3</v>
      </c>
      <c r="L239" s="74"/>
      <c r="M239" s="144"/>
      <c r="N239" s="91"/>
    </row>
    <row r="240" ht="72" customHeight="1" spans="1:14">
      <c r="A240" s="145">
        <v>32</v>
      </c>
      <c r="B240" s="226" t="s">
        <v>613</v>
      </c>
      <c r="C240" s="423" t="s">
        <v>280</v>
      </c>
      <c r="D240" s="14" t="s">
        <v>562</v>
      </c>
      <c r="E240" s="440" t="s">
        <v>575</v>
      </c>
      <c r="F240" s="16" t="s">
        <v>482</v>
      </c>
      <c r="G240" s="16" t="s">
        <v>614</v>
      </c>
      <c r="H240" s="28" t="s">
        <v>81</v>
      </c>
      <c r="I240" s="28" t="s">
        <v>81</v>
      </c>
      <c r="J240" s="28"/>
      <c r="K240" s="18">
        <v>16</v>
      </c>
      <c r="L240" s="113">
        <v>34</v>
      </c>
      <c r="M240" s="19" t="str">
        <f>IF(L240&gt;=20,"Memenuhi","Tidak Memenuhi")</f>
        <v>Memenuhi</v>
      </c>
      <c r="N240" s="258" t="s">
        <v>615</v>
      </c>
    </row>
    <row r="241" ht="51" spans="1:30">
      <c r="A241" s="92"/>
      <c r="B241" s="230"/>
      <c r="C241" s="93"/>
      <c r="D241" s="79" t="s">
        <v>578</v>
      </c>
      <c r="E241" s="441" t="s">
        <v>579</v>
      </c>
      <c r="F241" s="72" t="s">
        <v>580</v>
      </c>
      <c r="G241" s="72" t="s">
        <v>616</v>
      </c>
      <c r="H241" s="27"/>
      <c r="I241" s="28" t="s">
        <v>81</v>
      </c>
      <c r="J241" s="28" t="s">
        <v>81</v>
      </c>
      <c r="K241" s="74">
        <v>4</v>
      </c>
      <c r="L241" s="74"/>
      <c r="M241" s="144"/>
      <c r="N241" s="91"/>
    </row>
    <row r="242" ht="51" spans="1:30">
      <c r="A242" s="92"/>
      <c r="B242" s="230"/>
      <c r="C242" s="93"/>
      <c r="D242" s="79" t="s">
        <v>583</v>
      </c>
      <c r="E242" s="73">
        <v>45716</v>
      </c>
      <c r="F242" s="259" t="s">
        <v>83</v>
      </c>
      <c r="G242" s="72" t="s">
        <v>617</v>
      </c>
      <c r="H242" s="28" t="s">
        <v>81</v>
      </c>
      <c r="I242" s="27"/>
      <c r="J242" s="28" t="s">
        <v>81</v>
      </c>
      <c r="K242" s="208">
        <v>4</v>
      </c>
      <c r="L242" s="74"/>
      <c r="M242" s="144"/>
      <c r="N242" s="91"/>
    </row>
    <row r="243" ht="68" spans="1:30">
      <c r="A243" s="92"/>
      <c r="B243" s="230"/>
      <c r="C243" s="93"/>
      <c r="D243" s="79" t="s">
        <v>261</v>
      </c>
      <c r="E243" s="73">
        <v>45775</v>
      </c>
      <c r="F243" s="72" t="s">
        <v>145</v>
      </c>
      <c r="G243" s="72" t="s">
        <v>618</v>
      </c>
      <c r="H243" s="28" t="s">
        <v>81</v>
      </c>
      <c r="I243" s="28" t="s">
        <v>81</v>
      </c>
      <c r="J243" s="28"/>
      <c r="K243" s="74">
        <v>2</v>
      </c>
      <c r="L243" s="74"/>
      <c r="M243" s="144"/>
      <c r="N243" s="91"/>
    </row>
    <row r="244" ht="51" spans="1:30">
      <c r="A244" s="92"/>
      <c r="B244" s="230"/>
      <c r="C244" s="93"/>
      <c r="D244" s="79" t="s">
        <v>147</v>
      </c>
      <c r="E244" s="443" t="s">
        <v>368</v>
      </c>
      <c r="F244" s="108" t="s">
        <v>145</v>
      </c>
      <c r="G244" s="108" t="s">
        <v>619</v>
      </c>
      <c r="H244" s="27"/>
      <c r="I244" s="28" t="s">
        <v>81</v>
      </c>
      <c r="J244" s="28" t="s">
        <v>81</v>
      </c>
      <c r="K244" s="212">
        <v>2</v>
      </c>
      <c r="L244" s="212"/>
      <c r="M244" s="260"/>
      <c r="N244" s="91"/>
    </row>
    <row r="245" ht="34" spans="1:30">
      <c r="A245" s="92"/>
      <c r="B245" s="230"/>
      <c r="C245" s="108" t="s">
        <v>434</v>
      </c>
      <c r="D245" s="79" t="s">
        <v>606</v>
      </c>
      <c r="E245" s="441" t="s">
        <v>607</v>
      </c>
      <c r="F245" s="72" t="s">
        <v>608</v>
      </c>
      <c r="G245" s="72" t="s">
        <v>620</v>
      </c>
      <c r="H245" s="28" t="s">
        <v>81</v>
      </c>
      <c r="I245" s="27"/>
      <c r="J245" s="28" t="s">
        <v>81</v>
      </c>
      <c r="K245" s="74">
        <v>3</v>
      </c>
      <c r="L245" s="74"/>
      <c r="M245" s="144"/>
      <c r="N245" s="91"/>
    </row>
    <row r="246" ht="34" spans="1:30">
      <c r="A246" s="99"/>
      <c r="B246" s="237"/>
      <c r="C246" s="110"/>
      <c r="D246" s="79" t="s">
        <v>610</v>
      </c>
      <c r="E246" s="441" t="s">
        <v>611</v>
      </c>
      <c r="F246" s="72" t="s">
        <v>608</v>
      </c>
      <c r="G246" s="72" t="s">
        <v>621</v>
      </c>
      <c r="H246" s="28" t="s">
        <v>81</v>
      </c>
      <c r="I246" s="28" t="s">
        <v>81</v>
      </c>
      <c r="J246" s="28"/>
      <c r="K246" s="74">
        <v>3</v>
      </c>
      <c r="L246" s="74"/>
      <c r="M246" s="144"/>
      <c r="N246" s="91"/>
    </row>
    <row r="247" ht="62.25" customHeight="1" spans="1:30">
      <c r="A247" s="145">
        <v>33</v>
      </c>
      <c r="B247" s="261" t="s">
        <v>622</v>
      </c>
      <c r="C247" s="423" t="s">
        <v>280</v>
      </c>
      <c r="D247" s="14" t="s">
        <v>562</v>
      </c>
      <c r="E247" s="440" t="s">
        <v>575</v>
      </c>
      <c r="F247" s="16" t="s">
        <v>482</v>
      </c>
      <c r="G247" s="16" t="s">
        <v>623</v>
      </c>
      <c r="H247" s="27"/>
      <c r="I247" s="28" t="s">
        <v>81</v>
      </c>
      <c r="J247" s="28" t="s">
        <v>81</v>
      </c>
      <c r="K247" s="18">
        <v>16</v>
      </c>
      <c r="L247" s="113">
        <f>K247+K253+K248+K254+K249+K250+K251+K252</f>
        <v>47</v>
      </c>
      <c r="M247" s="19" t="str">
        <f>IF(L247&gt;=20,"Memenuhi","Tidak Memenuhi")</f>
        <v>Memenuhi</v>
      </c>
      <c r="N247" s="262" t="s">
        <v>624</v>
      </c>
      <c r="O247" s="77"/>
    </row>
    <row r="248" ht="51" spans="1:30">
      <c r="A248" s="92"/>
      <c r="B248" s="230"/>
      <c r="C248" s="93"/>
      <c r="D248" s="79" t="s">
        <v>625</v>
      </c>
      <c r="E248" s="441" t="s">
        <v>579</v>
      </c>
      <c r="F248" s="72" t="s">
        <v>580</v>
      </c>
      <c r="G248" s="108" t="s">
        <v>626</v>
      </c>
      <c r="H248" s="28" t="s">
        <v>81</v>
      </c>
      <c r="I248" s="27"/>
      <c r="J248" s="28" t="s">
        <v>81</v>
      </c>
      <c r="K248" s="74">
        <v>3</v>
      </c>
      <c r="L248" s="74"/>
      <c r="M248" s="144"/>
      <c r="N248" s="105"/>
    </row>
    <row r="249" ht="51" spans="1:30">
      <c r="A249" s="92"/>
      <c r="B249" s="230"/>
      <c r="C249" s="93"/>
      <c r="D249" s="79" t="s">
        <v>583</v>
      </c>
      <c r="E249" s="73">
        <v>45716</v>
      </c>
      <c r="F249" s="259" t="s">
        <v>83</v>
      </c>
      <c r="G249" s="72" t="s">
        <v>627</v>
      </c>
      <c r="H249" s="28" t="s">
        <v>81</v>
      </c>
      <c r="I249" s="28" t="s">
        <v>81</v>
      </c>
      <c r="J249" s="28"/>
      <c r="K249" s="208">
        <v>4</v>
      </c>
      <c r="L249" s="74"/>
      <c r="M249" s="144"/>
      <c r="N249" s="105"/>
    </row>
    <row r="250" ht="43.5" customHeight="1" spans="1:30">
      <c r="A250" s="92"/>
      <c r="B250" s="230"/>
      <c r="C250" s="93"/>
      <c r="D250" s="79" t="s">
        <v>305</v>
      </c>
      <c r="E250" s="73" t="s">
        <v>144</v>
      </c>
      <c r="F250" s="72" t="s">
        <v>145</v>
      </c>
      <c r="G250" s="72" t="s">
        <v>628</v>
      </c>
      <c r="H250" s="27"/>
      <c r="I250" s="28" t="s">
        <v>81</v>
      </c>
      <c r="J250" s="28" t="s">
        <v>81</v>
      </c>
      <c r="K250" s="208">
        <v>2</v>
      </c>
      <c r="L250" s="74"/>
      <c r="M250" s="144"/>
      <c r="N250" s="105"/>
    </row>
    <row r="251" ht="51" spans="1:30">
      <c r="A251" s="88"/>
      <c r="B251" s="263"/>
      <c r="C251" s="166"/>
      <c r="D251" s="79" t="s">
        <v>147</v>
      </c>
      <c r="E251" s="444" t="s">
        <v>368</v>
      </c>
      <c r="F251" s="72" t="s">
        <v>145</v>
      </c>
      <c r="G251" s="445" t="s">
        <v>629</v>
      </c>
      <c r="H251" s="28" t="s">
        <v>81</v>
      </c>
      <c r="I251" s="27"/>
      <c r="J251" s="28" t="s">
        <v>81</v>
      </c>
      <c r="K251" s="264">
        <v>2</v>
      </c>
      <c r="L251" s="222"/>
      <c r="M251" s="223"/>
      <c r="N251" s="224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</row>
    <row r="252" ht="34" spans="1:30">
      <c r="A252" s="88"/>
      <c r="B252" s="263"/>
      <c r="C252" s="265" t="s">
        <v>434</v>
      </c>
      <c r="D252" s="243" t="s">
        <v>119</v>
      </c>
      <c r="E252" s="444" t="s">
        <v>630</v>
      </c>
      <c r="F252" s="72" t="s">
        <v>602</v>
      </c>
      <c r="G252" s="72" t="s">
        <v>120</v>
      </c>
      <c r="H252" s="28" t="s">
        <v>81</v>
      </c>
      <c r="I252" s="28" t="s">
        <v>81</v>
      </c>
      <c r="J252" s="28"/>
      <c r="K252" s="74">
        <v>13</v>
      </c>
      <c r="L252" s="222"/>
      <c r="M252" s="223"/>
      <c r="N252" s="224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</row>
    <row r="253" ht="34" spans="1:30">
      <c r="A253" s="92"/>
      <c r="B253" s="230"/>
      <c r="C253" s="93"/>
      <c r="D253" s="79" t="s">
        <v>610</v>
      </c>
      <c r="E253" s="441" t="s">
        <v>611</v>
      </c>
      <c r="F253" s="72" t="s">
        <v>608</v>
      </c>
      <c r="G253" s="72" t="s">
        <v>612</v>
      </c>
      <c r="H253" s="27"/>
      <c r="I253" s="28" t="s">
        <v>81</v>
      </c>
      <c r="J253" s="28" t="s">
        <v>81</v>
      </c>
      <c r="K253" s="74">
        <v>4</v>
      </c>
      <c r="L253" s="74"/>
      <c r="M253" s="144"/>
      <c r="N253" s="105"/>
    </row>
    <row r="254" ht="34" spans="1:30">
      <c r="A254" s="99"/>
      <c r="B254" s="237"/>
      <c r="C254" s="110"/>
      <c r="D254" s="79" t="s">
        <v>606</v>
      </c>
      <c r="E254" s="441" t="s">
        <v>607</v>
      </c>
      <c r="F254" s="259" t="s">
        <v>608</v>
      </c>
      <c r="G254" s="72" t="s">
        <v>631</v>
      </c>
      <c r="H254" s="28" t="s">
        <v>81</v>
      </c>
      <c r="I254" s="27"/>
      <c r="J254" s="28" t="s">
        <v>81</v>
      </c>
      <c r="K254" s="208">
        <v>3</v>
      </c>
      <c r="L254" s="74"/>
      <c r="M254" s="144"/>
      <c r="N254" s="105"/>
    </row>
    <row r="255" ht="57.75" customHeight="1" spans="1:30">
      <c r="A255" s="266">
        <v>34</v>
      </c>
      <c r="B255" s="267" t="s">
        <v>632</v>
      </c>
      <c r="C255" s="446" t="s">
        <v>633</v>
      </c>
      <c r="D255" s="269" t="s">
        <v>634</v>
      </c>
      <c r="E255" s="270">
        <v>45722</v>
      </c>
      <c r="F255" s="271" t="s">
        <v>635</v>
      </c>
      <c r="G255" s="271" t="s">
        <v>636</v>
      </c>
      <c r="H255" s="28" t="s">
        <v>81</v>
      </c>
      <c r="I255" s="28" t="s">
        <v>81</v>
      </c>
      <c r="J255" s="28"/>
      <c r="K255" s="272">
        <v>3</v>
      </c>
      <c r="L255" s="273">
        <f>SUM(K255:K262)</f>
        <v>43</v>
      </c>
      <c r="M255" s="274" t="str">
        <f>IF(L255&gt;=20,"Memenuhi","Tidak Memenuhi")</f>
        <v>Memenuhi</v>
      </c>
      <c r="N255" s="275" t="s">
        <v>637</v>
      </c>
    </row>
    <row r="256" ht="51" spans="1:30">
      <c r="A256" s="92"/>
      <c r="B256" s="230"/>
      <c r="C256" s="93"/>
      <c r="D256" s="276" t="s">
        <v>638</v>
      </c>
      <c r="E256" s="97">
        <v>45741</v>
      </c>
      <c r="F256" s="45" t="s">
        <v>639</v>
      </c>
      <c r="G256" s="45" t="s">
        <v>640</v>
      </c>
      <c r="H256" s="27"/>
      <c r="I256" s="28" t="s">
        <v>81</v>
      </c>
      <c r="J256" s="28" t="s">
        <v>81</v>
      </c>
      <c r="K256" s="98">
        <v>2</v>
      </c>
      <c r="L256" s="98"/>
      <c r="M256" s="75"/>
      <c r="N256" s="277"/>
    </row>
    <row r="257" ht="68" spans="1:30">
      <c r="A257" s="92"/>
      <c r="B257" s="230"/>
      <c r="C257" s="93"/>
      <c r="D257" s="278" t="s">
        <v>641</v>
      </c>
      <c r="E257" s="97" t="s">
        <v>642</v>
      </c>
      <c r="F257" s="45" t="s">
        <v>643</v>
      </c>
      <c r="G257" s="45" t="s">
        <v>644</v>
      </c>
      <c r="H257" s="28" t="s">
        <v>81</v>
      </c>
      <c r="I257" s="27"/>
      <c r="J257" s="28" t="s">
        <v>81</v>
      </c>
      <c r="K257" s="98">
        <v>7</v>
      </c>
      <c r="L257" s="98"/>
      <c r="M257" s="75"/>
      <c r="N257" s="277"/>
    </row>
    <row r="258" ht="68" spans="1:30">
      <c r="A258" s="92"/>
      <c r="B258" s="230"/>
      <c r="C258" s="93"/>
      <c r="D258" s="278" t="s">
        <v>645</v>
      </c>
      <c r="E258" s="97" t="s">
        <v>642</v>
      </c>
      <c r="F258" s="45" t="s">
        <v>643</v>
      </c>
      <c r="G258" s="45" t="s">
        <v>646</v>
      </c>
      <c r="H258" s="28" t="s">
        <v>81</v>
      </c>
      <c r="I258" s="28" t="s">
        <v>81</v>
      </c>
      <c r="J258" s="28"/>
      <c r="K258" s="98">
        <v>7</v>
      </c>
      <c r="L258" s="98"/>
      <c r="M258" s="75"/>
      <c r="N258" s="277"/>
    </row>
    <row r="259" ht="68" spans="1:30">
      <c r="A259" s="92"/>
      <c r="B259" s="230"/>
      <c r="C259" s="110"/>
      <c r="D259" s="278" t="s">
        <v>647</v>
      </c>
      <c r="E259" s="97">
        <v>45786</v>
      </c>
      <c r="F259" s="45" t="s">
        <v>648</v>
      </c>
      <c r="G259" s="45" t="s">
        <v>649</v>
      </c>
      <c r="H259" s="27"/>
      <c r="I259" s="28" t="s">
        <v>81</v>
      </c>
      <c r="J259" s="28" t="s">
        <v>81</v>
      </c>
      <c r="K259" s="98">
        <v>3</v>
      </c>
      <c r="L259" s="98"/>
      <c r="M259" s="75"/>
      <c r="N259" s="277"/>
    </row>
    <row r="260" ht="68" spans="1:30">
      <c r="A260" s="92"/>
      <c r="B260" s="96"/>
      <c r="C260" s="447" t="s">
        <v>650</v>
      </c>
      <c r="D260" s="279" t="s">
        <v>651</v>
      </c>
      <c r="E260" s="280" t="s">
        <v>652</v>
      </c>
      <c r="F260" s="45" t="s">
        <v>648</v>
      </c>
      <c r="G260" s="45" t="s">
        <v>653</v>
      </c>
      <c r="H260" s="28" t="s">
        <v>81</v>
      </c>
      <c r="I260" s="27"/>
      <c r="J260" s="28" t="s">
        <v>81</v>
      </c>
      <c r="K260" s="98">
        <v>17</v>
      </c>
      <c r="L260" s="98"/>
      <c r="M260" s="75"/>
      <c r="N260" s="277"/>
    </row>
    <row r="261" ht="57" customHeight="1" spans="1:30">
      <c r="A261" s="281"/>
      <c r="B261" s="282"/>
      <c r="C261" s="448" t="s">
        <v>280</v>
      </c>
      <c r="D261" s="284" t="s">
        <v>356</v>
      </c>
      <c r="E261" s="428" t="s">
        <v>285</v>
      </c>
      <c r="F261" s="158" t="s">
        <v>286</v>
      </c>
      <c r="G261" s="429" t="s">
        <v>176</v>
      </c>
      <c r="H261" s="28" t="s">
        <v>81</v>
      </c>
      <c r="I261" s="28" t="s">
        <v>81</v>
      </c>
      <c r="J261" s="28"/>
      <c r="K261" s="160">
        <v>2</v>
      </c>
      <c r="L261" s="161"/>
      <c r="M261" s="161"/>
      <c r="N261" s="277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</row>
    <row r="262" ht="51" spans="1:30">
      <c r="A262" s="193"/>
      <c r="B262" s="285"/>
      <c r="C262" s="286" t="s">
        <v>434</v>
      </c>
      <c r="D262" s="40" t="s">
        <v>654</v>
      </c>
      <c r="E262" s="287" t="s">
        <v>655</v>
      </c>
      <c r="F262" s="40" t="s">
        <v>107</v>
      </c>
      <c r="G262" s="40" t="s">
        <v>656</v>
      </c>
      <c r="H262" s="27"/>
      <c r="I262" s="28" t="s">
        <v>81</v>
      </c>
      <c r="J262" s="28" t="s">
        <v>81</v>
      </c>
      <c r="K262" s="39">
        <v>2</v>
      </c>
      <c r="L262" s="167"/>
      <c r="M262" s="41"/>
      <c r="N262" s="288"/>
    </row>
    <row r="263" ht="15" customHeight="1" spans="1:30">
      <c r="A263" s="118">
        <v>38</v>
      </c>
      <c r="B263" s="289" t="s">
        <v>657</v>
      </c>
      <c r="C263" s="16"/>
      <c r="D263" s="290" t="s">
        <v>115</v>
      </c>
      <c r="E263" s="120">
        <v>45722</v>
      </c>
      <c r="F263" s="121" t="s">
        <v>116</v>
      </c>
      <c r="G263" s="121" t="s">
        <v>304</v>
      </c>
      <c r="H263" s="28" t="s">
        <v>81</v>
      </c>
      <c r="I263" s="27"/>
      <c r="J263" s="28" t="s">
        <v>81</v>
      </c>
      <c r="K263" s="17">
        <v>20</v>
      </c>
      <c r="L263" s="122">
        <f>K263+K264</f>
        <v>22</v>
      </c>
      <c r="M263" s="123" t="str">
        <f>IF(L263&gt;=20,"Memenuhi","Tidak Memenuhi")</f>
        <v>Memenuhi</v>
      </c>
      <c r="N263" s="105"/>
    </row>
    <row r="264" ht="15" customHeight="1" spans="1:30">
      <c r="A264" s="130"/>
      <c r="B264" s="291"/>
      <c r="C264" s="108"/>
      <c r="D264" s="292" t="s">
        <v>658</v>
      </c>
      <c r="E264" s="97">
        <v>45714</v>
      </c>
      <c r="F264" s="45" t="s">
        <v>659</v>
      </c>
      <c r="G264" s="45" t="s">
        <v>660</v>
      </c>
      <c r="H264" s="28" t="s">
        <v>81</v>
      </c>
      <c r="I264" s="28" t="s">
        <v>81</v>
      </c>
      <c r="J264" s="28"/>
      <c r="K264" s="98">
        <v>2</v>
      </c>
      <c r="L264" s="126"/>
      <c r="M264" s="94"/>
      <c r="N264" s="105"/>
    </row>
    <row r="265" ht="59.25" customHeight="1" spans="1:30">
      <c r="A265" s="84">
        <v>35</v>
      </c>
      <c r="B265" s="226" t="s">
        <v>661</v>
      </c>
      <c r="C265" s="419" t="s">
        <v>280</v>
      </c>
      <c r="D265" s="14" t="s">
        <v>562</v>
      </c>
      <c r="E265" s="436" t="s">
        <v>662</v>
      </c>
      <c r="F265" s="121" t="s">
        <v>482</v>
      </c>
      <c r="G265" s="121" t="s">
        <v>663</v>
      </c>
      <c r="H265" s="27"/>
      <c r="I265" s="28" t="s">
        <v>81</v>
      </c>
      <c r="J265" s="28" t="s">
        <v>81</v>
      </c>
      <c r="K265" s="17">
        <v>16</v>
      </c>
      <c r="L265" s="122">
        <f>K265+K266+K270+K271+K267+K268+K269</f>
        <v>45</v>
      </c>
      <c r="M265" s="123" t="str">
        <f>IF(L265&gt;=20,"Memenuhi","Tidak Memenuhi")</f>
        <v>Memenuhi</v>
      </c>
      <c r="N265" s="258" t="s">
        <v>664</v>
      </c>
    </row>
    <row r="266" ht="51" spans="1:30">
      <c r="A266" s="92"/>
      <c r="B266" s="293"/>
      <c r="C266" s="157"/>
      <c r="D266" s="79" t="s">
        <v>665</v>
      </c>
      <c r="E266" s="437" t="s">
        <v>579</v>
      </c>
      <c r="F266" s="45" t="s">
        <v>580</v>
      </c>
      <c r="G266" s="45" t="s">
        <v>666</v>
      </c>
      <c r="H266" s="28" t="s">
        <v>81</v>
      </c>
      <c r="I266" s="27"/>
      <c r="J266" s="28" t="s">
        <v>81</v>
      </c>
      <c r="K266" s="98">
        <v>4</v>
      </c>
      <c r="L266" s="126"/>
      <c r="M266" s="75"/>
      <c r="N266" s="294" t="s">
        <v>667</v>
      </c>
    </row>
    <row r="267" ht="51" spans="1:30">
      <c r="A267" s="92"/>
      <c r="B267" s="293"/>
      <c r="C267" s="157"/>
      <c r="D267" s="79" t="s">
        <v>583</v>
      </c>
      <c r="E267" s="97">
        <v>45716</v>
      </c>
      <c r="F267" s="45" t="s">
        <v>83</v>
      </c>
      <c r="G267" s="45" t="s">
        <v>668</v>
      </c>
      <c r="H267" s="28" t="s">
        <v>81</v>
      </c>
      <c r="I267" s="28" t="s">
        <v>81</v>
      </c>
      <c r="J267" s="28"/>
      <c r="K267" s="98">
        <v>4</v>
      </c>
      <c r="L267" s="126"/>
      <c r="M267" s="75"/>
      <c r="N267" s="91"/>
    </row>
    <row r="268" ht="42.75" customHeight="1" spans="1:30">
      <c r="A268" s="92"/>
      <c r="B268" s="293"/>
      <c r="C268" s="157"/>
      <c r="D268" s="79" t="s">
        <v>305</v>
      </c>
      <c r="E268" s="97" t="s">
        <v>144</v>
      </c>
      <c r="F268" s="45" t="s">
        <v>145</v>
      </c>
      <c r="G268" s="45" t="s">
        <v>669</v>
      </c>
      <c r="H268" s="27"/>
      <c r="I268" s="28" t="s">
        <v>81</v>
      </c>
      <c r="J268" s="28" t="s">
        <v>81</v>
      </c>
      <c r="K268" s="295">
        <v>2</v>
      </c>
      <c r="L268" s="126"/>
      <c r="M268" s="75"/>
      <c r="N268" s="91"/>
    </row>
    <row r="269" ht="34" spans="1:30">
      <c r="A269" s="92"/>
      <c r="B269" s="230"/>
      <c r="C269" s="110"/>
      <c r="D269" s="80" t="s">
        <v>670</v>
      </c>
      <c r="E269" s="232">
        <v>45909</v>
      </c>
      <c r="F269" s="233" t="s">
        <v>671</v>
      </c>
      <c r="G269" s="233" t="s">
        <v>672</v>
      </c>
      <c r="H269" s="28" t="s">
        <v>81</v>
      </c>
      <c r="I269" s="27"/>
      <c r="J269" s="28" t="s">
        <v>81</v>
      </c>
      <c r="K269" s="296">
        <v>13</v>
      </c>
      <c r="L269" s="235"/>
      <c r="M269" s="240"/>
      <c r="N269" s="151"/>
    </row>
    <row r="270" ht="34" spans="1:30">
      <c r="A270" s="92"/>
      <c r="B270" s="293"/>
      <c r="C270" s="93" t="s">
        <v>434</v>
      </c>
      <c r="D270" s="79" t="s">
        <v>610</v>
      </c>
      <c r="E270" s="97">
        <v>45701</v>
      </c>
      <c r="F270" s="45" t="s">
        <v>673</v>
      </c>
      <c r="G270" s="45" t="s">
        <v>674</v>
      </c>
      <c r="H270" s="28" t="s">
        <v>81</v>
      </c>
      <c r="I270" s="28" t="s">
        <v>81</v>
      </c>
      <c r="J270" s="28"/>
      <c r="K270" s="98">
        <v>3</v>
      </c>
      <c r="L270" s="126"/>
      <c r="M270" s="75"/>
      <c r="N270" s="91"/>
    </row>
    <row r="271" ht="34" spans="1:30">
      <c r="A271" s="99"/>
      <c r="B271" s="297"/>
      <c r="C271" s="162"/>
      <c r="D271" s="79" t="s">
        <v>606</v>
      </c>
      <c r="E271" s="437" t="s">
        <v>675</v>
      </c>
      <c r="F271" s="45" t="s">
        <v>673</v>
      </c>
      <c r="G271" s="45" t="s">
        <v>676</v>
      </c>
      <c r="H271" s="27"/>
      <c r="I271" s="28" t="s">
        <v>81</v>
      </c>
      <c r="J271" s="28" t="s">
        <v>81</v>
      </c>
      <c r="K271" s="98">
        <v>3</v>
      </c>
      <c r="L271" s="126"/>
      <c r="M271" s="75"/>
      <c r="N271" s="91"/>
    </row>
    <row r="272" ht="69" customHeight="1" spans="1:30">
      <c r="A272" s="145">
        <v>36</v>
      </c>
      <c r="B272" s="261" t="s">
        <v>677</v>
      </c>
      <c r="C272" s="423" t="s">
        <v>678</v>
      </c>
      <c r="D272" s="14" t="s">
        <v>115</v>
      </c>
      <c r="E272" s="15">
        <v>45834</v>
      </c>
      <c r="F272" s="16" t="s">
        <v>116</v>
      </c>
      <c r="G272" s="16" t="s">
        <v>679</v>
      </c>
      <c r="H272" s="28" t="s">
        <v>81</v>
      </c>
      <c r="I272" s="27"/>
      <c r="J272" s="28" t="s">
        <v>81</v>
      </c>
      <c r="K272" s="18">
        <v>20</v>
      </c>
      <c r="L272" s="113">
        <f>SUM(K272:K277)</f>
        <v>56</v>
      </c>
      <c r="M272" s="19" t="str">
        <f>IF(L272&gt;=20,"Memenuhi","Tidak Memenuhi")</f>
        <v>Memenuhi</v>
      </c>
      <c r="N272" s="298" t="s">
        <v>680</v>
      </c>
    </row>
    <row r="273" ht="51" spans="1:30">
      <c r="A273" s="88"/>
      <c r="B273" s="263"/>
      <c r="C273" s="166"/>
      <c r="D273" s="79" t="s">
        <v>681</v>
      </c>
      <c r="E273" s="74" t="s">
        <v>682</v>
      </c>
      <c r="F273" s="72" t="s">
        <v>683</v>
      </c>
      <c r="G273" s="72" t="s">
        <v>684</v>
      </c>
      <c r="H273" s="28" t="s">
        <v>81</v>
      </c>
      <c r="I273" s="28" t="s">
        <v>81</v>
      </c>
      <c r="J273" s="28"/>
      <c r="K273" s="74">
        <v>23</v>
      </c>
      <c r="L273" s="222"/>
      <c r="M273" s="299"/>
      <c r="N273" s="298" t="s">
        <v>685</v>
      </c>
    </row>
    <row r="274" ht="51" spans="1:30">
      <c r="A274" s="88"/>
      <c r="B274" s="263"/>
      <c r="C274" s="110"/>
      <c r="D274" s="38" t="s">
        <v>372</v>
      </c>
      <c r="E274" s="300">
        <v>45831</v>
      </c>
      <c r="F274" s="83" t="s">
        <v>79</v>
      </c>
      <c r="G274" s="83" t="s">
        <v>686</v>
      </c>
      <c r="H274" s="27"/>
      <c r="I274" s="28" t="s">
        <v>81</v>
      </c>
      <c r="J274" s="28" t="s">
        <v>81</v>
      </c>
      <c r="K274" s="82">
        <v>3</v>
      </c>
      <c r="L274" s="222"/>
      <c r="M274" s="299"/>
      <c r="N274" s="298" t="s">
        <v>685</v>
      </c>
    </row>
    <row r="275" ht="41.25" customHeight="1" spans="1:30">
      <c r="A275" s="88"/>
      <c r="B275" s="89"/>
      <c r="C275" s="220" t="s">
        <v>687</v>
      </c>
      <c r="D275" s="83" t="s">
        <v>688</v>
      </c>
      <c r="E275" s="300">
        <v>45825</v>
      </c>
      <c r="F275" s="83" t="s">
        <v>111</v>
      </c>
      <c r="G275" s="83" t="s">
        <v>689</v>
      </c>
      <c r="H275" s="28" t="s">
        <v>81</v>
      </c>
      <c r="I275" s="27"/>
      <c r="J275" s="28" t="s">
        <v>81</v>
      </c>
      <c r="K275" s="82">
        <v>4</v>
      </c>
      <c r="L275" s="222"/>
      <c r="M275" s="299"/>
      <c r="N275" s="298" t="s">
        <v>690</v>
      </c>
    </row>
    <row r="276" ht="51" spans="1:30">
      <c r="A276" s="88"/>
      <c r="B276" s="89"/>
      <c r="C276" s="38" t="s">
        <v>434</v>
      </c>
      <c r="D276" s="72" t="s">
        <v>691</v>
      </c>
      <c r="E276" s="74" t="s">
        <v>692</v>
      </c>
      <c r="F276" s="72" t="s">
        <v>185</v>
      </c>
      <c r="G276" s="301" t="s">
        <v>689</v>
      </c>
      <c r="H276" s="28" t="s">
        <v>81</v>
      </c>
      <c r="I276" s="28" t="s">
        <v>81</v>
      </c>
      <c r="J276" s="28"/>
      <c r="K276" s="82">
        <v>4</v>
      </c>
      <c r="L276" s="222"/>
      <c r="M276" s="299"/>
      <c r="N276" s="298" t="s">
        <v>693</v>
      </c>
    </row>
    <row r="277" ht="51" spans="1:30">
      <c r="A277" s="88"/>
      <c r="B277" s="89"/>
      <c r="C277" s="38" t="s">
        <v>434</v>
      </c>
      <c r="D277" s="72" t="s">
        <v>694</v>
      </c>
      <c r="E277" s="74" t="s">
        <v>695</v>
      </c>
      <c r="F277" s="72" t="s">
        <v>185</v>
      </c>
      <c r="G277" s="72" t="s">
        <v>696</v>
      </c>
      <c r="H277" s="27"/>
      <c r="I277" s="28" t="s">
        <v>81</v>
      </c>
      <c r="J277" s="28" t="s">
        <v>81</v>
      </c>
      <c r="K277" s="74">
        <v>2</v>
      </c>
      <c r="L277" s="222"/>
      <c r="M277" s="299"/>
      <c r="N277" s="298" t="s">
        <v>690</v>
      </c>
    </row>
    <row r="278" ht="60.75" customHeight="1" spans="1:30">
      <c r="A278" s="302">
        <v>37</v>
      </c>
      <c r="B278" s="303" t="s">
        <v>697</v>
      </c>
      <c r="C278" s="304" t="s">
        <v>687</v>
      </c>
      <c r="D278" s="305" t="s">
        <v>698</v>
      </c>
      <c r="E278" s="306" t="s">
        <v>357</v>
      </c>
      <c r="F278" s="307" t="s">
        <v>111</v>
      </c>
      <c r="G278" s="307" t="s">
        <v>699</v>
      </c>
      <c r="H278" s="28" t="s">
        <v>81</v>
      </c>
      <c r="I278" s="27"/>
      <c r="J278" s="28" t="s">
        <v>81</v>
      </c>
      <c r="K278" s="306">
        <v>4</v>
      </c>
      <c r="L278" s="306">
        <v>59</v>
      </c>
      <c r="M278" s="308" t="str">
        <f>IF(L278&gt;=20,"Memenuhi","Tidak Memenuhi")</f>
        <v>Memenuhi</v>
      </c>
      <c r="N278" s="309" t="s">
        <v>700</v>
      </c>
      <c r="O278" s="310"/>
      <c r="P278" s="310"/>
      <c r="Q278" s="310"/>
      <c r="R278" s="310"/>
      <c r="S278" s="310"/>
      <c r="T278" s="310"/>
      <c r="U278" s="310"/>
      <c r="V278" s="310"/>
      <c r="W278" s="310"/>
      <c r="X278" s="310"/>
      <c r="Y278" s="310"/>
      <c r="Z278" s="310"/>
      <c r="AA278" s="310"/>
      <c r="AB278" s="310"/>
      <c r="AC278" s="310"/>
      <c r="AD278" s="310"/>
    </row>
    <row r="279" ht="51" spans="1:30">
      <c r="A279" s="92"/>
      <c r="B279" s="96"/>
      <c r="C279" s="80" t="s">
        <v>434</v>
      </c>
      <c r="D279" s="72" t="s">
        <v>329</v>
      </c>
      <c r="E279" s="98" t="s">
        <v>150</v>
      </c>
      <c r="F279" s="45" t="s">
        <v>325</v>
      </c>
      <c r="G279" s="45" t="s">
        <v>701</v>
      </c>
      <c r="H279" s="28" t="s">
        <v>81</v>
      </c>
      <c r="I279" s="28" t="s">
        <v>81</v>
      </c>
      <c r="J279" s="28"/>
      <c r="K279" s="98">
        <v>4</v>
      </c>
      <c r="L279" s="98"/>
      <c r="M279" s="240"/>
      <c r="N279" s="311"/>
    </row>
    <row r="280" ht="54.75" customHeight="1" spans="1:30">
      <c r="A280" s="92"/>
      <c r="B280" s="230"/>
      <c r="C280" s="431" t="s">
        <v>702</v>
      </c>
      <c r="D280" s="79" t="s">
        <v>115</v>
      </c>
      <c r="E280" s="98" t="s">
        <v>695</v>
      </c>
      <c r="F280" s="45" t="s">
        <v>703</v>
      </c>
      <c r="G280" s="45" t="s">
        <v>704</v>
      </c>
      <c r="H280" s="27"/>
      <c r="I280" s="28" t="s">
        <v>81</v>
      </c>
      <c r="J280" s="28" t="s">
        <v>81</v>
      </c>
      <c r="K280" s="98">
        <v>20</v>
      </c>
      <c r="L280" s="98"/>
      <c r="M280" s="240"/>
      <c r="N280" s="311"/>
    </row>
    <row r="281" ht="55.5" customHeight="1" spans="1:30">
      <c r="A281" s="92"/>
      <c r="B281" s="230"/>
      <c r="C281" s="110"/>
      <c r="D281" s="79" t="s">
        <v>681</v>
      </c>
      <c r="E281" s="98" t="s">
        <v>705</v>
      </c>
      <c r="F281" s="45" t="s">
        <v>683</v>
      </c>
      <c r="G281" s="45" t="s">
        <v>706</v>
      </c>
      <c r="H281" s="28" t="s">
        <v>81</v>
      </c>
      <c r="I281" s="27"/>
      <c r="J281" s="28" t="s">
        <v>81</v>
      </c>
      <c r="K281" s="98">
        <v>23</v>
      </c>
      <c r="L281" s="98"/>
      <c r="M281" s="240"/>
      <c r="N281" s="311"/>
    </row>
    <row r="282" ht="69" customHeight="1" spans="1:30">
      <c r="A282" s="92"/>
      <c r="B282" s="96"/>
      <c r="C282" s="71"/>
      <c r="D282" s="72" t="s">
        <v>707</v>
      </c>
      <c r="E282" s="98" t="s">
        <v>217</v>
      </c>
      <c r="F282" s="45" t="s">
        <v>708</v>
      </c>
      <c r="G282" s="45" t="s">
        <v>709</v>
      </c>
      <c r="H282" s="28" t="s">
        <v>81</v>
      </c>
      <c r="I282" s="28" t="s">
        <v>81</v>
      </c>
      <c r="J282" s="28"/>
      <c r="K282" s="98">
        <v>13</v>
      </c>
      <c r="L282" s="98"/>
      <c r="M282" s="240"/>
      <c r="N282" s="312"/>
    </row>
    <row r="283" ht="72" customHeight="1" spans="1:30">
      <c r="A283" s="84">
        <v>38</v>
      </c>
      <c r="B283" s="85" t="s">
        <v>710</v>
      </c>
      <c r="C283" s="313" t="s">
        <v>687</v>
      </c>
      <c r="D283" s="16" t="s">
        <v>711</v>
      </c>
      <c r="E283" s="17" t="s">
        <v>357</v>
      </c>
      <c r="F283" s="121" t="s">
        <v>111</v>
      </c>
      <c r="G283" s="121" t="s">
        <v>712</v>
      </c>
      <c r="H283" s="27"/>
      <c r="I283" s="28" t="s">
        <v>81</v>
      </c>
      <c r="J283" s="28" t="s">
        <v>81</v>
      </c>
      <c r="K283" s="17">
        <v>4</v>
      </c>
      <c r="L283" s="17">
        <v>30</v>
      </c>
      <c r="M283" s="229" t="str">
        <f>IF(L283&gt;=20,"Memenuhi","Tidak Memenuhi")</f>
        <v>Memenuhi</v>
      </c>
      <c r="N283" s="105"/>
    </row>
    <row r="284" ht="56.25" customHeight="1" spans="1:30">
      <c r="A284" s="92"/>
      <c r="B284" s="230"/>
      <c r="C284" s="431" t="s">
        <v>702</v>
      </c>
      <c r="D284" s="79" t="s">
        <v>329</v>
      </c>
      <c r="E284" s="98" t="s">
        <v>150</v>
      </c>
      <c r="F284" s="45" t="s">
        <v>325</v>
      </c>
      <c r="G284" s="45" t="s">
        <v>713</v>
      </c>
      <c r="H284" s="28" t="s">
        <v>81</v>
      </c>
      <c r="I284" s="27"/>
      <c r="J284" s="28" t="s">
        <v>81</v>
      </c>
      <c r="K284" s="98">
        <v>4</v>
      </c>
      <c r="L284" s="98"/>
      <c r="M284" s="240"/>
      <c r="N284" s="105"/>
    </row>
    <row r="285" ht="51" spans="1:30">
      <c r="A285" s="92"/>
      <c r="B285" s="230"/>
      <c r="C285" s="93"/>
      <c r="D285" s="150" t="s">
        <v>694</v>
      </c>
      <c r="E285" s="98" t="s">
        <v>695</v>
      </c>
      <c r="F285" s="45" t="s">
        <v>185</v>
      </c>
      <c r="G285" s="45" t="s">
        <v>714</v>
      </c>
      <c r="H285" s="28" t="s">
        <v>81</v>
      </c>
      <c r="I285" s="28" t="s">
        <v>81</v>
      </c>
      <c r="J285" s="28"/>
      <c r="K285" s="98">
        <v>2</v>
      </c>
      <c r="L285" s="98"/>
      <c r="M285" s="240"/>
      <c r="N285" s="105"/>
    </row>
    <row r="286" ht="51" spans="1:30">
      <c r="A286" s="92"/>
      <c r="B286" s="230"/>
      <c r="C286" s="110"/>
      <c r="D286" s="79" t="s">
        <v>115</v>
      </c>
      <c r="E286" s="98" t="s">
        <v>695</v>
      </c>
      <c r="F286" s="45" t="s">
        <v>703</v>
      </c>
      <c r="G286" s="45" t="s">
        <v>295</v>
      </c>
      <c r="H286" s="27"/>
      <c r="I286" s="28" t="s">
        <v>81</v>
      </c>
      <c r="J286" s="28" t="s">
        <v>81</v>
      </c>
      <c r="K286" s="98">
        <v>20</v>
      </c>
      <c r="L286" s="98"/>
      <c r="M286" s="240"/>
      <c r="N286" s="105"/>
    </row>
    <row r="287" ht="57.75" customHeight="1" spans="1:30">
      <c r="A287" s="11">
        <v>39</v>
      </c>
      <c r="B287" s="136" t="s">
        <v>715</v>
      </c>
      <c r="C287" s="314" t="s">
        <v>687</v>
      </c>
      <c r="D287" s="16" t="s">
        <v>716</v>
      </c>
      <c r="E287" s="15">
        <v>45825</v>
      </c>
      <c r="F287" s="16" t="s">
        <v>111</v>
      </c>
      <c r="G287" s="16" t="s">
        <v>717</v>
      </c>
      <c r="H287" s="28" t="s">
        <v>81</v>
      </c>
      <c r="I287" s="27"/>
      <c r="J287" s="28" t="s">
        <v>81</v>
      </c>
      <c r="K287" s="18">
        <v>4</v>
      </c>
      <c r="L287" s="113">
        <f>SUM(K287:K293)</f>
        <v>50</v>
      </c>
      <c r="M287" s="86" t="str">
        <f>IF(L287&gt;=20,"Memenuhi","Tidak Memenuhi")</f>
        <v>Memenuhi</v>
      </c>
      <c r="N287" s="315" t="s">
        <v>718</v>
      </c>
    </row>
    <row r="288" ht="56.25" customHeight="1" spans="1:30">
      <c r="A288" s="60"/>
      <c r="B288" s="316"/>
      <c r="C288" s="431" t="s">
        <v>702</v>
      </c>
      <c r="D288" s="38" t="s">
        <v>719</v>
      </c>
      <c r="E288" s="300">
        <v>45831</v>
      </c>
      <c r="F288" s="83" t="s">
        <v>79</v>
      </c>
      <c r="G288" s="83" t="s">
        <v>720</v>
      </c>
      <c r="H288" s="28" t="s">
        <v>81</v>
      </c>
      <c r="I288" s="28" t="s">
        <v>81</v>
      </c>
      <c r="J288" s="28"/>
      <c r="K288" s="82">
        <v>3</v>
      </c>
      <c r="L288" s="74"/>
      <c r="M288" s="260"/>
      <c r="N288" s="317"/>
    </row>
    <row r="289" ht="66.75" customHeight="1" spans="1:14">
      <c r="A289" s="60"/>
      <c r="B289" s="316"/>
      <c r="C289" s="93"/>
      <c r="D289" s="38" t="s">
        <v>721</v>
      </c>
      <c r="E289" s="318">
        <v>45917</v>
      </c>
      <c r="F289" s="83" t="s">
        <v>79</v>
      </c>
      <c r="G289" s="83" t="s">
        <v>722</v>
      </c>
      <c r="H289" s="27"/>
      <c r="I289" s="28" t="s">
        <v>81</v>
      </c>
      <c r="J289" s="28" t="s">
        <v>81</v>
      </c>
      <c r="K289" s="74">
        <v>6</v>
      </c>
      <c r="L289" s="74"/>
      <c r="M289" s="260"/>
      <c r="N289" s="317"/>
    </row>
    <row r="290" ht="64.5" customHeight="1" spans="1:14">
      <c r="A290" s="60"/>
      <c r="B290" s="316"/>
      <c r="C290" s="93"/>
      <c r="D290" s="38" t="s">
        <v>723</v>
      </c>
      <c r="E290" s="319">
        <v>45926</v>
      </c>
      <c r="F290" s="40" t="s">
        <v>79</v>
      </c>
      <c r="G290" s="40" t="s">
        <v>724</v>
      </c>
      <c r="H290" s="28" t="s">
        <v>81</v>
      </c>
      <c r="I290" s="27"/>
      <c r="J290" s="28" t="s">
        <v>81</v>
      </c>
      <c r="K290" s="98">
        <v>2</v>
      </c>
      <c r="L290" s="98"/>
      <c r="M290" s="240"/>
      <c r="N290" s="320"/>
    </row>
    <row r="291" ht="51" spans="1:14">
      <c r="A291" s="60"/>
      <c r="B291" s="316"/>
      <c r="C291" s="93"/>
      <c r="D291" s="79" t="s">
        <v>115</v>
      </c>
      <c r="E291" s="300">
        <v>45840</v>
      </c>
      <c r="F291" s="72" t="s">
        <v>703</v>
      </c>
      <c r="G291" s="72" t="s">
        <v>295</v>
      </c>
      <c r="H291" s="28" t="s">
        <v>81</v>
      </c>
      <c r="I291" s="28" t="s">
        <v>81</v>
      </c>
      <c r="J291" s="28"/>
      <c r="K291" s="74">
        <v>20</v>
      </c>
      <c r="L291" s="74"/>
      <c r="M291" s="260"/>
      <c r="N291" s="317"/>
    </row>
    <row r="292" ht="51" spans="1:14">
      <c r="A292" s="60"/>
      <c r="B292" s="316"/>
      <c r="C292" s="110"/>
      <c r="D292" s="79" t="s">
        <v>725</v>
      </c>
      <c r="E292" s="318">
        <v>45909</v>
      </c>
      <c r="F292" s="72" t="s">
        <v>703</v>
      </c>
      <c r="G292" s="72" t="s">
        <v>672</v>
      </c>
      <c r="H292" s="27"/>
      <c r="I292" s="28" t="s">
        <v>81</v>
      </c>
      <c r="J292" s="28" t="s">
        <v>81</v>
      </c>
      <c r="K292" s="74">
        <v>13</v>
      </c>
      <c r="L292" s="74"/>
      <c r="M292" s="260"/>
      <c r="N292" s="317"/>
    </row>
    <row r="293" ht="51" spans="1:14">
      <c r="A293" s="115"/>
      <c r="B293" s="189"/>
      <c r="C293" s="71" t="s">
        <v>434</v>
      </c>
      <c r="D293" s="72" t="s">
        <v>694</v>
      </c>
      <c r="E293" s="300">
        <v>45853</v>
      </c>
      <c r="F293" s="72" t="s">
        <v>185</v>
      </c>
      <c r="G293" s="83" t="s">
        <v>726</v>
      </c>
      <c r="H293" s="28" t="s">
        <v>81</v>
      </c>
      <c r="I293" s="27"/>
      <c r="J293" s="28" t="s">
        <v>81</v>
      </c>
      <c r="K293" s="74">
        <v>2</v>
      </c>
      <c r="L293" s="74"/>
      <c r="M293" s="260"/>
      <c r="N293" s="317"/>
    </row>
    <row r="294" ht="91.5" customHeight="1" spans="1:14">
      <c r="A294" s="118">
        <v>40</v>
      </c>
      <c r="B294" s="321" t="s">
        <v>727</v>
      </c>
      <c r="C294" s="305" t="s">
        <v>687</v>
      </c>
      <c r="D294" s="16" t="s">
        <v>728</v>
      </c>
      <c r="E294" s="18" t="s">
        <v>729</v>
      </c>
      <c r="F294" s="16" t="s">
        <v>111</v>
      </c>
      <c r="G294" s="16" t="s">
        <v>730</v>
      </c>
      <c r="H294" s="28" t="s">
        <v>81</v>
      </c>
      <c r="I294" s="28" t="s">
        <v>81</v>
      </c>
      <c r="J294" s="28"/>
      <c r="K294" s="18">
        <v>4</v>
      </c>
      <c r="L294" s="18">
        <v>24</v>
      </c>
      <c r="M294" s="86" t="str">
        <f>IF(L294&gt;=20,"Memenuhi","Tidak Memenuhi")</f>
        <v>Memenuhi</v>
      </c>
      <c r="N294" s="105"/>
    </row>
    <row r="295" ht="78.75" customHeight="1" spans="1:14">
      <c r="A295" s="130"/>
      <c r="B295" s="291"/>
      <c r="C295" s="412" t="s">
        <v>702</v>
      </c>
      <c r="D295" s="72" t="s">
        <v>731</v>
      </c>
      <c r="E295" s="74" t="s">
        <v>732</v>
      </c>
      <c r="F295" s="72" t="s">
        <v>116</v>
      </c>
      <c r="G295" s="72" t="s">
        <v>251</v>
      </c>
      <c r="H295" s="27"/>
      <c r="I295" s="28" t="s">
        <v>81</v>
      </c>
      <c r="J295" s="28" t="s">
        <v>81</v>
      </c>
      <c r="K295" s="74">
        <v>20</v>
      </c>
      <c r="L295" s="74"/>
      <c r="M295" s="260"/>
      <c r="N295" s="105"/>
    </row>
    <row r="296" ht="81" customHeight="1" spans="1:14">
      <c r="A296" s="84">
        <v>41</v>
      </c>
      <c r="B296" s="146" t="s">
        <v>733</v>
      </c>
      <c r="C296" s="313" t="s">
        <v>687</v>
      </c>
      <c r="D296" s="16" t="s">
        <v>728</v>
      </c>
      <c r="E296" s="17" t="s">
        <v>729</v>
      </c>
      <c r="F296" s="121" t="s">
        <v>111</v>
      </c>
      <c r="G296" s="121" t="s">
        <v>734</v>
      </c>
      <c r="H296" s="28" t="s">
        <v>81</v>
      </c>
      <c r="I296" s="27"/>
      <c r="J296" s="28" t="s">
        <v>81</v>
      </c>
      <c r="K296" s="17">
        <v>4</v>
      </c>
      <c r="L296" s="17">
        <v>33</v>
      </c>
      <c r="M296" s="229" t="str">
        <f>IF(L296&gt;=20,"Memenuhi","Tidak Memenuhi")</f>
        <v>Memenuhi</v>
      </c>
      <c r="N296" s="322" t="s">
        <v>735</v>
      </c>
    </row>
    <row r="297" ht="67.5" customHeight="1" spans="1:14">
      <c r="A297" s="92"/>
      <c r="B297" s="96"/>
      <c r="C297" s="449" t="s">
        <v>702</v>
      </c>
      <c r="D297" s="79" t="s">
        <v>329</v>
      </c>
      <c r="E297" s="98" t="s">
        <v>150</v>
      </c>
      <c r="F297" s="45" t="s">
        <v>325</v>
      </c>
      <c r="G297" s="45" t="s">
        <v>736</v>
      </c>
      <c r="H297" s="28" t="s">
        <v>81</v>
      </c>
      <c r="I297" s="28" t="s">
        <v>81</v>
      </c>
      <c r="J297" s="28"/>
      <c r="K297" s="98">
        <v>4</v>
      </c>
      <c r="L297" s="98"/>
      <c r="M297" s="240"/>
      <c r="N297" s="105"/>
    </row>
    <row r="298" ht="57" customHeight="1" spans="1:14">
      <c r="A298" s="92"/>
      <c r="B298" s="96"/>
      <c r="C298" s="78"/>
      <c r="D298" s="79" t="s">
        <v>694</v>
      </c>
      <c r="E298" s="98" t="s">
        <v>695</v>
      </c>
      <c r="F298" s="45" t="s">
        <v>185</v>
      </c>
      <c r="G298" s="45" t="s">
        <v>737</v>
      </c>
      <c r="H298" s="27"/>
      <c r="I298" s="28" t="s">
        <v>81</v>
      </c>
      <c r="J298" s="28" t="s">
        <v>81</v>
      </c>
      <c r="K298" s="98">
        <v>2</v>
      </c>
      <c r="L298" s="98"/>
      <c r="M298" s="240"/>
      <c r="N298" s="105"/>
    </row>
    <row r="299" ht="65.25" customHeight="1" spans="1:14">
      <c r="A299" s="92"/>
      <c r="B299" s="96"/>
      <c r="C299" s="71"/>
      <c r="D299" s="79" t="s">
        <v>681</v>
      </c>
      <c r="E299" s="98" t="s">
        <v>705</v>
      </c>
      <c r="F299" s="45" t="s">
        <v>683</v>
      </c>
      <c r="G299" s="45" t="s">
        <v>738</v>
      </c>
      <c r="H299" s="28" t="s">
        <v>81</v>
      </c>
      <c r="I299" s="27"/>
      <c r="J299" s="28" t="s">
        <v>81</v>
      </c>
      <c r="K299" s="98">
        <v>23</v>
      </c>
      <c r="L299" s="98"/>
      <c r="M299" s="240"/>
      <c r="N299" s="105"/>
    </row>
    <row r="300" ht="68.25" customHeight="1" spans="1:14">
      <c r="A300" s="323">
        <v>42</v>
      </c>
      <c r="B300" s="324" t="s">
        <v>739</v>
      </c>
      <c r="C300" s="314" t="s">
        <v>687</v>
      </c>
      <c r="D300" s="16" t="s">
        <v>711</v>
      </c>
      <c r="E300" s="17" t="s">
        <v>357</v>
      </c>
      <c r="F300" s="121" t="s">
        <v>111</v>
      </c>
      <c r="G300" s="121" t="s">
        <v>740</v>
      </c>
      <c r="H300" s="28" t="s">
        <v>81</v>
      </c>
      <c r="I300" s="28" t="s">
        <v>81</v>
      </c>
      <c r="J300" s="28"/>
      <c r="K300" s="17">
        <v>4</v>
      </c>
      <c r="L300" s="122">
        <f>SUM(K300:K304)</f>
        <v>32</v>
      </c>
      <c r="M300" s="229" t="str">
        <f>IF(L300&gt;=20,"Memenuhi","Tidak Memenuhi")</f>
        <v>Memenuhi</v>
      </c>
      <c r="N300" s="325" t="s">
        <v>741</v>
      </c>
    </row>
    <row r="301" ht="55.5" customHeight="1" spans="1:14">
      <c r="A301" s="92"/>
      <c r="B301" s="230"/>
      <c r="C301" s="431" t="s">
        <v>702</v>
      </c>
      <c r="D301" s="79" t="s">
        <v>742</v>
      </c>
      <c r="E301" s="98" t="s">
        <v>743</v>
      </c>
      <c r="F301" s="45" t="s">
        <v>744</v>
      </c>
      <c r="G301" s="45" t="s">
        <v>745</v>
      </c>
      <c r="H301" s="27"/>
      <c r="I301" s="28" t="s">
        <v>81</v>
      </c>
      <c r="J301" s="28" t="s">
        <v>81</v>
      </c>
      <c r="K301" s="98">
        <v>3</v>
      </c>
      <c r="L301" s="98"/>
      <c r="M301" s="240"/>
      <c r="N301" s="277"/>
    </row>
    <row r="302" ht="65.25" customHeight="1" spans="1:14">
      <c r="A302" s="92"/>
      <c r="B302" s="230"/>
      <c r="C302" s="93"/>
      <c r="D302" s="79" t="s">
        <v>456</v>
      </c>
      <c r="E302" s="98" t="s">
        <v>351</v>
      </c>
      <c r="F302" s="45" t="s">
        <v>79</v>
      </c>
      <c r="G302" s="45" t="s">
        <v>746</v>
      </c>
      <c r="H302" s="28" t="s">
        <v>81</v>
      </c>
      <c r="I302" s="27"/>
      <c r="J302" s="28" t="s">
        <v>81</v>
      </c>
      <c r="K302" s="98">
        <v>3</v>
      </c>
      <c r="L302" s="98"/>
      <c r="M302" s="240"/>
      <c r="N302" s="277"/>
    </row>
    <row r="303" ht="51" spans="1:14">
      <c r="A303" s="92"/>
      <c r="B303" s="230"/>
      <c r="C303" s="93"/>
      <c r="D303" s="79" t="s">
        <v>115</v>
      </c>
      <c r="E303" s="98" t="s">
        <v>732</v>
      </c>
      <c r="F303" s="45" t="s">
        <v>116</v>
      </c>
      <c r="G303" s="45" t="s">
        <v>295</v>
      </c>
      <c r="H303" s="28" t="s">
        <v>81</v>
      </c>
      <c r="I303" s="28" t="s">
        <v>81</v>
      </c>
      <c r="J303" s="28"/>
      <c r="K303" s="98">
        <v>20</v>
      </c>
      <c r="L303" s="98"/>
      <c r="M303" s="240"/>
      <c r="N303" s="277"/>
    </row>
    <row r="304" ht="51" spans="1:14">
      <c r="A304" s="92"/>
      <c r="B304" s="230"/>
      <c r="C304" s="110"/>
      <c r="D304" s="79" t="s">
        <v>694</v>
      </c>
      <c r="E304" s="98" t="s">
        <v>695</v>
      </c>
      <c r="F304" s="45" t="s">
        <v>185</v>
      </c>
      <c r="G304" s="45" t="s">
        <v>747</v>
      </c>
      <c r="H304" s="27"/>
      <c r="I304" s="28" t="s">
        <v>81</v>
      </c>
      <c r="J304" s="28" t="s">
        <v>81</v>
      </c>
      <c r="K304" s="98">
        <v>2</v>
      </c>
      <c r="L304" s="98"/>
      <c r="M304" s="240"/>
      <c r="N304" s="288"/>
    </row>
    <row r="305" ht="57.75" customHeight="1" spans="1:14">
      <c r="A305" s="84">
        <v>43</v>
      </c>
      <c r="B305" s="85" t="s">
        <v>748</v>
      </c>
      <c r="C305" s="314" t="s">
        <v>687</v>
      </c>
      <c r="D305" s="16" t="s">
        <v>742</v>
      </c>
      <c r="E305" s="17" t="s">
        <v>743</v>
      </c>
      <c r="F305" s="121" t="s">
        <v>744</v>
      </c>
      <c r="G305" s="121" t="s">
        <v>749</v>
      </c>
      <c r="H305" s="28" t="s">
        <v>81</v>
      </c>
      <c r="I305" s="27"/>
      <c r="J305" s="28" t="s">
        <v>81</v>
      </c>
      <c r="K305" s="17">
        <v>3</v>
      </c>
      <c r="L305" s="122">
        <f>SUM(K305:K316)</f>
        <v>77</v>
      </c>
      <c r="M305" s="229" t="str">
        <f>IF(L305&gt;=20,"Memenuhi","Tidak Memenuhi")</f>
        <v>Memenuhi</v>
      </c>
      <c r="N305" s="322" t="s">
        <v>750</v>
      </c>
    </row>
    <row r="306" ht="68" spans="1:14">
      <c r="A306" s="92"/>
      <c r="B306" s="230"/>
      <c r="C306" s="431" t="s">
        <v>702</v>
      </c>
      <c r="D306" s="79" t="s">
        <v>456</v>
      </c>
      <c r="E306" s="98" t="s">
        <v>351</v>
      </c>
      <c r="F306" s="45" t="s">
        <v>79</v>
      </c>
      <c r="G306" s="45" t="s">
        <v>751</v>
      </c>
      <c r="H306" s="28" t="s">
        <v>81</v>
      </c>
      <c r="I306" s="28" t="s">
        <v>81</v>
      </c>
      <c r="J306" s="28"/>
      <c r="K306" s="98">
        <v>3</v>
      </c>
      <c r="L306" s="98"/>
      <c r="M306" s="240"/>
      <c r="N306" s="105"/>
    </row>
    <row r="307" ht="68" spans="1:14">
      <c r="A307" s="92"/>
      <c r="B307" s="230"/>
      <c r="C307" s="93"/>
      <c r="D307" s="79" t="s">
        <v>752</v>
      </c>
      <c r="E307" s="98" t="s">
        <v>753</v>
      </c>
      <c r="F307" s="45" t="s">
        <v>116</v>
      </c>
      <c r="G307" s="45" t="s">
        <v>754</v>
      </c>
      <c r="H307" s="27"/>
      <c r="I307" s="28" t="s">
        <v>81</v>
      </c>
      <c r="J307" s="28" t="s">
        <v>81</v>
      </c>
      <c r="K307" s="98">
        <v>20</v>
      </c>
      <c r="L307" s="98"/>
      <c r="M307" s="240"/>
      <c r="N307" s="105"/>
    </row>
    <row r="308" ht="51" spans="1:14">
      <c r="A308" s="92"/>
      <c r="B308" s="230"/>
      <c r="C308" s="93"/>
      <c r="D308" s="79" t="s">
        <v>329</v>
      </c>
      <c r="E308" s="98" t="s">
        <v>150</v>
      </c>
      <c r="F308" s="45" t="s">
        <v>358</v>
      </c>
      <c r="G308" s="326" t="s">
        <v>755</v>
      </c>
      <c r="H308" s="28" t="s">
        <v>81</v>
      </c>
      <c r="I308" s="27"/>
      <c r="J308" s="28" t="s">
        <v>81</v>
      </c>
      <c r="K308" s="98">
        <v>4</v>
      </c>
      <c r="L308" s="98"/>
      <c r="M308" s="240"/>
      <c r="N308" s="105"/>
    </row>
    <row r="309" ht="84" spans="1:14">
      <c r="A309" s="92"/>
      <c r="B309" s="230"/>
      <c r="C309" s="93"/>
      <c r="D309" s="79" t="s">
        <v>756</v>
      </c>
      <c r="E309" s="98" t="s">
        <v>161</v>
      </c>
      <c r="F309" s="45" t="s">
        <v>79</v>
      </c>
      <c r="G309" s="45" t="s">
        <v>757</v>
      </c>
      <c r="H309" s="28" t="s">
        <v>81</v>
      </c>
      <c r="I309" s="28" t="s">
        <v>81</v>
      </c>
      <c r="J309" s="28"/>
      <c r="K309" s="98">
        <v>6</v>
      </c>
      <c r="L309" s="98"/>
      <c r="M309" s="240"/>
      <c r="N309" s="105"/>
    </row>
    <row r="310" ht="51" spans="1:14">
      <c r="A310" s="92"/>
      <c r="B310" s="230"/>
      <c r="C310" s="93"/>
      <c r="D310" s="79" t="s">
        <v>681</v>
      </c>
      <c r="E310" s="98" t="s">
        <v>758</v>
      </c>
      <c r="F310" s="45" t="s">
        <v>759</v>
      </c>
      <c r="G310" s="45" t="s">
        <v>684</v>
      </c>
      <c r="H310" s="27"/>
      <c r="I310" s="28" t="s">
        <v>81</v>
      </c>
      <c r="J310" s="28" t="s">
        <v>81</v>
      </c>
      <c r="K310" s="98">
        <v>23</v>
      </c>
      <c r="L310" s="98"/>
      <c r="M310" s="240"/>
      <c r="N310" s="105"/>
    </row>
    <row r="311" ht="68" spans="1:14">
      <c r="A311" s="92"/>
      <c r="B311" s="230"/>
      <c r="C311" s="93"/>
      <c r="D311" s="79" t="s">
        <v>760</v>
      </c>
      <c r="E311" s="319">
        <v>45917</v>
      </c>
      <c r="F311" s="45" t="s">
        <v>761</v>
      </c>
      <c r="G311" s="45" t="s">
        <v>762</v>
      </c>
      <c r="H311" s="28" t="s">
        <v>81</v>
      </c>
      <c r="I311" s="27"/>
      <c r="J311" s="28" t="s">
        <v>81</v>
      </c>
      <c r="K311" s="98">
        <v>6</v>
      </c>
      <c r="L311" s="98"/>
      <c r="M311" s="240"/>
      <c r="N311" s="105"/>
    </row>
    <row r="312" ht="68" spans="1:14">
      <c r="A312" s="92"/>
      <c r="B312" s="230"/>
      <c r="C312" s="93"/>
      <c r="D312" s="80" t="s">
        <v>338</v>
      </c>
      <c r="E312" s="319">
        <v>45926</v>
      </c>
      <c r="F312" s="45" t="s">
        <v>761</v>
      </c>
      <c r="G312" s="45" t="s">
        <v>763</v>
      </c>
      <c r="H312" s="28" t="s">
        <v>81</v>
      </c>
      <c r="I312" s="28" t="s">
        <v>81</v>
      </c>
      <c r="J312" s="28"/>
      <c r="K312" s="98">
        <v>2</v>
      </c>
      <c r="L312" s="98"/>
      <c r="M312" s="240"/>
      <c r="N312" s="105"/>
    </row>
    <row r="313" ht="68" spans="1:14">
      <c r="A313" s="92"/>
      <c r="B313" s="230"/>
      <c r="C313" s="93"/>
      <c r="D313" s="150" t="s">
        <v>121</v>
      </c>
      <c r="E313" s="295" t="s">
        <v>764</v>
      </c>
      <c r="F313" s="72" t="s">
        <v>765</v>
      </c>
      <c r="G313" s="45" t="s">
        <v>766</v>
      </c>
      <c r="H313" s="27"/>
      <c r="I313" s="28" t="s">
        <v>81</v>
      </c>
      <c r="J313" s="28" t="s">
        <v>81</v>
      </c>
      <c r="K313" s="98">
        <v>4</v>
      </c>
      <c r="L313" s="98"/>
      <c r="M313" s="240"/>
      <c r="N313" s="105"/>
    </row>
    <row r="314" ht="51" spans="1:14">
      <c r="A314" s="92"/>
      <c r="B314" s="230"/>
      <c r="C314" s="108" t="s">
        <v>434</v>
      </c>
      <c r="D314" s="71" t="s">
        <v>767</v>
      </c>
      <c r="E314" s="98" t="s">
        <v>695</v>
      </c>
      <c r="F314" s="45" t="s">
        <v>185</v>
      </c>
      <c r="G314" s="45" t="s">
        <v>768</v>
      </c>
      <c r="H314" s="28" t="s">
        <v>81</v>
      </c>
      <c r="I314" s="27"/>
      <c r="J314" s="28" t="s">
        <v>81</v>
      </c>
      <c r="K314" s="98">
        <v>2</v>
      </c>
      <c r="L314" s="98"/>
      <c r="M314" s="240"/>
      <c r="N314" s="105"/>
    </row>
    <row r="315" ht="51" spans="1:14">
      <c r="A315" s="92"/>
      <c r="B315" s="230"/>
      <c r="C315" s="93"/>
      <c r="D315" s="79" t="s">
        <v>691</v>
      </c>
      <c r="E315" s="98" t="s">
        <v>692</v>
      </c>
      <c r="F315" s="45" t="s">
        <v>185</v>
      </c>
      <c r="G315" s="45" t="s">
        <v>769</v>
      </c>
      <c r="H315" s="28" t="s">
        <v>81</v>
      </c>
      <c r="I315" s="28" t="s">
        <v>81</v>
      </c>
      <c r="J315" s="28"/>
      <c r="K315" s="98">
        <v>2</v>
      </c>
      <c r="L315" s="98"/>
      <c r="M315" s="240"/>
      <c r="N315" s="105"/>
    </row>
    <row r="316" ht="51" spans="1:14">
      <c r="A316" s="92"/>
      <c r="B316" s="230"/>
      <c r="C316" s="110"/>
      <c r="D316" s="79" t="s">
        <v>770</v>
      </c>
      <c r="E316" s="98" t="s">
        <v>771</v>
      </c>
      <c r="F316" s="45" t="s">
        <v>772</v>
      </c>
      <c r="G316" s="45" t="s">
        <v>773</v>
      </c>
      <c r="H316" s="27"/>
      <c r="I316" s="28" t="s">
        <v>81</v>
      </c>
      <c r="J316" s="28" t="s">
        <v>81</v>
      </c>
      <c r="K316" s="98">
        <v>2</v>
      </c>
      <c r="L316" s="98"/>
      <c r="M316" s="240"/>
      <c r="N316" s="105"/>
    </row>
    <row r="317" ht="72" customHeight="1" spans="1:14">
      <c r="A317" s="323">
        <v>44</v>
      </c>
      <c r="B317" s="327" t="s">
        <v>774</v>
      </c>
      <c r="C317" s="314" t="s">
        <v>687</v>
      </c>
      <c r="D317" s="328" t="s">
        <v>728</v>
      </c>
      <c r="E317" s="329" t="s">
        <v>729</v>
      </c>
      <c r="F317" s="330" t="s">
        <v>111</v>
      </c>
      <c r="G317" s="330" t="s">
        <v>775</v>
      </c>
      <c r="H317" s="28" t="s">
        <v>81</v>
      </c>
      <c r="I317" s="27"/>
      <c r="J317" s="28" t="s">
        <v>81</v>
      </c>
      <c r="K317" s="329">
        <v>4</v>
      </c>
      <c r="L317" s="331">
        <v>31</v>
      </c>
      <c r="M317" s="332" t="s">
        <v>776</v>
      </c>
      <c r="N317" s="333" t="s">
        <v>777</v>
      </c>
    </row>
    <row r="318" ht="57" customHeight="1" spans="1:14">
      <c r="A318" s="92"/>
      <c r="B318" s="334"/>
      <c r="C318" s="431" t="s">
        <v>702</v>
      </c>
      <c r="D318" s="79" t="s">
        <v>778</v>
      </c>
      <c r="E318" s="98" t="s">
        <v>351</v>
      </c>
      <c r="F318" s="45" t="s">
        <v>79</v>
      </c>
      <c r="G318" s="45" t="s">
        <v>779</v>
      </c>
      <c r="H318" s="28" t="s">
        <v>81</v>
      </c>
      <c r="I318" s="28" t="s">
        <v>81</v>
      </c>
      <c r="J318" s="28"/>
      <c r="K318" s="98">
        <v>3</v>
      </c>
      <c r="L318" s="98"/>
      <c r="M318" s="240"/>
      <c r="N318" s="105"/>
    </row>
    <row r="319" ht="51" spans="1:14">
      <c r="A319" s="92"/>
      <c r="B319" s="334"/>
      <c r="C319" s="93"/>
      <c r="D319" s="79" t="s">
        <v>780</v>
      </c>
      <c r="E319" s="98" t="s">
        <v>732</v>
      </c>
      <c r="F319" s="45" t="s">
        <v>116</v>
      </c>
      <c r="G319" s="45" t="s">
        <v>295</v>
      </c>
      <c r="H319" s="27"/>
      <c r="I319" s="28" t="s">
        <v>81</v>
      </c>
      <c r="J319" s="28" t="s">
        <v>81</v>
      </c>
      <c r="K319" s="98">
        <v>20</v>
      </c>
      <c r="L319" s="98"/>
      <c r="M319" s="240"/>
      <c r="N319" s="105"/>
    </row>
    <row r="320" ht="68" spans="1:14">
      <c r="A320" s="92"/>
      <c r="B320" s="334"/>
      <c r="C320" s="110"/>
      <c r="D320" s="79" t="s">
        <v>377</v>
      </c>
      <c r="E320" s="98" t="s">
        <v>150</v>
      </c>
      <c r="F320" s="45" t="s">
        <v>79</v>
      </c>
      <c r="G320" s="45" t="s">
        <v>781</v>
      </c>
      <c r="H320" s="28" t="s">
        <v>81</v>
      </c>
      <c r="I320" s="27"/>
      <c r="J320" s="28" t="s">
        <v>81</v>
      </c>
      <c r="K320" s="98">
        <v>2</v>
      </c>
      <c r="L320" s="98"/>
      <c r="M320" s="240"/>
      <c r="N320" s="105"/>
    </row>
    <row r="321" ht="51" spans="1:30">
      <c r="A321" s="92"/>
      <c r="B321" s="93"/>
      <c r="C321" s="71" t="s">
        <v>434</v>
      </c>
      <c r="D321" s="72" t="s">
        <v>694</v>
      </c>
      <c r="E321" s="98" t="s">
        <v>782</v>
      </c>
      <c r="F321" s="45" t="s">
        <v>79</v>
      </c>
      <c r="G321" s="45" t="s">
        <v>783</v>
      </c>
      <c r="H321" s="28" t="s">
        <v>81</v>
      </c>
      <c r="I321" s="28" t="s">
        <v>81</v>
      </c>
      <c r="J321" s="28"/>
      <c r="K321" s="98">
        <v>2</v>
      </c>
      <c r="L321" s="98"/>
      <c r="M321" s="240"/>
      <c r="N321" s="105"/>
    </row>
    <row r="322" ht="72" customHeight="1" spans="1:30">
      <c r="A322" s="84">
        <v>45</v>
      </c>
      <c r="B322" s="85" t="s">
        <v>784</v>
      </c>
      <c r="C322" s="313" t="s">
        <v>687</v>
      </c>
      <c r="D322" s="16" t="s">
        <v>711</v>
      </c>
      <c r="E322" s="18" t="s">
        <v>357</v>
      </c>
      <c r="F322" s="16" t="s">
        <v>111</v>
      </c>
      <c r="G322" s="16" t="s">
        <v>785</v>
      </c>
      <c r="H322" s="27"/>
      <c r="I322" s="28" t="s">
        <v>81</v>
      </c>
      <c r="J322" s="28" t="s">
        <v>81</v>
      </c>
      <c r="K322" s="18">
        <v>4</v>
      </c>
      <c r="L322" s="113">
        <f>SUM(K322:K329)</f>
        <v>62</v>
      </c>
      <c r="M322" s="86" t="str">
        <f>IF(L322&gt;=20,"Memenuhi","Tidak Memenuhi")</f>
        <v>Memenuhi</v>
      </c>
      <c r="N322" s="105"/>
    </row>
    <row r="323" ht="58.5" customHeight="1" spans="1:30">
      <c r="A323" s="92"/>
      <c r="B323" s="230"/>
      <c r="C323" s="431" t="s">
        <v>702</v>
      </c>
      <c r="D323" s="79" t="s">
        <v>786</v>
      </c>
      <c r="E323" s="74" t="s">
        <v>351</v>
      </c>
      <c r="F323" s="72" t="s">
        <v>79</v>
      </c>
      <c r="G323" s="72" t="s">
        <v>787</v>
      </c>
      <c r="H323" s="28" t="s">
        <v>81</v>
      </c>
      <c r="I323" s="27"/>
      <c r="J323" s="28" t="s">
        <v>81</v>
      </c>
      <c r="K323" s="74">
        <v>3</v>
      </c>
      <c r="L323" s="74"/>
      <c r="M323" s="260"/>
      <c r="N323" s="105"/>
    </row>
    <row r="324" ht="68" spans="1:30">
      <c r="A324" s="92"/>
      <c r="B324" s="230"/>
      <c r="C324" s="93"/>
      <c r="D324" s="79" t="s">
        <v>731</v>
      </c>
      <c r="E324" s="74" t="s">
        <v>753</v>
      </c>
      <c r="F324" s="72" t="s">
        <v>116</v>
      </c>
      <c r="G324" s="72" t="s">
        <v>754</v>
      </c>
      <c r="H324" s="28" t="s">
        <v>81</v>
      </c>
      <c r="I324" s="28" t="s">
        <v>81</v>
      </c>
      <c r="J324" s="28"/>
      <c r="K324" s="74">
        <v>20</v>
      </c>
      <c r="L324" s="74"/>
      <c r="M324" s="260"/>
      <c r="N324" s="105"/>
    </row>
    <row r="325" ht="68" spans="1:30">
      <c r="A325" s="92"/>
      <c r="B325" s="230"/>
      <c r="C325" s="93"/>
      <c r="D325" s="79" t="s">
        <v>377</v>
      </c>
      <c r="E325" s="74" t="s">
        <v>150</v>
      </c>
      <c r="F325" s="72" t="s">
        <v>79</v>
      </c>
      <c r="G325" s="72" t="s">
        <v>788</v>
      </c>
      <c r="H325" s="27"/>
      <c r="I325" s="28" t="s">
        <v>81</v>
      </c>
      <c r="J325" s="28" t="s">
        <v>81</v>
      </c>
      <c r="K325" s="74">
        <v>2</v>
      </c>
      <c r="L325" s="74"/>
      <c r="M325" s="260"/>
      <c r="N325" s="105"/>
    </row>
    <row r="326" ht="51" spans="1:30">
      <c r="A326" s="92"/>
      <c r="B326" s="230"/>
      <c r="C326" s="93"/>
      <c r="D326" s="79" t="s">
        <v>681</v>
      </c>
      <c r="E326" s="74" t="s">
        <v>758</v>
      </c>
      <c r="F326" s="72" t="s">
        <v>759</v>
      </c>
      <c r="G326" s="72" t="s">
        <v>684</v>
      </c>
      <c r="H326" s="28" t="s">
        <v>81</v>
      </c>
      <c r="I326" s="27"/>
      <c r="J326" s="28" t="s">
        <v>81</v>
      </c>
      <c r="K326" s="74">
        <v>23</v>
      </c>
      <c r="L326" s="74"/>
      <c r="M326" s="260"/>
      <c r="N326" s="105"/>
    </row>
    <row r="327" ht="68" spans="1:30">
      <c r="A327" s="92"/>
      <c r="B327" s="230"/>
      <c r="C327" s="93"/>
      <c r="D327" s="79" t="s">
        <v>789</v>
      </c>
      <c r="E327" s="318">
        <v>45917</v>
      </c>
      <c r="F327" s="72" t="s">
        <v>790</v>
      </c>
      <c r="G327" s="72" t="s">
        <v>791</v>
      </c>
      <c r="H327" s="28" t="s">
        <v>81</v>
      </c>
      <c r="I327" s="28" t="s">
        <v>81</v>
      </c>
      <c r="J327" s="28"/>
      <c r="K327" s="74">
        <v>6</v>
      </c>
      <c r="L327" s="74"/>
      <c r="M327" s="260"/>
      <c r="N327" s="105"/>
    </row>
    <row r="328" ht="51" spans="1:30">
      <c r="A328" s="92"/>
      <c r="B328" s="230"/>
      <c r="C328" s="108" t="s">
        <v>434</v>
      </c>
      <c r="D328" s="79" t="s">
        <v>694</v>
      </c>
      <c r="E328" s="74" t="s">
        <v>695</v>
      </c>
      <c r="F328" s="72" t="s">
        <v>185</v>
      </c>
      <c r="G328" s="72" t="s">
        <v>792</v>
      </c>
      <c r="H328" s="27"/>
      <c r="I328" s="28" t="s">
        <v>81</v>
      </c>
      <c r="J328" s="28" t="s">
        <v>81</v>
      </c>
      <c r="K328" s="74">
        <v>2</v>
      </c>
      <c r="L328" s="74"/>
      <c r="M328" s="260"/>
      <c r="N328" s="105"/>
    </row>
    <row r="329" ht="51" spans="1:30">
      <c r="A329" s="92"/>
      <c r="B329" s="230"/>
      <c r="C329" s="110"/>
      <c r="D329" s="79" t="s">
        <v>793</v>
      </c>
      <c r="E329" s="74" t="s">
        <v>732</v>
      </c>
      <c r="F329" s="72" t="s">
        <v>185</v>
      </c>
      <c r="G329" s="72" t="s">
        <v>794</v>
      </c>
      <c r="H329" s="28" t="s">
        <v>81</v>
      </c>
      <c r="I329" s="27"/>
      <c r="J329" s="28" t="s">
        <v>81</v>
      </c>
      <c r="K329" s="74">
        <v>2</v>
      </c>
      <c r="L329" s="74"/>
      <c r="M329" s="260"/>
      <c r="N329" s="105"/>
    </row>
    <row r="330" ht="86.25" customHeight="1" spans="1:30">
      <c r="A330" s="84">
        <v>46</v>
      </c>
      <c r="B330" s="335" t="s">
        <v>795</v>
      </c>
      <c r="C330" s="314" t="s">
        <v>687</v>
      </c>
      <c r="D330" s="336" t="s">
        <v>796</v>
      </c>
      <c r="E330" s="17" t="s">
        <v>357</v>
      </c>
      <c r="F330" s="121" t="s">
        <v>111</v>
      </c>
      <c r="G330" s="121" t="s">
        <v>797</v>
      </c>
      <c r="H330" s="28" t="s">
        <v>81</v>
      </c>
      <c r="I330" s="28" t="s">
        <v>81</v>
      </c>
      <c r="J330" s="28"/>
      <c r="K330" s="17">
        <v>4</v>
      </c>
      <c r="L330" s="122">
        <f>SUM(K330:K333)</f>
        <v>29</v>
      </c>
      <c r="M330" s="229" t="str">
        <f>IF(L330&gt;=20,"Memenuhi","Tidak Memenuhi")</f>
        <v>Memenuhi</v>
      </c>
      <c r="N330" s="67" t="s">
        <v>798</v>
      </c>
    </row>
    <row r="331" ht="84" spans="1:30">
      <c r="A331" s="92"/>
      <c r="B331" s="230"/>
      <c r="C331" s="431" t="s">
        <v>702</v>
      </c>
      <c r="D331" s="79" t="s">
        <v>799</v>
      </c>
      <c r="E331" s="98" t="s">
        <v>351</v>
      </c>
      <c r="F331" s="45" t="s">
        <v>79</v>
      </c>
      <c r="G331" s="45" t="s">
        <v>800</v>
      </c>
      <c r="H331" s="27"/>
      <c r="I331" s="28" t="s">
        <v>81</v>
      </c>
      <c r="J331" s="28" t="s">
        <v>81</v>
      </c>
      <c r="K331" s="98">
        <v>3</v>
      </c>
      <c r="L331" s="98"/>
      <c r="M331" s="240"/>
      <c r="N331" s="67" t="s">
        <v>801</v>
      </c>
    </row>
    <row r="332" ht="55.5" customHeight="1" spans="1:30">
      <c r="A332" s="92"/>
      <c r="B332" s="230"/>
      <c r="C332" s="93"/>
      <c r="D332" s="79" t="s">
        <v>780</v>
      </c>
      <c r="E332" s="98" t="s">
        <v>753</v>
      </c>
      <c r="F332" s="45" t="s">
        <v>116</v>
      </c>
      <c r="G332" s="45" t="s">
        <v>754</v>
      </c>
      <c r="H332" s="28" t="s">
        <v>81</v>
      </c>
      <c r="I332" s="27"/>
      <c r="J332" s="28" t="s">
        <v>81</v>
      </c>
      <c r="K332" s="98">
        <v>20</v>
      </c>
      <c r="L332" s="98"/>
      <c r="M332" s="240"/>
      <c r="N332" s="67" t="s">
        <v>802</v>
      </c>
    </row>
    <row r="333" ht="68" spans="1:30">
      <c r="A333" s="92"/>
      <c r="B333" s="230"/>
      <c r="C333" s="110"/>
      <c r="D333" s="79" t="s">
        <v>803</v>
      </c>
      <c r="E333" s="98" t="s">
        <v>150</v>
      </c>
      <c r="F333" s="45" t="s">
        <v>79</v>
      </c>
      <c r="G333" s="45" t="s">
        <v>804</v>
      </c>
      <c r="H333" s="28" t="s">
        <v>81</v>
      </c>
      <c r="I333" s="28" t="s">
        <v>81</v>
      </c>
      <c r="J333" s="28"/>
      <c r="K333" s="98">
        <v>2</v>
      </c>
      <c r="L333" s="98"/>
      <c r="M333" s="240"/>
      <c r="N333" s="67" t="s">
        <v>805</v>
      </c>
    </row>
    <row r="334" ht="76.5" customHeight="1" spans="1:30">
      <c r="A334" s="302">
        <v>47</v>
      </c>
      <c r="B334" s="337" t="s">
        <v>806</v>
      </c>
      <c r="C334" s="338" t="s">
        <v>687</v>
      </c>
      <c r="D334" s="305" t="s">
        <v>728</v>
      </c>
      <c r="E334" s="306" t="s">
        <v>357</v>
      </c>
      <c r="F334" s="307" t="s">
        <v>111</v>
      </c>
      <c r="G334" s="307" t="s">
        <v>807</v>
      </c>
      <c r="H334" s="27"/>
      <c r="I334" s="28" t="s">
        <v>81</v>
      </c>
      <c r="J334" s="28" t="s">
        <v>81</v>
      </c>
      <c r="K334" s="306">
        <v>4</v>
      </c>
      <c r="L334" s="306">
        <f>K334+K335</f>
        <v>24</v>
      </c>
      <c r="M334" s="339" t="str">
        <f>IF(L334&gt;=20,"Memenuhi","Tidak Memenuhi")</f>
        <v>Memenuhi</v>
      </c>
      <c r="N334" s="340"/>
      <c r="O334" s="310"/>
      <c r="P334" s="310"/>
      <c r="Q334" s="310"/>
      <c r="R334" s="310"/>
      <c r="S334" s="310"/>
      <c r="T334" s="310"/>
      <c r="U334" s="310"/>
      <c r="V334" s="310"/>
      <c r="W334" s="310"/>
      <c r="X334" s="310"/>
      <c r="Y334" s="310"/>
      <c r="Z334" s="310"/>
      <c r="AA334" s="310"/>
      <c r="AB334" s="310"/>
      <c r="AC334" s="310"/>
      <c r="AD334" s="310"/>
    </row>
    <row r="335" ht="94.5" customHeight="1" spans="1:30">
      <c r="A335" s="92"/>
      <c r="B335" s="341"/>
      <c r="C335" s="421" t="s">
        <v>702</v>
      </c>
      <c r="D335" s="72" t="s">
        <v>115</v>
      </c>
      <c r="E335" s="98" t="s">
        <v>808</v>
      </c>
      <c r="F335" s="45" t="s">
        <v>703</v>
      </c>
      <c r="G335" s="45" t="s">
        <v>251</v>
      </c>
      <c r="H335" s="28" t="s">
        <v>81</v>
      </c>
      <c r="I335" s="27"/>
      <c r="J335" s="28" t="s">
        <v>81</v>
      </c>
      <c r="K335" s="98">
        <v>20</v>
      </c>
      <c r="L335" s="98"/>
      <c r="M335" s="98"/>
      <c r="N335" s="91"/>
    </row>
    <row r="336" ht="72" customHeight="1" spans="1:30">
      <c r="A336" s="302">
        <v>48</v>
      </c>
      <c r="B336" s="303" t="s">
        <v>809</v>
      </c>
      <c r="C336" s="313" t="s">
        <v>687</v>
      </c>
      <c r="D336" s="305" t="s">
        <v>711</v>
      </c>
      <c r="E336" s="306" t="s">
        <v>357</v>
      </c>
      <c r="F336" s="307" t="s">
        <v>111</v>
      </c>
      <c r="G336" s="307" t="s">
        <v>810</v>
      </c>
      <c r="H336" s="28" t="s">
        <v>81</v>
      </c>
      <c r="I336" s="28" t="s">
        <v>81</v>
      </c>
      <c r="J336" s="28"/>
      <c r="K336" s="306">
        <v>4</v>
      </c>
      <c r="L336" s="306">
        <f>SUM(K336:K339)</f>
        <v>41</v>
      </c>
      <c r="M336" s="339" t="str">
        <f>IF(L336&gt;=20,"Memenuhi","Tidak Memenuhi")</f>
        <v>Memenuhi</v>
      </c>
      <c r="N336" s="342" t="s">
        <v>811</v>
      </c>
    </row>
    <row r="337" ht="57" customHeight="1" spans="1:14">
      <c r="A337" s="92"/>
      <c r="B337" s="334"/>
      <c r="C337" s="431" t="s">
        <v>702</v>
      </c>
      <c r="D337" s="79" t="s">
        <v>115</v>
      </c>
      <c r="E337" s="98" t="s">
        <v>294</v>
      </c>
      <c r="F337" s="45" t="s">
        <v>703</v>
      </c>
      <c r="G337" s="45" t="s">
        <v>120</v>
      </c>
      <c r="H337" s="27"/>
      <c r="I337" s="28" t="s">
        <v>81</v>
      </c>
      <c r="J337" s="28" t="s">
        <v>81</v>
      </c>
      <c r="K337" s="98">
        <v>20</v>
      </c>
      <c r="L337" s="98"/>
      <c r="M337" s="240"/>
      <c r="N337" s="105"/>
    </row>
    <row r="338" ht="51" spans="1:14">
      <c r="A338" s="92"/>
      <c r="B338" s="334"/>
      <c r="C338" s="93"/>
      <c r="D338" s="79" t="s">
        <v>329</v>
      </c>
      <c r="E338" s="98" t="s">
        <v>150</v>
      </c>
      <c r="F338" s="45" t="s">
        <v>325</v>
      </c>
      <c r="G338" s="45" t="s">
        <v>812</v>
      </c>
      <c r="H338" s="28" t="s">
        <v>81</v>
      </c>
      <c r="I338" s="27"/>
      <c r="J338" s="28" t="s">
        <v>81</v>
      </c>
      <c r="K338" s="98">
        <v>4</v>
      </c>
      <c r="L338" s="98"/>
      <c r="M338" s="240"/>
      <c r="N338" s="105"/>
    </row>
    <row r="339" ht="34" spans="1:14">
      <c r="A339" s="92"/>
      <c r="B339" s="334"/>
      <c r="C339" s="93"/>
      <c r="D339" s="79" t="s">
        <v>119</v>
      </c>
      <c r="E339" s="319">
        <v>45908</v>
      </c>
      <c r="F339" s="45" t="s">
        <v>703</v>
      </c>
      <c r="G339" s="45" t="s">
        <v>120</v>
      </c>
      <c r="H339" s="28" t="s">
        <v>81</v>
      </c>
      <c r="I339" s="28" t="s">
        <v>81</v>
      </c>
      <c r="J339" s="28"/>
      <c r="K339" s="98">
        <v>13</v>
      </c>
      <c r="L339" s="98"/>
      <c r="M339" s="240"/>
      <c r="N339" s="105"/>
    </row>
    <row r="340" ht="51" spans="1:14">
      <c r="A340" s="99"/>
      <c r="B340" s="343"/>
      <c r="C340" s="72" t="s">
        <v>434</v>
      </c>
      <c r="D340" s="79" t="s">
        <v>694</v>
      </c>
      <c r="E340" s="98" t="s">
        <v>695</v>
      </c>
      <c r="F340" s="45" t="s">
        <v>185</v>
      </c>
      <c r="G340" s="45" t="s">
        <v>813</v>
      </c>
      <c r="H340" s="27"/>
      <c r="I340" s="28" t="s">
        <v>81</v>
      </c>
      <c r="J340" s="28" t="s">
        <v>81</v>
      </c>
      <c r="K340" s="98">
        <v>2</v>
      </c>
      <c r="L340" s="98"/>
      <c r="M340" s="240"/>
      <c r="N340" s="105"/>
    </row>
    <row r="341" ht="48.75" customHeight="1" spans="1:14">
      <c r="A341" s="145">
        <v>49</v>
      </c>
      <c r="B341" s="149" t="s">
        <v>814</v>
      </c>
      <c r="C341" s="314" t="s">
        <v>687</v>
      </c>
      <c r="D341" s="128" t="s">
        <v>688</v>
      </c>
      <c r="E341" s="128" t="s">
        <v>357</v>
      </c>
      <c r="F341" s="128" t="s">
        <v>111</v>
      </c>
      <c r="G341" s="128" t="s">
        <v>785</v>
      </c>
      <c r="H341" s="28" t="s">
        <v>81</v>
      </c>
      <c r="I341" s="27"/>
      <c r="J341" s="28" t="s">
        <v>81</v>
      </c>
      <c r="K341" s="18">
        <v>4</v>
      </c>
      <c r="L341" s="113">
        <f>SUM($K$341:$K$346)</f>
        <v>35</v>
      </c>
      <c r="M341" s="344" t="str">
        <f>IF(L341&gt;=20,"Memenuhi","Tidak Memenuhi")</f>
        <v>Memenuhi</v>
      </c>
      <c r="N341" s="105"/>
    </row>
    <row r="342" ht="57.75" customHeight="1" spans="1:14">
      <c r="A342" s="92"/>
      <c r="B342" s="96"/>
      <c r="C342" s="449" t="s">
        <v>702</v>
      </c>
      <c r="D342" s="109" t="s">
        <v>372</v>
      </c>
      <c r="E342" s="116" t="s">
        <v>351</v>
      </c>
      <c r="F342" s="116" t="s">
        <v>79</v>
      </c>
      <c r="G342" s="116" t="s">
        <v>815</v>
      </c>
      <c r="H342" s="28" t="s">
        <v>81</v>
      </c>
      <c r="I342" s="28" t="s">
        <v>81</v>
      </c>
      <c r="J342" s="28"/>
      <c r="K342" s="74">
        <v>3</v>
      </c>
      <c r="L342" s="144"/>
      <c r="M342" s="116"/>
      <c r="N342" s="105"/>
    </row>
    <row r="343" ht="51" spans="1:14">
      <c r="A343" s="92"/>
      <c r="B343" s="96"/>
      <c r="C343" s="78"/>
      <c r="D343" s="109" t="s">
        <v>115</v>
      </c>
      <c r="E343" s="116" t="s">
        <v>294</v>
      </c>
      <c r="F343" s="116" t="s">
        <v>703</v>
      </c>
      <c r="G343" s="116" t="s">
        <v>295</v>
      </c>
      <c r="H343" s="27"/>
      <c r="I343" s="28" t="s">
        <v>81</v>
      </c>
      <c r="J343" s="28" t="s">
        <v>81</v>
      </c>
      <c r="K343" s="74">
        <v>20</v>
      </c>
      <c r="L343" s="144"/>
      <c r="M343" s="116"/>
      <c r="N343" s="105"/>
    </row>
    <row r="344" ht="74.25" customHeight="1" spans="1:14">
      <c r="A344" s="92"/>
      <c r="B344" s="96"/>
      <c r="C344" s="71"/>
      <c r="D344" s="109" t="s">
        <v>377</v>
      </c>
      <c r="E344" s="116" t="s">
        <v>150</v>
      </c>
      <c r="F344" s="116" t="s">
        <v>79</v>
      </c>
      <c r="G344" s="116" t="s">
        <v>816</v>
      </c>
      <c r="H344" s="28" t="s">
        <v>81</v>
      </c>
      <c r="I344" s="27"/>
      <c r="J344" s="28" t="s">
        <v>81</v>
      </c>
      <c r="K344" s="74">
        <v>2</v>
      </c>
      <c r="L344" s="144"/>
      <c r="M344" s="116"/>
      <c r="N344" s="105"/>
    </row>
    <row r="345" ht="51" spans="1:14">
      <c r="A345" s="92"/>
      <c r="B345" s="96"/>
      <c r="C345" s="78" t="s">
        <v>434</v>
      </c>
      <c r="D345" s="109" t="s">
        <v>694</v>
      </c>
      <c r="E345" s="116" t="s">
        <v>695</v>
      </c>
      <c r="F345" s="116" t="s">
        <v>185</v>
      </c>
      <c r="G345" s="116" t="s">
        <v>817</v>
      </c>
      <c r="H345" s="28" t="s">
        <v>81</v>
      </c>
      <c r="I345" s="28" t="s">
        <v>81</v>
      </c>
      <c r="J345" s="28"/>
      <c r="K345" s="74">
        <v>2</v>
      </c>
      <c r="L345" s="144"/>
      <c r="M345" s="116"/>
      <c r="N345" s="105"/>
    </row>
    <row r="346" ht="106.5" customHeight="1" spans="1:14">
      <c r="A346" s="99"/>
      <c r="B346" s="100"/>
      <c r="C346" s="71"/>
      <c r="D346" s="109" t="s">
        <v>818</v>
      </c>
      <c r="E346" s="116" t="s">
        <v>819</v>
      </c>
      <c r="F346" s="116" t="s">
        <v>199</v>
      </c>
      <c r="G346" s="116" t="s">
        <v>820</v>
      </c>
      <c r="H346" s="27"/>
      <c r="I346" s="28" t="s">
        <v>81</v>
      </c>
      <c r="J346" s="28" t="s">
        <v>81</v>
      </c>
      <c r="K346" s="74">
        <v>4</v>
      </c>
      <c r="L346" s="144"/>
      <c r="M346" s="116"/>
      <c r="N346" s="105"/>
    </row>
    <row r="347" ht="72" customHeight="1" spans="1:14">
      <c r="A347" s="345">
        <v>50</v>
      </c>
      <c r="B347" s="346" t="s">
        <v>821</v>
      </c>
      <c r="C347" s="347" t="s">
        <v>687</v>
      </c>
      <c r="D347" s="348" t="s">
        <v>728</v>
      </c>
      <c r="E347" s="349" t="s">
        <v>357</v>
      </c>
      <c r="F347" s="349" t="s">
        <v>111</v>
      </c>
      <c r="G347" s="349" t="s">
        <v>822</v>
      </c>
      <c r="H347" s="28" t="s">
        <v>81</v>
      </c>
      <c r="I347" s="27"/>
      <c r="J347" s="28" t="s">
        <v>81</v>
      </c>
      <c r="K347" s="350">
        <v>4</v>
      </c>
      <c r="L347" s="350">
        <f>SUM(K347:K354)</f>
        <v>700</v>
      </c>
      <c r="M347" s="351" t="str">
        <f>IF(L347&gt;=20,"Memenuhi","Tidak Memenuhi")</f>
        <v>Memenuhi</v>
      </c>
      <c r="N347" s="352" t="s">
        <v>823</v>
      </c>
    </row>
    <row r="348" ht="51" spans="1:14">
      <c r="A348" s="92"/>
      <c r="B348" s="230"/>
      <c r="C348" s="93"/>
      <c r="D348" s="109" t="s">
        <v>824</v>
      </c>
      <c r="E348" s="353">
        <v>45975</v>
      </c>
      <c r="F348" s="354" t="s">
        <v>825</v>
      </c>
      <c r="G348" s="116" t="s">
        <v>826</v>
      </c>
      <c r="H348" s="28" t="s">
        <v>81</v>
      </c>
      <c r="I348" s="28" t="s">
        <v>81</v>
      </c>
      <c r="J348" s="28"/>
      <c r="K348" s="74">
        <v>647</v>
      </c>
      <c r="L348" s="74"/>
      <c r="M348" s="74"/>
      <c r="N348" s="320"/>
    </row>
    <row r="349" ht="72" customHeight="1" spans="1:14">
      <c r="A349" s="92"/>
      <c r="B349" s="230"/>
      <c r="C349" s="450" t="s">
        <v>702</v>
      </c>
      <c r="D349" s="109" t="s">
        <v>329</v>
      </c>
      <c r="E349" s="116" t="s">
        <v>150</v>
      </c>
      <c r="F349" s="116" t="s">
        <v>325</v>
      </c>
      <c r="G349" s="116" t="s">
        <v>827</v>
      </c>
      <c r="H349" s="27"/>
      <c r="I349" s="28" t="s">
        <v>81</v>
      </c>
      <c r="J349" s="28" t="s">
        <v>81</v>
      </c>
      <c r="K349" s="74">
        <v>4</v>
      </c>
      <c r="L349" s="74"/>
      <c r="M349" s="74"/>
      <c r="N349" s="317"/>
    </row>
    <row r="350" ht="51" spans="1:14">
      <c r="A350" s="92"/>
      <c r="B350" s="230"/>
      <c r="C350" s="107"/>
      <c r="D350" s="109" t="s">
        <v>115</v>
      </c>
      <c r="E350" s="116" t="s">
        <v>828</v>
      </c>
      <c r="F350" s="116" t="s">
        <v>703</v>
      </c>
      <c r="G350" s="116" t="s">
        <v>251</v>
      </c>
      <c r="H350" s="28" t="s">
        <v>81</v>
      </c>
      <c r="I350" s="27"/>
      <c r="J350" s="28" t="s">
        <v>81</v>
      </c>
      <c r="K350" s="74">
        <v>20</v>
      </c>
      <c r="L350" s="74"/>
      <c r="M350" s="74"/>
      <c r="N350" s="317"/>
    </row>
    <row r="351" ht="17" spans="1:14">
      <c r="A351" s="92"/>
      <c r="B351" s="230"/>
      <c r="C351" s="107"/>
      <c r="D351" s="109" t="s">
        <v>829</v>
      </c>
      <c r="E351" s="356">
        <v>45918</v>
      </c>
      <c r="F351" s="116" t="s">
        <v>830</v>
      </c>
      <c r="G351" s="116"/>
      <c r="H351" s="28" t="s">
        <v>81</v>
      </c>
      <c r="I351" s="28" t="s">
        <v>81</v>
      </c>
      <c r="J351" s="28"/>
      <c r="K351" s="74">
        <v>10</v>
      </c>
      <c r="L351" s="74"/>
      <c r="M351" s="74"/>
      <c r="N351" s="317"/>
    </row>
    <row r="352" ht="34" spans="1:14">
      <c r="A352" s="92"/>
      <c r="B352" s="230"/>
      <c r="C352" s="107"/>
      <c r="D352" s="109" t="s">
        <v>831</v>
      </c>
      <c r="E352" s="116" t="s">
        <v>832</v>
      </c>
      <c r="F352" s="116" t="s">
        <v>833</v>
      </c>
      <c r="G352" s="116"/>
      <c r="H352" s="27"/>
      <c r="I352" s="28" t="s">
        <v>81</v>
      </c>
      <c r="J352" s="28" t="s">
        <v>81</v>
      </c>
      <c r="K352" s="74">
        <v>2</v>
      </c>
      <c r="L352" s="74"/>
      <c r="M352" s="74"/>
      <c r="N352" s="317"/>
    </row>
    <row r="353" ht="17" spans="1:30">
      <c r="A353" s="99"/>
      <c r="B353" s="237"/>
      <c r="C353" s="205"/>
      <c r="D353" s="109" t="s">
        <v>834</v>
      </c>
      <c r="E353" s="116" t="s">
        <v>217</v>
      </c>
      <c r="F353" s="116" t="s">
        <v>835</v>
      </c>
      <c r="G353" s="116" t="s">
        <v>836</v>
      </c>
      <c r="H353" s="28" t="s">
        <v>81</v>
      </c>
      <c r="I353" s="27"/>
      <c r="J353" s="28" t="s">
        <v>81</v>
      </c>
      <c r="K353" s="74">
        <v>13</v>
      </c>
      <c r="L353" s="74"/>
      <c r="M353" s="74"/>
      <c r="N353" s="317"/>
    </row>
    <row r="354" ht="15" customHeight="1" spans="1:30">
      <c r="A354" s="115"/>
      <c r="B354" s="100"/>
      <c r="C354" s="110"/>
      <c r="D354" s="116" t="s">
        <v>837</v>
      </c>
      <c r="E354" s="357"/>
      <c r="F354" s="357"/>
      <c r="G354" s="116"/>
      <c r="H354" s="28" t="s">
        <v>81</v>
      </c>
      <c r="I354" s="28" t="s">
        <v>81</v>
      </c>
      <c r="J354" s="28"/>
      <c r="K354" s="74"/>
      <c r="L354" s="74"/>
      <c r="M354" s="74"/>
      <c r="N354" s="317"/>
    </row>
    <row r="355" ht="22.5" customHeight="1" spans="1:30">
      <c r="A355" s="358" t="s">
        <v>838</v>
      </c>
      <c r="B355" s="359"/>
      <c r="C355" s="360"/>
      <c r="D355" s="361"/>
      <c r="E355" s="361"/>
      <c r="F355" s="361"/>
      <c r="G355" s="361"/>
      <c r="H355" s="27"/>
      <c r="I355" s="28" t="s">
        <v>81</v>
      </c>
      <c r="J355" s="28" t="s">
        <v>81</v>
      </c>
      <c r="K355" s="361"/>
      <c r="L355" s="361"/>
      <c r="M355" s="361"/>
      <c r="N355" s="362"/>
    </row>
    <row r="356" ht="43.5" customHeight="1" spans="1:30">
      <c r="A356" s="363">
        <v>51</v>
      </c>
      <c r="B356" s="364" t="s">
        <v>839</v>
      </c>
      <c r="C356" s="365" t="s">
        <v>434</v>
      </c>
      <c r="D356" s="365" t="s">
        <v>840</v>
      </c>
      <c r="E356" s="451" t="s">
        <v>841</v>
      </c>
      <c r="F356" s="365" t="s">
        <v>842</v>
      </c>
      <c r="G356" s="365" t="s">
        <v>843</v>
      </c>
      <c r="H356" s="28" t="s">
        <v>81</v>
      </c>
      <c r="I356" s="27"/>
      <c r="J356" s="28" t="s">
        <v>81</v>
      </c>
      <c r="K356" s="366">
        <v>3</v>
      </c>
      <c r="L356" s="367">
        <v>5</v>
      </c>
      <c r="M356" s="367" t="s">
        <v>776</v>
      </c>
      <c r="N356" s="368" t="s">
        <v>844</v>
      </c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</row>
    <row r="357" ht="78.75" customHeight="1" spans="1:30">
      <c r="A357" s="369"/>
      <c r="B357" s="370"/>
      <c r="C357" s="452" t="s">
        <v>280</v>
      </c>
      <c r="D357" s="158" t="s">
        <v>356</v>
      </c>
      <c r="E357" s="428" t="s">
        <v>285</v>
      </c>
      <c r="F357" s="158" t="s">
        <v>286</v>
      </c>
      <c r="G357" s="429" t="s">
        <v>176</v>
      </c>
      <c r="H357" s="28" t="s">
        <v>81</v>
      </c>
      <c r="I357" s="28" t="s">
        <v>81</v>
      </c>
      <c r="J357" s="28"/>
      <c r="K357" s="160">
        <v>2</v>
      </c>
      <c r="L357" s="161"/>
      <c r="M357" s="161"/>
      <c r="N357" s="372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</row>
    <row r="358" ht="94.5" customHeight="1" spans="1:30">
      <c r="A358" s="373">
        <v>52</v>
      </c>
      <c r="B358" s="374" t="s">
        <v>845</v>
      </c>
      <c r="C358" s="375" t="s">
        <v>280</v>
      </c>
      <c r="D358" s="365" t="s">
        <v>356</v>
      </c>
      <c r="E358" s="453" t="s">
        <v>285</v>
      </c>
      <c r="F358" s="365" t="s">
        <v>286</v>
      </c>
      <c r="G358" s="451" t="s">
        <v>176</v>
      </c>
      <c r="H358" s="27"/>
      <c r="I358" s="28" t="s">
        <v>81</v>
      </c>
      <c r="J358" s="28" t="s">
        <v>81</v>
      </c>
      <c r="K358" s="366">
        <v>2</v>
      </c>
      <c r="L358" s="367">
        <v>2</v>
      </c>
      <c r="M358" s="367" t="s">
        <v>776</v>
      </c>
      <c r="N358" s="372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</row>
    <row r="359" ht="48.75" customHeight="1" spans="1:30">
      <c r="A359" s="363">
        <v>53</v>
      </c>
      <c r="B359" s="364" t="s">
        <v>846</v>
      </c>
      <c r="C359" s="375" t="s">
        <v>280</v>
      </c>
      <c r="D359" s="365" t="s">
        <v>847</v>
      </c>
      <c r="E359" s="453" t="s">
        <v>848</v>
      </c>
      <c r="F359" s="365" t="s">
        <v>849</v>
      </c>
      <c r="G359" s="365" t="s">
        <v>850</v>
      </c>
      <c r="H359" s="28" t="s">
        <v>81</v>
      </c>
      <c r="I359" s="27"/>
      <c r="J359" s="28" t="s">
        <v>81</v>
      </c>
      <c r="K359" s="366">
        <v>3</v>
      </c>
      <c r="L359" s="367">
        <v>18</v>
      </c>
      <c r="M359" s="367" t="s">
        <v>776</v>
      </c>
      <c r="N359" s="368" t="s">
        <v>851</v>
      </c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</row>
    <row r="360" ht="40.5" customHeight="1" spans="1:30">
      <c r="A360" s="281"/>
      <c r="B360" s="377"/>
      <c r="C360" s="378" t="s">
        <v>434</v>
      </c>
      <c r="D360" s="158" t="s">
        <v>852</v>
      </c>
      <c r="E360" s="428" t="s">
        <v>853</v>
      </c>
      <c r="F360" s="158" t="s">
        <v>854</v>
      </c>
      <c r="G360" s="158" t="s">
        <v>855</v>
      </c>
      <c r="H360" s="28" t="s">
        <v>81</v>
      </c>
      <c r="I360" s="28" t="s">
        <v>81</v>
      </c>
      <c r="J360" s="28"/>
      <c r="K360" s="160">
        <v>3</v>
      </c>
      <c r="L360" s="161"/>
      <c r="M360" s="161"/>
      <c r="N360" s="379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</row>
    <row r="361" ht="42" customHeight="1" spans="1:30">
      <c r="A361" s="281"/>
      <c r="B361" s="377"/>
      <c r="C361" s="380"/>
      <c r="D361" s="158" t="s">
        <v>856</v>
      </c>
      <c r="E361" s="428" t="s">
        <v>857</v>
      </c>
      <c r="F361" s="158" t="s">
        <v>854</v>
      </c>
      <c r="G361" s="158" t="s">
        <v>858</v>
      </c>
      <c r="H361" s="27"/>
      <c r="I361" s="28" t="s">
        <v>81</v>
      </c>
      <c r="J361" s="28" t="s">
        <v>81</v>
      </c>
      <c r="K361" s="160">
        <v>3</v>
      </c>
      <c r="L361" s="161"/>
      <c r="M361" s="161"/>
      <c r="N361" s="379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</row>
    <row r="362" ht="42" customHeight="1" spans="1:30">
      <c r="A362" s="281"/>
      <c r="B362" s="377"/>
      <c r="C362" s="380"/>
      <c r="D362" s="158" t="s">
        <v>859</v>
      </c>
      <c r="E362" s="428" t="s">
        <v>860</v>
      </c>
      <c r="F362" s="158" t="s">
        <v>854</v>
      </c>
      <c r="G362" s="158" t="s">
        <v>861</v>
      </c>
      <c r="H362" s="28" t="s">
        <v>81</v>
      </c>
      <c r="I362" s="27"/>
      <c r="J362" s="28" t="s">
        <v>81</v>
      </c>
      <c r="K362" s="160">
        <v>3</v>
      </c>
      <c r="L362" s="161"/>
      <c r="M362" s="161"/>
      <c r="N362" s="379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</row>
    <row r="363" ht="42.75" customHeight="1" spans="1:30">
      <c r="A363" s="281"/>
      <c r="B363" s="377"/>
      <c r="C363" s="380"/>
      <c r="D363" s="158" t="s">
        <v>862</v>
      </c>
      <c r="E363" s="428" t="s">
        <v>841</v>
      </c>
      <c r="F363" s="158" t="s">
        <v>854</v>
      </c>
      <c r="G363" s="158" t="s">
        <v>863</v>
      </c>
      <c r="H363" s="28" t="s">
        <v>81</v>
      </c>
      <c r="I363" s="28" t="s">
        <v>81</v>
      </c>
      <c r="J363" s="28"/>
      <c r="K363" s="160">
        <v>3</v>
      </c>
      <c r="L363" s="161"/>
      <c r="M363" s="161"/>
      <c r="N363" s="379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</row>
    <row r="364" ht="84" spans="1:30">
      <c r="A364" s="369"/>
      <c r="B364" s="381"/>
      <c r="C364" s="284"/>
      <c r="D364" s="158" t="s">
        <v>864</v>
      </c>
      <c r="E364" s="428" t="s">
        <v>865</v>
      </c>
      <c r="F364" s="158" t="s">
        <v>866</v>
      </c>
      <c r="G364" s="158" t="s">
        <v>867</v>
      </c>
      <c r="H364" s="27"/>
      <c r="I364" s="28" t="s">
        <v>81</v>
      </c>
      <c r="J364" s="28" t="s">
        <v>81</v>
      </c>
      <c r="K364" s="160">
        <v>3</v>
      </c>
      <c r="L364" s="161"/>
      <c r="M364" s="161"/>
      <c r="N364" s="379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</row>
    <row r="365" ht="49.5" customHeight="1" spans="1:30">
      <c r="A365" s="373">
        <v>54</v>
      </c>
      <c r="B365" s="374" t="s">
        <v>868</v>
      </c>
      <c r="C365" s="382" t="s">
        <v>280</v>
      </c>
      <c r="D365" s="365" t="s">
        <v>869</v>
      </c>
      <c r="E365" s="453" t="s">
        <v>870</v>
      </c>
      <c r="F365" s="365" t="s">
        <v>871</v>
      </c>
      <c r="G365" s="365" t="s">
        <v>872</v>
      </c>
      <c r="H365" s="28" t="s">
        <v>81</v>
      </c>
      <c r="I365" s="27"/>
      <c r="J365" s="28" t="s">
        <v>81</v>
      </c>
      <c r="K365" s="366">
        <v>3</v>
      </c>
      <c r="L365" s="367">
        <v>15</v>
      </c>
      <c r="M365" s="367" t="s">
        <v>776</v>
      </c>
      <c r="N365" s="372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</row>
    <row r="366" ht="60.75" customHeight="1" spans="1:30">
      <c r="A366" s="383"/>
      <c r="B366" s="384"/>
      <c r="C366" s="385"/>
      <c r="D366" s="158" t="s">
        <v>96</v>
      </c>
      <c r="E366" s="428" t="s">
        <v>655</v>
      </c>
      <c r="F366" s="158" t="s">
        <v>98</v>
      </c>
      <c r="G366" s="158" t="s">
        <v>873</v>
      </c>
      <c r="H366" s="28" t="s">
        <v>81</v>
      </c>
      <c r="I366" s="28" t="s">
        <v>81</v>
      </c>
      <c r="J366" s="28"/>
      <c r="K366" s="160">
        <v>3</v>
      </c>
      <c r="L366" s="161"/>
      <c r="M366" s="161"/>
      <c r="N366" s="386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</row>
    <row r="367" ht="47.25" customHeight="1" spans="1:30">
      <c r="A367" s="383"/>
      <c r="B367" s="387"/>
      <c r="C367" s="378" t="s">
        <v>434</v>
      </c>
      <c r="D367" s="158" t="s">
        <v>874</v>
      </c>
      <c r="E367" s="428" t="s">
        <v>875</v>
      </c>
      <c r="F367" s="158" t="s">
        <v>854</v>
      </c>
      <c r="G367" s="158" t="s">
        <v>876</v>
      </c>
      <c r="H367" s="27"/>
      <c r="I367" s="28" t="s">
        <v>81</v>
      </c>
      <c r="J367" s="28" t="s">
        <v>81</v>
      </c>
      <c r="K367" s="160">
        <v>3</v>
      </c>
      <c r="L367" s="161"/>
      <c r="M367" s="161"/>
      <c r="N367" s="386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</row>
    <row r="368" ht="47.25" customHeight="1" spans="1:30">
      <c r="A368" s="383"/>
      <c r="B368" s="387"/>
      <c r="C368" s="388"/>
      <c r="D368" s="158" t="s">
        <v>877</v>
      </c>
      <c r="E368" s="428" t="s">
        <v>878</v>
      </c>
      <c r="F368" s="158" t="s">
        <v>854</v>
      </c>
      <c r="G368" s="158" t="s">
        <v>879</v>
      </c>
      <c r="H368" s="28" t="s">
        <v>81</v>
      </c>
      <c r="I368" s="27"/>
      <c r="J368" s="28" t="s">
        <v>81</v>
      </c>
      <c r="K368" s="160">
        <v>3</v>
      </c>
      <c r="L368" s="161"/>
      <c r="M368" s="161"/>
      <c r="N368" s="386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</row>
    <row r="369" ht="34" spans="1:30">
      <c r="A369" s="389"/>
      <c r="B369" s="390"/>
      <c r="C369" s="391"/>
      <c r="D369" s="158" t="s">
        <v>880</v>
      </c>
      <c r="E369" s="428" t="s">
        <v>241</v>
      </c>
      <c r="F369" s="158" t="s">
        <v>881</v>
      </c>
      <c r="G369" s="158" t="s">
        <v>882</v>
      </c>
      <c r="H369" s="28" t="s">
        <v>81</v>
      </c>
      <c r="I369" s="28" t="s">
        <v>81</v>
      </c>
      <c r="J369" s="28"/>
      <c r="K369" s="160">
        <v>3</v>
      </c>
      <c r="L369" s="161"/>
      <c r="M369" s="161"/>
      <c r="N369" s="386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</row>
    <row r="370" ht="118.5" customHeight="1" spans="1:30">
      <c r="A370" s="392">
        <v>55</v>
      </c>
      <c r="B370" s="393" t="s">
        <v>883</v>
      </c>
      <c r="C370" s="365" t="s">
        <v>280</v>
      </c>
      <c r="D370" s="365" t="s">
        <v>115</v>
      </c>
      <c r="E370" s="365" t="s">
        <v>884</v>
      </c>
      <c r="F370" s="365" t="s">
        <v>116</v>
      </c>
      <c r="G370" s="365" t="s">
        <v>304</v>
      </c>
      <c r="H370" s="27"/>
      <c r="I370" s="28" t="s">
        <v>81</v>
      </c>
      <c r="J370" s="28" t="s">
        <v>81</v>
      </c>
      <c r="K370" s="366">
        <v>20</v>
      </c>
      <c r="L370" s="367">
        <v>20</v>
      </c>
      <c r="M370" s="367" t="s">
        <v>776</v>
      </c>
      <c r="N370" s="394" t="s">
        <v>885</v>
      </c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</row>
    <row r="371" ht="60.75" customHeight="1" spans="1:30">
      <c r="A371" s="389"/>
      <c r="B371" s="395"/>
      <c r="C371" s="395"/>
      <c r="D371" s="158" t="s">
        <v>96</v>
      </c>
      <c r="E371" s="429" t="s">
        <v>655</v>
      </c>
      <c r="F371" s="158" t="s">
        <v>886</v>
      </c>
      <c r="G371" s="158" t="s">
        <v>887</v>
      </c>
      <c r="H371" s="28" t="s">
        <v>81</v>
      </c>
      <c r="I371" s="27"/>
      <c r="J371" s="28" t="s">
        <v>81</v>
      </c>
      <c r="K371" s="160">
        <v>3</v>
      </c>
      <c r="L371" s="161"/>
      <c r="M371" s="161"/>
      <c r="N371" s="396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</row>
    <row r="372" ht="60.75" customHeight="1" spans="1:30">
      <c r="A372" s="389"/>
      <c r="B372" s="395"/>
      <c r="C372" s="395"/>
      <c r="D372" s="158" t="s">
        <v>654</v>
      </c>
      <c r="E372" s="429" t="s">
        <v>655</v>
      </c>
      <c r="F372" s="158" t="s">
        <v>107</v>
      </c>
      <c r="G372" s="158" t="s">
        <v>888</v>
      </c>
      <c r="H372" s="28" t="s">
        <v>81</v>
      </c>
      <c r="I372" s="28" t="s">
        <v>81</v>
      </c>
      <c r="J372" s="28"/>
      <c r="K372" s="160">
        <v>2</v>
      </c>
      <c r="L372" s="161"/>
      <c r="M372" s="161"/>
      <c r="N372" s="396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</row>
    <row r="373" ht="174" customHeight="1" spans="1:30">
      <c r="A373" s="392">
        <v>56</v>
      </c>
      <c r="B373" s="393" t="s">
        <v>889</v>
      </c>
      <c r="C373" s="365" t="s">
        <v>280</v>
      </c>
      <c r="D373" s="365" t="s">
        <v>356</v>
      </c>
      <c r="E373" s="453" t="s">
        <v>285</v>
      </c>
      <c r="F373" s="365" t="s">
        <v>286</v>
      </c>
      <c r="G373" s="451" t="s">
        <v>176</v>
      </c>
      <c r="H373" s="27"/>
      <c r="I373" s="28" t="s">
        <v>81</v>
      </c>
      <c r="J373" s="28" t="s">
        <v>81</v>
      </c>
      <c r="K373" s="366">
        <v>2</v>
      </c>
      <c r="L373" s="367">
        <v>2</v>
      </c>
      <c r="M373" s="367" t="s">
        <v>776</v>
      </c>
      <c r="N373" s="372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</row>
    <row r="374" ht="16.8" spans="1:30"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ht="16.8" spans="1:30"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ht="16.8" spans="1:30"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ht="16.8" spans="1:30"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ht="16.8" spans="1:30"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ht="16.8" spans="1:30"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ht="16.8" spans="1:30"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ht="16.8" spans="1:30"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ht="16.8" spans="1:30">
      <c r="D382" s="3"/>
    </row>
    <row r="383" ht="16.8" spans="1:30">
      <c r="D383" s="3"/>
    </row>
    <row r="384" ht="16.8" spans="1:30">
      <c r="D384" s="3"/>
    </row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</sheetData>
  <autoFilter xmlns:etc="http://www.wps.cn/officeDocument/2017/etCustomData" ref="A4:N373" etc:filterBottomFollowUsedRange="0">
    <extLst/>
  </autoFilter>
  <mergeCells count="11">
    <mergeCell ref="A1:M1"/>
    <mergeCell ref="D3:M3"/>
    <mergeCell ref="A3:A4"/>
    <mergeCell ref="B3:B4"/>
    <mergeCell ref="C3:C4"/>
    <mergeCell ref="C79:C80"/>
    <mergeCell ref="C349:C353"/>
    <mergeCell ref="N3:N4"/>
    <mergeCell ref="N255:N262"/>
    <mergeCell ref="N278:N282"/>
    <mergeCell ref="N300:N304"/>
  </mergeCells>
  <hyperlinks>
    <hyperlink ref="N15" r:id="rId1" display="https://drive.google.com/drive/folders/1jiXm9rrXSDCswVlZBDiSwIisce2JBM-z"/>
    <hyperlink ref="N19" r:id="rId1" display="https://drive.google.com/drive/folders/1jiXm9rrXSDCswVlZBDiSwIisce2JBM-z"/>
    <hyperlink ref="N20" r:id="rId1" display="https://drive.google.com/drive/folders/1jiXm9rrXSDCswVlZBDiSwIisce2JBM-z"/>
    <hyperlink ref="N21" r:id="rId1" display="https://drive.google.com/drive/folders/1jiXm9rrXSDCswVlZBDiSwIisce2JBM-z"/>
    <hyperlink ref="N22" r:id="rId1" display="https://drive.google.com/drive/folders/1jiXm9rrXSDCswVlZBDiSwIisce2JBM-z"/>
    <hyperlink ref="N23" r:id="rId1" display="https://drive.google.com/drive/folders/1jiXm9rrXSDCswVlZBDiSwIisce2JBM-z"/>
    <hyperlink ref="N24" r:id="rId1" display="https://drive.google.com/drive/folders/1jiXm9rrXSDCswVlZBDiSwIisce2JBM-z"/>
    <hyperlink ref="N29" r:id="rId2" display="https://drive.google.com/drive/folders/13DbrcpndLbNFpjMUd_-5jYdRPveog8vA"/>
    <hyperlink ref="N74" r:id="rId3" display="https://drive.google.com/file/d/1XWdW3lP5bRVxaTiy75i2MWlxrCCPhrAx/view?usp=drive_link"/>
    <hyperlink ref="N223" r:id="rId4" display="https://drive.google.com/drive/folders/16aBuRNg0KXRCRJ4XORmua_cwSWpdI0H8?usp=drive_link"/>
    <hyperlink ref="N240" r:id="rId5" display="https://drive.google.com/drive/folders/1PinSM_1nrcmaofSoViVXEytSyLbn3sR7?usp=drive_link"/>
    <hyperlink ref="N247" r:id="rId6" display="https://drive.google.com/drive/folders/1aPe9n1ns5be3hR2eaLU4Z7OsarqilHPM?usp=drive_link"/>
    <hyperlink ref="N255" r:id="rId7" display="Sertifikat Sari"/>
    <hyperlink ref="N265" r:id="rId8" display="https://drive.google.com/drive/folders/14xbSEFgo4nmLenoiDpyF0GAFg4TaLkRF?usp=drive_link"/>
    <hyperlink ref="N266" location="null!A1" display="Diklat Total"/>
    <hyperlink ref="N272" r:id="rId9" display="Sertifikat_Kelulusan__E-Learning_PADI_-Ahnaf Dzaky Rheinanda.pdf"/>
    <hyperlink ref="N275" r:id="rId10" display="ahnaf_dzaky_rheinanda__s_h__20010908202506100720250717145551_5739_seminar_signed.pdf"/>
    <hyperlink ref="N274" r:id="rId11" display="Sertifikat Ahnaf Dzaky Rheinanda, S.H..pdf"/>
    <hyperlink ref="N276" r:id="rId12" display="ahnaf_dzaky_rheinanda__s_h__20010908202506100720250730094436_9975_seminar_signed.pdf"/>
    <hyperlink ref="N277" r:id="rId10" display="ahnaf_dzaky_rheinanda__s_h__20010908202506100720250717145551_5739_seminar_signed.pdf"/>
    <hyperlink ref="N273" r:id="rId11" display="Sertifikat Ahnaf Dzaky Rheinanda, S.H..pdf"/>
    <hyperlink ref="N278" r:id="rId13" display="39. Aisyah Nihayah Nimah"/>
    <hyperlink ref="N287" r:id="rId14" display="19. Ardhi Wisnu Nugraha"/>
    <hyperlink ref="N296" r:id="rId15" display="Sertifikat Chofifa Hidayati"/>
    <hyperlink ref="N300" r:id="rId16" display="24. Dahniar Achlis"/>
    <hyperlink ref="N305" r:id="rId17" display="Sertifikat Farah Rosa"/>
    <hyperlink ref="N317" r:id="rId18" display="Sertifikat Lalu Yodit"/>
    <hyperlink ref="N330" r:id="rId19" display="https://drive.google.com/file/d/1QBxcdEEOpFLRhzMP_9r013QNOmB1BUyw/view?usp=sharing"/>
    <hyperlink ref="N331" r:id="rId20" display="https://drive.google.com/file/d/1FRs5LoMGK5HdDuhDYcS-WUVt6nTIQjor/view?usp=sharing"/>
    <hyperlink ref="N332" r:id="rId21" display="https://drive.google.com/file/d/1QDz4NjUL_nzSd3ucxi8Q42y6lXbE2gpd/view?usp=sharing"/>
    <hyperlink ref="N333" r:id="rId22" display="https://drive.google.com/file/d/1ctagdn2sGhKwHNg_AOFg0tX5Xcx9tnQE/view?usp=sharing"/>
    <hyperlink ref="N336" r:id="rId23" display="Bukti Dukung Rama"/>
    <hyperlink ref="N347" r:id="rId24" display="https://drive.google.com/drive/folders/1wkS3uE--R-QIieIUBQ-glRNczEIKhJmz?usp=drive_link"/>
    <hyperlink ref="N204" r:id="rId25" display="https://drive.google.com/drive/folders/1igCKt0Qv-mUA2cmUA9m8Sr9YnzEMHC3t?usp=drive_link"/>
    <hyperlink ref="N207" r:id="rId26" display="https://drive.google.com/drive/folders/1u9PsfPhl_8qqaUw-tHxWTDgHSj0VmPXk"/>
    <hyperlink ref="N370" r:id="rId27" display="Sertifikat Budi"/>
    <hyperlink ref="N356" r:id="rId28" display="https://drive.google.com/file/d/1SkDQRc6NR07qwtCJ9y7hticxcvf9gnvR/view?usp=drive_link"/>
    <hyperlink ref="N359" r:id="rId29" display="https://drive.google.com/drive/folders/1obF3QRZABRWs05WKZCrvcJ1CCqpTDtr5?usp=drive_link"/>
  </hyperlinks>
  <pageMargins left="0.7" right="0.7" top="0.75" bottom="0.75" header="0" footer="0"/>
  <pageSetup paperSize="5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40" workbookViewId="0">
      <selection activeCell="A2" sqref="$A2:$XFD2"/>
    </sheetView>
  </sheetViews>
  <sheetFormatPr defaultColWidth="9" defaultRowHeight="16.8" outlineLevelCol="2"/>
  <cols>
    <col min="2" max="2" width="37.75" customWidth="1"/>
    <col min="3" max="3" width="20.5" style="1" customWidth="1"/>
  </cols>
  <sheetData>
    <row r="1" spans="1:3">
      <c r="A1" t="s">
        <v>0</v>
      </c>
      <c r="B1" t="s">
        <v>62</v>
      </c>
      <c r="C1" s="1" t="s">
        <v>2</v>
      </c>
    </row>
    <row r="2" spans="1:3">
      <c r="A2">
        <v>1</v>
      </c>
      <c r="B2" t="s">
        <v>890</v>
      </c>
      <c r="C2" s="1" t="s">
        <v>891</v>
      </c>
    </row>
    <row r="3" spans="1:3">
      <c r="A3">
        <v>2</v>
      </c>
      <c r="B3" t="s">
        <v>892</v>
      </c>
      <c r="C3" s="1" t="s">
        <v>893</v>
      </c>
    </row>
    <row r="4" spans="1:3">
      <c r="A4">
        <v>3</v>
      </c>
      <c r="B4" t="s">
        <v>163</v>
      </c>
      <c r="C4" s="1" t="s">
        <v>894</v>
      </c>
    </row>
    <row r="5" spans="1:3">
      <c r="A5">
        <v>4</v>
      </c>
      <c r="B5" t="s">
        <v>248</v>
      </c>
      <c r="C5" s="1" t="s">
        <v>895</v>
      </c>
    </row>
    <row r="6" spans="1:3">
      <c r="A6">
        <v>5</v>
      </c>
      <c r="B6" t="s">
        <v>256</v>
      </c>
      <c r="C6" s="1" t="s">
        <v>896</v>
      </c>
    </row>
    <row r="7" spans="1:3">
      <c r="A7">
        <v>6</v>
      </c>
      <c r="B7" t="s">
        <v>279</v>
      </c>
      <c r="C7" s="1" t="s">
        <v>897</v>
      </c>
    </row>
    <row r="8" spans="1:3">
      <c r="A8">
        <v>7</v>
      </c>
      <c r="B8" t="s">
        <v>287</v>
      </c>
      <c r="C8" s="1" t="s">
        <v>898</v>
      </c>
    </row>
    <row r="9" spans="1:3">
      <c r="A9">
        <v>8</v>
      </c>
      <c r="B9" t="s">
        <v>293</v>
      </c>
      <c r="C9" s="1" t="s">
        <v>899</v>
      </c>
    </row>
    <row r="10" spans="1:3">
      <c r="A10">
        <v>9</v>
      </c>
      <c r="B10" t="s">
        <v>10</v>
      </c>
      <c r="C10" s="1" t="s">
        <v>11</v>
      </c>
    </row>
    <row r="11" spans="1:3">
      <c r="A11">
        <v>10</v>
      </c>
      <c r="B11" t="s">
        <v>15</v>
      </c>
      <c r="C11" s="1" t="s">
        <v>16</v>
      </c>
    </row>
    <row r="12" spans="1:3">
      <c r="A12">
        <v>11</v>
      </c>
      <c r="B12" t="s">
        <v>311</v>
      </c>
      <c r="C12" s="1" t="s">
        <v>900</v>
      </c>
    </row>
    <row r="13" spans="1:3">
      <c r="A13">
        <v>12</v>
      </c>
      <c r="B13" t="s">
        <v>19</v>
      </c>
      <c r="C13" s="1" t="s">
        <v>20</v>
      </c>
    </row>
    <row r="14" spans="1:3">
      <c r="A14">
        <v>13</v>
      </c>
      <c r="B14" t="s">
        <v>24</v>
      </c>
      <c r="C14" s="1" t="s">
        <v>901</v>
      </c>
    </row>
    <row r="15" spans="1:3">
      <c r="A15">
        <v>14</v>
      </c>
      <c r="B15" t="s">
        <v>27</v>
      </c>
      <c r="C15" s="1" t="s">
        <v>902</v>
      </c>
    </row>
    <row r="16" spans="1:3">
      <c r="A16">
        <v>15</v>
      </c>
      <c r="B16" t="s">
        <v>355</v>
      </c>
      <c r="C16" s="1" t="s">
        <v>903</v>
      </c>
    </row>
    <row r="17" spans="1:3">
      <c r="A17">
        <v>16</v>
      </c>
      <c r="B17" t="s">
        <v>29</v>
      </c>
      <c r="C17" s="1" t="s">
        <v>904</v>
      </c>
    </row>
    <row r="18" spans="1:3">
      <c r="A18">
        <v>17</v>
      </c>
      <c r="B18" t="s">
        <v>31</v>
      </c>
      <c r="C18" s="1" t="s">
        <v>905</v>
      </c>
    </row>
    <row r="19" spans="1:3">
      <c r="A19">
        <v>18</v>
      </c>
      <c r="B19" t="s">
        <v>33</v>
      </c>
      <c r="C19" s="1" t="s">
        <v>906</v>
      </c>
    </row>
    <row r="20" spans="1:3">
      <c r="A20">
        <v>19</v>
      </c>
      <c r="B20" t="s">
        <v>35</v>
      </c>
      <c r="C20" s="1" t="s">
        <v>907</v>
      </c>
    </row>
    <row r="21" spans="1:3">
      <c r="A21">
        <v>20</v>
      </c>
      <c r="B21" t="s">
        <v>38</v>
      </c>
      <c r="C21" s="1" t="s">
        <v>908</v>
      </c>
    </row>
    <row r="22" spans="1:3">
      <c r="A22">
        <v>21</v>
      </c>
      <c r="B22" t="s">
        <v>433</v>
      </c>
      <c r="C22" s="1" t="s">
        <v>909</v>
      </c>
    </row>
    <row r="23" spans="1:3">
      <c r="A23">
        <v>22</v>
      </c>
      <c r="B23" t="s">
        <v>910</v>
      </c>
      <c r="C23" s="1" t="s">
        <v>911</v>
      </c>
    </row>
    <row r="24" spans="1:3">
      <c r="A24">
        <v>23</v>
      </c>
      <c r="B24" t="s">
        <v>42</v>
      </c>
      <c r="C24" s="1" t="s">
        <v>912</v>
      </c>
    </row>
    <row r="25" spans="1:3">
      <c r="A25">
        <v>24</v>
      </c>
      <c r="B25" t="s">
        <v>44</v>
      </c>
      <c r="C25" s="1" t="s">
        <v>913</v>
      </c>
    </row>
    <row r="26" spans="1:3">
      <c r="A26">
        <v>25</v>
      </c>
      <c r="B26" t="s">
        <v>46</v>
      </c>
      <c r="C26" s="1" t="s">
        <v>914</v>
      </c>
    </row>
    <row r="27" spans="1:3">
      <c r="A27">
        <v>26</v>
      </c>
      <c r="B27" t="s">
        <v>48</v>
      </c>
      <c r="C27" s="1" t="s">
        <v>915</v>
      </c>
    </row>
    <row r="28" spans="1:3">
      <c r="A28">
        <v>27</v>
      </c>
      <c r="B28" t="s">
        <v>50</v>
      </c>
      <c r="C28" s="1" t="s">
        <v>916</v>
      </c>
    </row>
    <row r="29" spans="1:3">
      <c r="A29">
        <v>28</v>
      </c>
      <c r="B29" t="s">
        <v>52</v>
      </c>
      <c r="C29" s="1" t="s">
        <v>897</v>
      </c>
    </row>
    <row r="30" spans="1:3">
      <c r="A30">
        <v>29</v>
      </c>
      <c r="B30" t="s">
        <v>54</v>
      </c>
      <c r="C30" s="1" t="s">
        <v>917</v>
      </c>
    </row>
    <row r="31" spans="1:3">
      <c r="A31">
        <v>30</v>
      </c>
      <c r="B31" t="s">
        <v>56</v>
      </c>
      <c r="C31" s="1" t="s">
        <v>918</v>
      </c>
    </row>
    <row r="32" spans="1:3">
      <c r="A32">
        <v>31</v>
      </c>
      <c r="B32" t="s">
        <v>574</v>
      </c>
      <c r="C32" s="1" t="s">
        <v>919</v>
      </c>
    </row>
    <row r="33" spans="1:3">
      <c r="A33">
        <v>32</v>
      </c>
      <c r="B33" t="s">
        <v>613</v>
      </c>
      <c r="C33" s="1" t="s">
        <v>920</v>
      </c>
    </row>
    <row r="34" spans="1:3">
      <c r="A34">
        <v>33</v>
      </c>
      <c r="B34" t="s">
        <v>622</v>
      </c>
      <c r="C34" s="1" t="s">
        <v>921</v>
      </c>
    </row>
    <row r="35" spans="1:3">
      <c r="A35">
        <v>34</v>
      </c>
      <c r="B35" t="s">
        <v>632</v>
      </c>
      <c r="C35" s="1" t="s">
        <v>922</v>
      </c>
    </row>
    <row r="36" spans="1:3">
      <c r="A36">
        <v>35</v>
      </c>
      <c r="B36" t="s">
        <v>661</v>
      </c>
      <c r="C36" s="1" t="s">
        <v>923</v>
      </c>
    </row>
    <row r="37" spans="1:3">
      <c r="A37">
        <v>36</v>
      </c>
      <c r="B37" t="s">
        <v>677</v>
      </c>
      <c r="C37" s="1" t="s">
        <v>924</v>
      </c>
    </row>
    <row r="38" spans="1:3">
      <c r="A38">
        <v>37</v>
      </c>
      <c r="B38" t="s">
        <v>697</v>
      </c>
      <c r="C38" s="1" t="s">
        <v>925</v>
      </c>
    </row>
    <row r="39" spans="1:3">
      <c r="A39">
        <v>38</v>
      </c>
      <c r="B39" t="s">
        <v>710</v>
      </c>
      <c r="C39" s="1" t="s">
        <v>926</v>
      </c>
    </row>
    <row r="40" spans="1:3">
      <c r="A40">
        <v>39</v>
      </c>
      <c r="B40" t="s">
        <v>715</v>
      </c>
      <c r="C40" s="1" t="s">
        <v>927</v>
      </c>
    </row>
    <row r="41" spans="1:3">
      <c r="A41">
        <v>40</v>
      </c>
      <c r="B41" t="s">
        <v>727</v>
      </c>
      <c r="C41" s="1" t="s">
        <v>928</v>
      </c>
    </row>
    <row r="42" spans="1:3">
      <c r="A42">
        <v>41</v>
      </c>
      <c r="B42" t="s">
        <v>733</v>
      </c>
      <c r="C42" s="1" t="s">
        <v>929</v>
      </c>
    </row>
    <row r="43" spans="1:3">
      <c r="A43">
        <v>42</v>
      </c>
      <c r="B43" t="s">
        <v>739</v>
      </c>
      <c r="C43" s="1" t="s">
        <v>930</v>
      </c>
    </row>
    <row r="44" spans="1:3">
      <c r="A44">
        <v>43</v>
      </c>
      <c r="B44" t="s">
        <v>748</v>
      </c>
      <c r="C44" s="1" t="s">
        <v>931</v>
      </c>
    </row>
    <row r="45" spans="1:3">
      <c r="A45">
        <v>44</v>
      </c>
      <c r="B45" t="s">
        <v>774</v>
      </c>
      <c r="C45" s="1" t="s">
        <v>932</v>
      </c>
    </row>
    <row r="46" spans="1:3">
      <c r="A46">
        <v>45</v>
      </c>
      <c r="B46" t="s">
        <v>784</v>
      </c>
      <c r="C46" s="1" t="s">
        <v>933</v>
      </c>
    </row>
    <row r="47" spans="1:3">
      <c r="A47">
        <v>46</v>
      </c>
      <c r="B47" t="s">
        <v>795</v>
      </c>
      <c r="C47" s="1" t="s">
        <v>934</v>
      </c>
    </row>
    <row r="48" spans="1:3">
      <c r="A48">
        <v>47</v>
      </c>
      <c r="B48" t="s">
        <v>806</v>
      </c>
      <c r="C48" s="1" t="s">
        <v>935</v>
      </c>
    </row>
    <row r="49" spans="1:3">
      <c r="A49">
        <v>48</v>
      </c>
      <c r="B49" t="s">
        <v>809</v>
      </c>
      <c r="C49" s="1" t="s">
        <v>936</v>
      </c>
    </row>
    <row r="50" spans="1:3">
      <c r="A50">
        <v>49</v>
      </c>
      <c r="B50" t="s">
        <v>814</v>
      </c>
      <c r="C50" s="1" t="s">
        <v>937</v>
      </c>
    </row>
    <row r="51" spans="1:3">
      <c r="A51">
        <v>50</v>
      </c>
      <c r="B51" t="s">
        <v>821</v>
      </c>
      <c r="C51" s="1" t="s">
        <v>938</v>
      </c>
    </row>
    <row r="52" spans="1:3">
      <c r="A52">
        <v>51</v>
      </c>
      <c r="B52" t="s">
        <v>839</v>
      </c>
      <c r="C52" s="1" t="s">
        <v>939</v>
      </c>
    </row>
    <row r="53" spans="1:3">
      <c r="A53">
        <v>52</v>
      </c>
      <c r="B53" t="s">
        <v>845</v>
      </c>
      <c r="C53" s="1" t="s">
        <v>940</v>
      </c>
    </row>
    <row r="54" spans="1:3">
      <c r="A54">
        <v>53</v>
      </c>
      <c r="B54" t="s">
        <v>846</v>
      </c>
      <c r="C54" s="1" t="s">
        <v>941</v>
      </c>
    </row>
    <row r="55" spans="1:3">
      <c r="A55">
        <v>54</v>
      </c>
      <c r="B55" t="s">
        <v>868</v>
      </c>
      <c r="C55" s="1" t="s">
        <v>942</v>
      </c>
    </row>
    <row r="56" spans="1:3">
      <c r="A56">
        <v>55</v>
      </c>
      <c r="B56" t="s">
        <v>883</v>
      </c>
      <c r="C56" s="1" t="s">
        <v>943</v>
      </c>
    </row>
    <row r="57" spans="1:3">
      <c r="A57">
        <v>56</v>
      </c>
      <c r="B57" t="s">
        <v>944</v>
      </c>
      <c r="C57" s="1" t="s">
        <v>945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AK PBJ</vt:lpstr>
      <vt:lpstr>Diklat 2025 dan evaluasi</vt:lpstr>
      <vt:lpstr>DataPegawai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Amridio Zulhilmi</cp:lastModifiedBy>
  <dcterms:created xsi:type="dcterms:W3CDTF">2026-03-14T18:15:00Z</dcterms:created>
  <dcterms:modified xsi:type="dcterms:W3CDTF">2026-04-30T14:48:20Z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A265918C5BECE963CE01F369A101858F_42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